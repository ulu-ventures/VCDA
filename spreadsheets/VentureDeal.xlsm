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8" codeName="{51196F13-6AD0-C1B8-E2B4-A1F9AE17003E}"/>
  <workbookPr date1904="1" showInkAnnotation="0" codeName="ThisWorkbook" autoCompressPictures="0"/>
  <mc:AlternateContent xmlns:mc="http://schemas.openxmlformats.org/markup-compatibility/2006">
    <mc:Choice Requires="x15">
      <x15ac:absPath xmlns:x15ac="http://schemas.microsoft.com/office/spreadsheetml/2010/11/ac" url="/Users/somik/PycharmProjects/VCDA/spreadsheets/"/>
    </mc:Choice>
  </mc:AlternateContent>
  <xr:revisionPtr revIDLastSave="0" documentId="13_ncr:1_{56E227A4-E4AB-D748-A942-2AB1223AC780}" xr6:coauthVersionLast="40" xr6:coauthVersionMax="40" xr10:uidLastSave="{00000000-0000-0000-0000-000000000000}"/>
  <bookViews>
    <workbookView xWindow="0" yWindow="460" windowWidth="33600" windowHeight="19340" tabRatio="783" xr2:uid="{00000000-000D-0000-FFFF-FFFF00000000}"/>
  </bookViews>
  <sheets>
    <sheet name="License" sheetId="8" r:id="rId1"/>
    <sheet name="Model" sheetId="1" r:id="rId2"/>
    <sheet name="Tornado" sheetId="4" r:id="rId3"/>
    <sheet name="Full Distribution" sheetId="6" r:id="rId4"/>
    <sheet name="Life Stage Assessments" sheetId="7" r:id="rId5"/>
  </sheets>
  <functionGroups builtInGroupCount="19"/>
  <externalReferences>
    <externalReference r:id="rId6"/>
  </externalReferences>
  <definedNames>
    <definedName name="big_apps">[1]Model!$O$18</definedName>
    <definedName name="big_fee">[1]Model!$O$19</definedName>
    <definedName name="big_fraction">[1]Model!$O$20</definedName>
    <definedName name="big_hires">[1]Model!$O$17</definedName>
    <definedName name="big_number">[1]Model!$O$16</definedName>
    <definedName name="BookType">2</definedName>
    <definedName name="calculations">Model!$A$51:$F$70</definedName>
    <definedName name="CrossChasm" localSheetId="4">[1]Model!$H$64</definedName>
    <definedName name="CrossChasm">Model!$H$48</definedName>
    <definedName name="crossChasm_financial">Model!$G$48</definedName>
    <definedName name="crossChasm_market">Model!$D$48</definedName>
    <definedName name="crossChasm_product">Model!$E$48</definedName>
    <definedName name="crossChasm_team">Model!$F$48</definedName>
    <definedName name="CumeCostCrossChasm">Model!$V$69</definedName>
    <definedName name="CumeCostEarlyStage">Model!$V$71</definedName>
    <definedName name="Decisions">1</definedName>
    <definedName name="Dilution" localSheetId="4">[1]Model!$O$42</definedName>
    <definedName name="Dilution">Model!$O$23</definedName>
    <definedName name="earlyStage_financial">Model!$G$47</definedName>
    <definedName name="earlyStage_market">Model!$D$47</definedName>
    <definedName name="earlyStage_product">Model!$E$47</definedName>
    <definedName name="earlyStage_team">Model!$F$47</definedName>
    <definedName name="EarlySuccess" localSheetId="4">[1]Model!$H$63</definedName>
    <definedName name="EarlySuccess">Model!$H$47</definedName>
    <definedName name="EarningsMult">Model!$O$38</definedName>
    <definedName name="exitValue">Model!$O$56:$O$67</definedName>
    <definedName name="Fifty_PWMOIC_SweetSpot">Model!$I$5</definedName>
    <definedName name="Fifty_PWMOIC_TotalTAM">Model!$I$7</definedName>
    <definedName name="Fifty_SweetSpotPWMOIC_GivenCrossChasmSuccess">Model!$I$9</definedName>
    <definedName name="Fifty_SweetSpotTAM">Model!$I$6</definedName>
    <definedName name="Fifty_TotalTAM">Model!$I$8</definedName>
    <definedName name="InitialRoundSize" localSheetId="4">[1]Model!$O$41</definedName>
    <definedName name="InitialRoundSize">Model!$O$22</definedName>
    <definedName name="inputTable">Model!$B$14:$L$43</definedName>
    <definedName name="international_multiplier">[1]Model!$O$36</definedName>
    <definedName name="Investment" localSheetId="4">[1]Model!$O$39</definedName>
    <definedName name="Investment">Model!$O$20</definedName>
    <definedName name="KingChance" localSheetId="4">[1]Model!$O$46</definedName>
    <definedName name="KingChance">Model!$O$27</definedName>
    <definedName name="KingMktShare" localSheetId="4">[1]Model!$O$50</definedName>
    <definedName name="KingMktShare">Model!$O$31</definedName>
    <definedName name="lifestageSuccessProbabilityTable">Model!$B$45:$K$50</definedName>
    <definedName name="MainstreamSuccess" localSheetId="4">[1]Model!$H$65</definedName>
    <definedName name="MainstreamSuccess">Model!$H$49</definedName>
    <definedName name="MarketTree">Model!$H$51:$R$100</definedName>
    <definedName name="massMarket_financial">Model!$G$49</definedName>
    <definedName name="massMarket_market">Model!$D$49</definedName>
    <definedName name="massMarket_product">Model!$E$49</definedName>
    <definedName name="massMarket_team">Model!$F$49</definedName>
    <definedName name="Mean_SweetSpotPWMOIC_GivenCrossChasmSuccess">Model!$G$9</definedName>
    <definedName name="Mean_SweetSpotTAM">Model!$G$6</definedName>
    <definedName name="Mean_TotalTAM">Model!$G$8</definedName>
    <definedName name="MeanPWMOIC_SweetSpot">Model!$G$5</definedName>
    <definedName name="MeanPWMOIC_TotalTAM">Model!$G$7</definedName>
    <definedName name="medium_apps">[1]Model!$O$25</definedName>
    <definedName name="medium_fee">[1]Model!$O$26</definedName>
    <definedName name="medium_fraction">[1]Model!$O$27</definedName>
    <definedName name="medium_hires">[1]Model!$O$24</definedName>
    <definedName name="medium_number">[1]Model!$O$23</definedName>
    <definedName name="NicheDilution" localSheetId="4">[1]Model!$O$43</definedName>
    <definedName name="NicheDilution">Model!$O$24</definedName>
    <definedName name="NicheMarketShare" localSheetId="4">[1]Model!$O$54</definedName>
    <definedName name="NicheMarketShare">Model!$O$35</definedName>
    <definedName name="NicheMultDisc" localSheetId="4">[1]Model!$O$58</definedName>
    <definedName name="NicheMultDisc">Model!$O$39</definedName>
    <definedName name="NicheOwnershipAtExit">Model!$E$67</definedName>
    <definedName name="NicheSize" localSheetId="4">[1]Model!$O$53</definedName>
    <definedName name="NicheSize">Model!$O$34</definedName>
    <definedName name="Ninety_PWMOIC_SweetSpot">Model!$J$5</definedName>
    <definedName name="Ninety_PWMOIC_TotalTAM">Model!$J$7</definedName>
    <definedName name="Ninety_SweetSpotPWMOIC_GivenCrossChasmSuccess">Model!$J$9</definedName>
    <definedName name="Ninety_SweetSpotTAM">Model!$J$6</definedName>
    <definedName name="Ninety_TotalTAM">Model!$J$8</definedName>
    <definedName name="outputDefnTable">Model!$B$5:$F$9</definedName>
    <definedName name="outputTable">Model!$A$3:$K$10</definedName>
    <definedName name="ownershipAtExit">Model!$E$66</definedName>
    <definedName name="pCrossChasm_total">Model!$Q$72</definedName>
    <definedName name="pFailCrossChasm">Model!$V$70</definedName>
    <definedName name="pFailEarlyStage">Model!$V$72</definedName>
    <definedName name="pMassMkt_total">Model!$Q$73</definedName>
    <definedName name="PreMoneyValue" localSheetId="4">[1]Model!$O$40</definedName>
    <definedName name="PreMoneyValue">Model!$O$21</definedName>
    <definedName name="PrinceChance" localSheetId="4">[1]Model!$O$47</definedName>
    <definedName name="PrinceChance">Model!$O$28</definedName>
    <definedName name="PrinceMktShare" localSheetId="4">[1]Model!$O$51</definedName>
    <definedName name="PrinceMktShare">Model!$O$32</definedName>
    <definedName name="projectedYear">Model!$O$42</definedName>
    <definedName name="RD_InputTable" localSheetId="1">Model!$C$13:$P$38</definedName>
    <definedName name="RDVers">2.31</definedName>
    <definedName name="RiskDet">TRUE</definedName>
    <definedName name="SalesMult" localSheetId="4">[1]Model!$O$57</definedName>
    <definedName name="SalesMult">Model!$O$38</definedName>
    <definedName name="SerfMktShare" localSheetId="4">[1]Model!$O$52</definedName>
    <definedName name="SerfMktShare">Model!$O$33</definedName>
    <definedName name="small_apps">[1]Model!$O$32</definedName>
    <definedName name="small_fee">[1]Model!$O$33</definedName>
    <definedName name="small_fraction">[1]Model!$O$34</definedName>
    <definedName name="small_hires">[1]Model!$O$31</definedName>
    <definedName name="small_number">[1]Model!$O$30</definedName>
    <definedName name="SmartOrgInputTable">Model!$O$14:$Q$43</definedName>
    <definedName name="SweetSpotTABLE">Model!$T$51:$X$63</definedName>
    <definedName name="SweetspotTAM" localSheetId="4">[1]Model!$E$109</definedName>
    <definedName name="SweetspotTAM">Model!$E$54</definedName>
    <definedName name="tam_sweetSpot">Model!$O$16</definedName>
    <definedName name="tam_total">Model!$O$17</definedName>
    <definedName name="Ten_PWMOIC_SweetSpot">Model!$H$5</definedName>
    <definedName name="Ten_PWMOIC_TotalTAM">Model!$H$7</definedName>
    <definedName name="Ten_SweetSpotPWMOIC_GivenCrossChasmSuccess">Model!$H$9</definedName>
    <definedName name="Ten_SweetSpotTAM">Model!$H$6</definedName>
    <definedName name="Ten_TotalTAM">Model!$H$8</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 localSheetId="4">[1]Tornado!$R$19</definedName>
    <definedName name="Tornado_TableIndex">Tornado!$R$19</definedName>
    <definedName name="TotalPWMOIC_SweetSpot">Model!$Q$69</definedName>
    <definedName name="TotalPWMOIC_SweetSpot_Given_CrossChasmSuccess">Model!$Q$70</definedName>
    <definedName name="TotalPWMOIC_SweetSpot_Given_MarketSuccess">Model!$Q$71</definedName>
    <definedName name="TotalPWMOIC_TotalTAM">Model!$Q$94</definedName>
    <definedName name="TotalPWMOIC_TotalTAM_Given_CrossChasmSuccess">Model!$Q$95</definedName>
    <definedName name="TotalTAM" localSheetId="4">[1]Model!$E$111</definedName>
    <definedName name="TotalTAM">Model!$E$56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G4" i="7" l="1"/>
  <c r="F4" i="7"/>
  <c r="E4" i="7"/>
  <c r="D4" i="7"/>
  <c r="H4" i="7" s="1"/>
  <c r="G3" i="7"/>
  <c r="F3" i="7"/>
  <c r="H3" i="7" s="1"/>
  <c r="E3" i="7"/>
  <c r="D3" i="7"/>
  <c r="G2" i="7"/>
  <c r="F2" i="7"/>
  <c r="E2" i="7"/>
  <c r="D2" i="7"/>
  <c r="H2" i="7" s="1"/>
  <c r="V54" i="1" l="1"/>
  <c r="V53" i="1"/>
  <c r="E56" i="1" l="1"/>
  <c r="E54" i="1"/>
  <c r="M8" i="6" l="1"/>
  <c r="N8" i="6"/>
  <c r="O8" i="6"/>
  <c r="M9" i="6"/>
  <c r="N9" i="6"/>
  <c r="O9" i="6"/>
  <c r="M10" i="6"/>
  <c r="N10" i="6"/>
  <c r="O10" i="6"/>
  <c r="M11" i="6"/>
  <c r="N11" i="6"/>
  <c r="O11" i="6"/>
  <c r="M12" i="6"/>
  <c r="N12" i="6"/>
  <c r="O12" i="6"/>
  <c r="M13" i="6"/>
  <c r="N13" i="6"/>
  <c r="O13" i="6"/>
  <c r="M14" i="6"/>
  <c r="N14" i="6"/>
  <c r="O14" i="6"/>
  <c r="M15" i="6"/>
  <c r="N15" i="6"/>
  <c r="O15" i="6"/>
  <c r="M16" i="6"/>
  <c r="N16" i="6"/>
  <c r="O16" i="6"/>
  <c r="M17" i="6"/>
  <c r="N17" i="6"/>
  <c r="O17" i="6"/>
  <c r="M18" i="6"/>
  <c r="N18" i="6"/>
  <c r="O18" i="6"/>
  <c r="M19" i="6"/>
  <c r="N19" i="6"/>
  <c r="O19" i="6"/>
  <c r="M20" i="6"/>
  <c r="N20" i="6"/>
  <c r="O20" i="6"/>
  <c r="M21" i="6"/>
  <c r="N21" i="6"/>
  <c r="O21" i="6"/>
  <c r="M22" i="6"/>
  <c r="N22" i="6"/>
  <c r="O22" i="6"/>
  <c r="M23" i="6"/>
  <c r="N23" i="6"/>
  <c r="O23" i="6"/>
  <c r="M24" i="6"/>
  <c r="N24" i="6"/>
  <c r="O24" i="6"/>
  <c r="M25" i="6"/>
  <c r="N25" i="6"/>
  <c r="O25" i="6"/>
  <c r="M26" i="6"/>
  <c r="N26" i="6"/>
  <c r="O26" i="6"/>
  <c r="M27" i="6"/>
  <c r="N27" i="6"/>
  <c r="O27" i="6"/>
  <c r="M28" i="6"/>
  <c r="N28" i="6"/>
  <c r="O28" i="6"/>
  <c r="M29" i="6"/>
  <c r="N29" i="6"/>
  <c r="O29" i="6"/>
  <c r="M30" i="6"/>
  <c r="N30" i="6"/>
  <c r="O30" i="6"/>
  <c r="M31" i="6"/>
  <c r="N31" i="6"/>
  <c r="O31" i="6"/>
  <c r="M32" i="6"/>
  <c r="N32" i="6"/>
  <c r="O32" i="6"/>
  <c r="M33" i="6"/>
  <c r="N33" i="6"/>
  <c r="O33" i="6"/>
  <c r="M34" i="6"/>
  <c r="N34" i="6"/>
  <c r="O34" i="6"/>
  <c r="M35" i="6"/>
  <c r="N35" i="6"/>
  <c r="O35" i="6"/>
  <c r="M36" i="6"/>
  <c r="N36" i="6"/>
  <c r="O36" i="6"/>
  <c r="M37" i="6"/>
  <c r="N37" i="6"/>
  <c r="O37" i="6"/>
  <c r="M38" i="6"/>
  <c r="N38" i="6"/>
  <c r="O38" i="6"/>
  <c r="M39" i="6"/>
  <c r="N39" i="6"/>
  <c r="O39" i="6"/>
  <c r="M40" i="6"/>
  <c r="N40" i="6"/>
  <c r="O40" i="6"/>
  <c r="M41" i="6"/>
  <c r="N41" i="6"/>
  <c r="O41" i="6"/>
  <c r="M42" i="6"/>
  <c r="N42" i="6"/>
  <c r="O42" i="6"/>
  <c r="M43" i="6"/>
  <c r="N43" i="6"/>
  <c r="O43" i="6"/>
  <c r="M44" i="6"/>
  <c r="N44" i="6"/>
  <c r="O44" i="6"/>
  <c r="M45" i="6"/>
  <c r="N45" i="6"/>
  <c r="O45" i="6"/>
  <c r="M46" i="6"/>
  <c r="N46" i="6"/>
  <c r="O46" i="6"/>
  <c r="M47" i="6"/>
  <c r="N47" i="6"/>
  <c r="O47" i="6"/>
  <c r="M48" i="6"/>
  <c r="N48" i="6"/>
  <c r="O48" i="6"/>
  <c r="M49" i="6"/>
  <c r="N49" i="6"/>
  <c r="O49" i="6"/>
  <c r="M50" i="6"/>
  <c r="N50" i="6"/>
  <c r="O50" i="6"/>
  <c r="M51" i="6"/>
  <c r="N51" i="6"/>
  <c r="O51" i="6"/>
  <c r="M52" i="6"/>
  <c r="N52" i="6"/>
  <c r="O52" i="6"/>
  <c r="M53" i="6"/>
  <c r="N53" i="6"/>
  <c r="O53" i="6"/>
  <c r="M54" i="6"/>
  <c r="N54" i="6"/>
  <c r="O54" i="6"/>
  <c r="M55" i="6"/>
  <c r="N55" i="6"/>
  <c r="O55" i="6"/>
  <c r="M56" i="6"/>
  <c r="N56" i="6"/>
  <c r="O56" i="6"/>
  <c r="M57" i="6"/>
  <c r="N57" i="6"/>
  <c r="O57" i="6"/>
  <c r="M58" i="6"/>
  <c r="N58" i="6"/>
  <c r="O58" i="6"/>
  <c r="M59" i="6"/>
  <c r="N59" i="6"/>
  <c r="O59" i="6"/>
  <c r="M60" i="6"/>
  <c r="N60" i="6"/>
  <c r="O60" i="6"/>
  <c r="M61" i="6"/>
  <c r="N61" i="6"/>
  <c r="O61" i="6"/>
  <c r="M62" i="6"/>
  <c r="N62" i="6"/>
  <c r="O62" i="6"/>
  <c r="M63" i="6"/>
  <c r="N63" i="6"/>
  <c r="O63" i="6"/>
  <c r="M64" i="6"/>
  <c r="N64" i="6"/>
  <c r="O64" i="6"/>
  <c r="M65" i="6"/>
  <c r="N65" i="6"/>
  <c r="O65" i="6"/>
  <c r="M66" i="6"/>
  <c r="N66" i="6"/>
  <c r="O66" i="6"/>
  <c r="M67" i="6"/>
  <c r="N67" i="6"/>
  <c r="O67" i="6"/>
  <c r="M68" i="6"/>
  <c r="N68" i="6"/>
  <c r="O68" i="6"/>
  <c r="M69" i="6"/>
  <c r="N69" i="6"/>
  <c r="O69" i="6"/>
  <c r="M70" i="6"/>
  <c r="N70" i="6"/>
  <c r="O70" i="6"/>
  <c r="M71" i="6"/>
  <c r="N71" i="6"/>
  <c r="O71" i="6"/>
  <c r="M72" i="6"/>
  <c r="N72" i="6"/>
  <c r="O72" i="6"/>
  <c r="M73" i="6"/>
  <c r="N73" i="6"/>
  <c r="O73" i="6"/>
  <c r="M74" i="6"/>
  <c r="N74" i="6"/>
  <c r="O74" i="6"/>
  <c r="M75" i="6"/>
  <c r="N75" i="6"/>
  <c r="O75" i="6"/>
  <c r="M76" i="6"/>
  <c r="N76" i="6"/>
  <c r="O76" i="6"/>
  <c r="M77" i="6"/>
  <c r="N77" i="6"/>
  <c r="O77" i="6"/>
  <c r="M78" i="6"/>
  <c r="N78" i="6"/>
  <c r="O78" i="6"/>
  <c r="M79" i="6"/>
  <c r="N79" i="6"/>
  <c r="O79" i="6"/>
  <c r="M80" i="6"/>
  <c r="N80" i="6"/>
  <c r="O80" i="6"/>
  <c r="M81" i="6"/>
  <c r="N81" i="6"/>
  <c r="O81" i="6"/>
  <c r="M82" i="6"/>
  <c r="N82" i="6"/>
  <c r="O82" i="6"/>
  <c r="M83" i="6"/>
  <c r="N83" i="6"/>
  <c r="O83" i="6"/>
  <c r="M84" i="6"/>
  <c r="N84" i="6"/>
  <c r="O84" i="6"/>
  <c r="M85" i="6"/>
  <c r="N85" i="6"/>
  <c r="O85" i="6"/>
  <c r="M86" i="6"/>
  <c r="N86" i="6"/>
  <c r="O86" i="6"/>
  <c r="M87" i="6"/>
  <c r="N87" i="6"/>
  <c r="O87" i="6"/>
  <c r="M88" i="6"/>
  <c r="N88" i="6"/>
  <c r="O88" i="6"/>
  <c r="M89" i="6"/>
  <c r="N89" i="6"/>
  <c r="O89" i="6"/>
  <c r="M90" i="6"/>
  <c r="N90" i="6"/>
  <c r="O90" i="6"/>
  <c r="M91" i="6"/>
  <c r="N91" i="6"/>
  <c r="O91" i="6"/>
  <c r="M92" i="6"/>
  <c r="N92" i="6"/>
  <c r="O92" i="6"/>
  <c r="M93" i="6"/>
  <c r="N93" i="6"/>
  <c r="O93" i="6"/>
  <c r="M94" i="6"/>
  <c r="N94" i="6"/>
  <c r="O94" i="6"/>
  <c r="M95" i="6"/>
  <c r="N95" i="6"/>
  <c r="O95" i="6"/>
  <c r="M96" i="6"/>
  <c r="N96" i="6"/>
  <c r="O96" i="6"/>
  <c r="M97" i="6"/>
  <c r="N97" i="6"/>
  <c r="O97" i="6"/>
  <c r="M98" i="6"/>
  <c r="N98" i="6"/>
  <c r="O98" i="6"/>
  <c r="M99" i="6"/>
  <c r="N99" i="6"/>
  <c r="O99" i="6"/>
  <c r="M100" i="6"/>
  <c r="N100" i="6"/>
  <c r="O100" i="6"/>
  <c r="M101" i="6"/>
  <c r="N101" i="6"/>
  <c r="O101" i="6"/>
  <c r="M102" i="6"/>
  <c r="N102" i="6"/>
  <c r="O102" i="6"/>
  <c r="M103" i="6"/>
  <c r="N103" i="6"/>
  <c r="O103" i="6"/>
  <c r="M104" i="6"/>
  <c r="N104" i="6"/>
  <c r="O104" i="6"/>
  <c r="M105" i="6"/>
  <c r="N105" i="6"/>
  <c r="O105" i="6"/>
  <c r="M106" i="6"/>
  <c r="N106" i="6"/>
  <c r="O106" i="6"/>
  <c r="M107" i="6"/>
  <c r="N107" i="6"/>
  <c r="O107" i="6"/>
  <c r="M108" i="6"/>
  <c r="N108" i="6"/>
  <c r="O108" i="6"/>
  <c r="M109" i="6"/>
  <c r="N109" i="6"/>
  <c r="O109" i="6"/>
  <c r="M110" i="6"/>
  <c r="N110" i="6"/>
  <c r="O110" i="6"/>
  <c r="M111" i="6"/>
  <c r="N111" i="6"/>
  <c r="O111" i="6"/>
  <c r="M112" i="6"/>
  <c r="N112" i="6"/>
  <c r="O112" i="6"/>
  <c r="M113" i="6"/>
  <c r="N113" i="6"/>
  <c r="O113" i="6"/>
  <c r="M114" i="6"/>
  <c r="N114" i="6"/>
  <c r="O114" i="6"/>
  <c r="M115" i="6"/>
  <c r="N115" i="6"/>
  <c r="O115" i="6"/>
  <c r="M116" i="6"/>
  <c r="N116" i="6"/>
  <c r="O116" i="6"/>
  <c r="M117" i="6"/>
  <c r="N117" i="6"/>
  <c r="O117" i="6"/>
  <c r="M118" i="6"/>
  <c r="N118" i="6"/>
  <c r="O118" i="6"/>
  <c r="M119" i="6"/>
  <c r="N119" i="6"/>
  <c r="O119" i="6"/>
  <c r="M120" i="6"/>
  <c r="N120" i="6"/>
  <c r="O120" i="6"/>
  <c r="M121" i="6"/>
  <c r="N121" i="6"/>
  <c r="O121" i="6"/>
  <c r="M122" i="6"/>
  <c r="N122" i="6"/>
  <c r="O122" i="6"/>
  <c r="M123" i="6"/>
  <c r="N123" i="6"/>
  <c r="O123" i="6"/>
  <c r="M124" i="6"/>
  <c r="N124" i="6"/>
  <c r="O124" i="6"/>
  <c r="M125" i="6"/>
  <c r="N125" i="6"/>
  <c r="O125" i="6"/>
  <c r="M126" i="6"/>
  <c r="N126" i="6"/>
  <c r="O126" i="6"/>
  <c r="M127" i="6"/>
  <c r="N127" i="6"/>
  <c r="O127" i="6"/>
  <c r="M128" i="6"/>
  <c r="N128" i="6"/>
  <c r="O128" i="6"/>
  <c r="M129" i="6"/>
  <c r="N129" i="6"/>
  <c r="O129" i="6"/>
  <c r="M130" i="6"/>
  <c r="N130" i="6"/>
  <c r="O130" i="6"/>
  <c r="M131" i="6"/>
  <c r="N131" i="6"/>
  <c r="O131" i="6"/>
  <c r="M132" i="6"/>
  <c r="N132" i="6"/>
  <c r="O132" i="6"/>
  <c r="M133" i="6"/>
  <c r="N133" i="6"/>
  <c r="O133" i="6"/>
  <c r="M134" i="6"/>
  <c r="N134" i="6"/>
  <c r="O134" i="6"/>
  <c r="M135" i="6"/>
  <c r="N135" i="6"/>
  <c r="O135" i="6"/>
  <c r="M136" i="6"/>
  <c r="N136" i="6"/>
  <c r="O136" i="6"/>
  <c r="M137" i="6"/>
  <c r="N137" i="6"/>
  <c r="O137" i="6"/>
  <c r="M138" i="6"/>
  <c r="N138" i="6"/>
  <c r="O138" i="6"/>
  <c r="M139" i="6"/>
  <c r="N139" i="6"/>
  <c r="O139" i="6"/>
  <c r="M140" i="6"/>
  <c r="N140" i="6"/>
  <c r="O140" i="6"/>
  <c r="M141" i="6"/>
  <c r="N141" i="6"/>
  <c r="O141" i="6"/>
  <c r="M142" i="6"/>
  <c r="N142" i="6"/>
  <c r="O142" i="6"/>
  <c r="M143" i="6"/>
  <c r="N143" i="6"/>
  <c r="O143" i="6"/>
  <c r="M144" i="6"/>
  <c r="N144" i="6"/>
  <c r="O144" i="6"/>
  <c r="M145" i="6"/>
  <c r="N145" i="6"/>
  <c r="O145" i="6"/>
  <c r="M146" i="6"/>
  <c r="N146" i="6"/>
  <c r="O146" i="6"/>
  <c r="M147" i="6"/>
  <c r="N147" i="6"/>
  <c r="O147" i="6"/>
  <c r="M148" i="6"/>
  <c r="N148" i="6"/>
  <c r="O148" i="6"/>
  <c r="M149" i="6"/>
  <c r="N149" i="6"/>
  <c r="O149" i="6"/>
  <c r="M150" i="6"/>
  <c r="N150" i="6"/>
  <c r="O150" i="6"/>
  <c r="M151" i="6"/>
  <c r="N151" i="6"/>
  <c r="O151" i="6"/>
  <c r="M152" i="6"/>
  <c r="N152" i="6"/>
  <c r="O152" i="6"/>
  <c r="M153" i="6"/>
  <c r="N153" i="6"/>
  <c r="O153" i="6"/>
  <c r="M154" i="6"/>
  <c r="N154" i="6"/>
  <c r="O154" i="6"/>
  <c r="M155" i="6"/>
  <c r="N155" i="6"/>
  <c r="O155" i="6"/>
  <c r="M156" i="6"/>
  <c r="N156" i="6"/>
  <c r="O156" i="6"/>
  <c r="M157" i="6"/>
  <c r="N157" i="6"/>
  <c r="O157" i="6"/>
  <c r="M158" i="6"/>
  <c r="N158" i="6"/>
  <c r="O158" i="6"/>
  <c r="M159" i="6"/>
  <c r="N159" i="6"/>
  <c r="O159" i="6"/>
  <c r="M160" i="6"/>
  <c r="N160" i="6"/>
  <c r="O160" i="6"/>
  <c r="M161" i="6"/>
  <c r="N161" i="6"/>
  <c r="O161" i="6"/>
  <c r="M162" i="6"/>
  <c r="N162" i="6"/>
  <c r="O162" i="6"/>
  <c r="M163" i="6"/>
  <c r="N163" i="6"/>
  <c r="O163" i="6"/>
  <c r="M164" i="6"/>
  <c r="N164" i="6"/>
  <c r="O164" i="6"/>
  <c r="M165" i="6"/>
  <c r="N165" i="6"/>
  <c r="O165" i="6"/>
  <c r="M166" i="6"/>
  <c r="N166" i="6"/>
  <c r="O166" i="6"/>
  <c r="M167" i="6"/>
  <c r="N167" i="6"/>
  <c r="O167" i="6"/>
  <c r="M168" i="6"/>
  <c r="N168" i="6"/>
  <c r="O168" i="6"/>
  <c r="M169" i="6"/>
  <c r="N169" i="6"/>
  <c r="O169" i="6"/>
  <c r="M170" i="6"/>
  <c r="N170" i="6"/>
  <c r="O170" i="6"/>
  <c r="M171" i="6"/>
  <c r="N171" i="6"/>
  <c r="O171" i="6"/>
  <c r="M172" i="6"/>
  <c r="N172" i="6"/>
  <c r="O172" i="6"/>
  <c r="M173" i="6"/>
  <c r="N173" i="6"/>
  <c r="O173" i="6"/>
  <c r="M174" i="6"/>
  <c r="N174" i="6"/>
  <c r="O174" i="6"/>
  <c r="M175" i="6"/>
  <c r="N175" i="6"/>
  <c r="O175" i="6"/>
  <c r="M176" i="6"/>
  <c r="N176" i="6"/>
  <c r="O176" i="6"/>
  <c r="M177" i="6"/>
  <c r="N177" i="6"/>
  <c r="O177" i="6"/>
  <c r="M178" i="6"/>
  <c r="N178" i="6"/>
  <c r="O178" i="6"/>
  <c r="M179" i="6"/>
  <c r="N179" i="6"/>
  <c r="O179" i="6"/>
  <c r="M180" i="6"/>
  <c r="N180" i="6"/>
  <c r="O180" i="6"/>
  <c r="M181" i="6"/>
  <c r="N181" i="6"/>
  <c r="O181" i="6"/>
  <c r="M182" i="6"/>
  <c r="N182" i="6"/>
  <c r="O182" i="6"/>
  <c r="M183" i="6"/>
  <c r="N183" i="6"/>
  <c r="O183" i="6"/>
  <c r="M184" i="6"/>
  <c r="N184" i="6"/>
  <c r="O184" i="6"/>
  <c r="M185" i="6"/>
  <c r="N185" i="6"/>
  <c r="O185" i="6"/>
  <c r="M186" i="6"/>
  <c r="N186" i="6"/>
  <c r="O186" i="6"/>
  <c r="M187" i="6"/>
  <c r="N187" i="6"/>
  <c r="O187" i="6"/>
  <c r="M188" i="6"/>
  <c r="N188" i="6"/>
  <c r="O188" i="6"/>
  <c r="M189" i="6"/>
  <c r="N189" i="6"/>
  <c r="O189" i="6"/>
  <c r="M190" i="6"/>
  <c r="N190" i="6"/>
  <c r="O190" i="6"/>
  <c r="M191" i="6"/>
  <c r="N191" i="6"/>
  <c r="O191" i="6"/>
  <c r="M192" i="6"/>
  <c r="N192" i="6"/>
  <c r="O192" i="6"/>
  <c r="M193" i="6"/>
  <c r="N193" i="6"/>
  <c r="O193" i="6"/>
  <c r="M194" i="6"/>
  <c r="N194" i="6"/>
  <c r="O194" i="6"/>
  <c r="M195" i="6"/>
  <c r="N195" i="6"/>
  <c r="O195" i="6"/>
  <c r="M196" i="6"/>
  <c r="N196" i="6"/>
  <c r="O196" i="6"/>
  <c r="M197" i="6"/>
  <c r="N197" i="6"/>
  <c r="O197" i="6"/>
  <c r="M198" i="6"/>
  <c r="N198" i="6"/>
  <c r="O198" i="6"/>
  <c r="M199" i="6"/>
  <c r="N199" i="6"/>
  <c r="O199" i="6"/>
  <c r="M200" i="6"/>
  <c r="N200" i="6"/>
  <c r="O200" i="6"/>
  <c r="M201" i="6"/>
  <c r="N201" i="6"/>
  <c r="O201" i="6"/>
  <c r="M202" i="6"/>
  <c r="N202" i="6"/>
  <c r="O202" i="6"/>
  <c r="M203" i="6"/>
  <c r="N203" i="6"/>
  <c r="O203" i="6"/>
  <c r="M204" i="6"/>
  <c r="N204" i="6"/>
  <c r="O204" i="6"/>
  <c r="M205" i="6"/>
  <c r="N205" i="6"/>
  <c r="O205" i="6"/>
  <c r="M206" i="6"/>
  <c r="N206" i="6"/>
  <c r="O206" i="6"/>
  <c r="M207" i="6"/>
  <c r="N207" i="6"/>
  <c r="O207" i="6"/>
  <c r="M208" i="6"/>
  <c r="N208" i="6"/>
  <c r="O208" i="6"/>
  <c r="M209" i="6"/>
  <c r="N209" i="6"/>
  <c r="O209" i="6"/>
  <c r="M210" i="6"/>
  <c r="N210" i="6"/>
  <c r="O210" i="6"/>
  <c r="M211" i="6"/>
  <c r="N211" i="6"/>
  <c r="O211" i="6"/>
  <c r="M212" i="6"/>
  <c r="N212" i="6"/>
  <c r="O212" i="6"/>
  <c r="M213" i="6"/>
  <c r="N213" i="6"/>
  <c r="O213" i="6"/>
  <c r="M214" i="6"/>
  <c r="N214" i="6"/>
  <c r="O214" i="6"/>
  <c r="M215" i="6"/>
  <c r="N215" i="6"/>
  <c r="O215" i="6"/>
  <c r="M216" i="6"/>
  <c r="N216" i="6"/>
  <c r="O216" i="6"/>
  <c r="M217" i="6"/>
  <c r="N217" i="6"/>
  <c r="O217" i="6"/>
  <c r="M218" i="6"/>
  <c r="N218" i="6"/>
  <c r="O218" i="6"/>
  <c r="M219" i="6"/>
  <c r="N219" i="6"/>
  <c r="O219" i="6"/>
  <c r="M220" i="6"/>
  <c r="N220" i="6"/>
  <c r="O220" i="6"/>
  <c r="M221" i="6"/>
  <c r="N221" i="6"/>
  <c r="O221" i="6"/>
  <c r="M222" i="6"/>
  <c r="N222" i="6"/>
  <c r="O222" i="6"/>
  <c r="M223" i="6"/>
  <c r="N223" i="6"/>
  <c r="O223" i="6"/>
  <c r="M224" i="6"/>
  <c r="N224" i="6"/>
  <c r="O224" i="6"/>
  <c r="M225" i="6"/>
  <c r="N225" i="6"/>
  <c r="O225" i="6"/>
  <c r="M226" i="6"/>
  <c r="N226" i="6"/>
  <c r="O226" i="6"/>
  <c r="M227" i="6"/>
  <c r="N227" i="6"/>
  <c r="O227" i="6"/>
  <c r="M228" i="6"/>
  <c r="N228" i="6"/>
  <c r="O228" i="6"/>
  <c r="M229" i="6"/>
  <c r="N229" i="6"/>
  <c r="O229" i="6"/>
  <c r="M230" i="6"/>
  <c r="N230" i="6"/>
  <c r="O230" i="6"/>
  <c r="M231" i="6"/>
  <c r="N231" i="6"/>
  <c r="O231" i="6"/>
  <c r="M232" i="6"/>
  <c r="N232" i="6"/>
  <c r="O232" i="6"/>
  <c r="M233" i="6"/>
  <c r="N233" i="6"/>
  <c r="O233" i="6"/>
  <c r="M234" i="6"/>
  <c r="N234" i="6"/>
  <c r="O234" i="6"/>
  <c r="M235" i="6"/>
  <c r="N235" i="6"/>
  <c r="O235" i="6"/>
  <c r="M236" i="6"/>
  <c r="N236" i="6"/>
  <c r="O236" i="6"/>
  <c r="M237" i="6"/>
  <c r="N237" i="6"/>
  <c r="O237" i="6"/>
  <c r="M238" i="6"/>
  <c r="N238" i="6"/>
  <c r="O238" i="6"/>
  <c r="M239" i="6"/>
  <c r="N239" i="6"/>
  <c r="O239" i="6"/>
  <c r="M240" i="6"/>
  <c r="N240" i="6"/>
  <c r="O240" i="6"/>
  <c r="M241" i="6"/>
  <c r="N241" i="6"/>
  <c r="O241" i="6"/>
  <c r="M242" i="6"/>
  <c r="N242" i="6"/>
  <c r="O242" i="6"/>
  <c r="M243" i="6"/>
  <c r="N243" i="6"/>
  <c r="O243" i="6"/>
  <c r="M244" i="6"/>
  <c r="N244" i="6"/>
  <c r="O244" i="6"/>
  <c r="M245" i="6"/>
  <c r="N245" i="6"/>
  <c r="O245" i="6"/>
  <c r="M246" i="6"/>
  <c r="N246" i="6"/>
  <c r="O246" i="6"/>
  <c r="M247" i="6"/>
  <c r="N247" i="6"/>
  <c r="O247" i="6"/>
  <c r="M248" i="6"/>
  <c r="N248" i="6"/>
  <c r="O248" i="6"/>
  <c r="M249" i="6"/>
  <c r="N249" i="6"/>
  <c r="O249" i="6"/>
  <c r="N7" i="6"/>
  <c r="O7" i="6"/>
  <c r="M7" i="6"/>
  <c r="B52" i="1" l="1"/>
  <c r="V71" i="1" l="1"/>
  <c r="V69" i="1"/>
  <c r="T9" i="6" l="1"/>
  <c r="T10" i="6"/>
  <c r="T11" i="6"/>
  <c r="T12"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51" i="6"/>
  <c r="T52" i="6"/>
  <c r="T53" i="6"/>
  <c r="T54" i="6"/>
  <c r="T55" i="6"/>
  <c r="T56" i="6"/>
  <c r="T57" i="6"/>
  <c r="T58" i="6"/>
  <c r="T59" i="6"/>
  <c r="T60" i="6"/>
  <c r="T61" i="6"/>
  <c r="T62" i="6"/>
  <c r="T63" i="6"/>
  <c r="T64" i="6"/>
  <c r="T65" i="6"/>
  <c r="T66" i="6"/>
  <c r="T67" i="6"/>
  <c r="T68" i="6"/>
  <c r="T69" i="6"/>
  <c r="T70" i="6"/>
  <c r="T71" i="6"/>
  <c r="T72" i="6"/>
  <c r="T73" i="6"/>
  <c r="T74" i="6"/>
  <c r="T75" i="6"/>
  <c r="T76" i="6"/>
  <c r="T77" i="6"/>
  <c r="T78" i="6"/>
  <c r="T79" i="6"/>
  <c r="T80" i="6"/>
  <c r="T81" i="6"/>
  <c r="T82" i="6"/>
  <c r="T83" i="6"/>
  <c r="T84" i="6"/>
  <c r="T85" i="6"/>
  <c r="T86" i="6"/>
  <c r="T87" i="6"/>
  <c r="T88" i="6"/>
  <c r="T89" i="6"/>
  <c r="T90" i="6"/>
  <c r="T91" i="6"/>
  <c r="T92" i="6"/>
  <c r="T93" i="6"/>
  <c r="T94" i="6"/>
  <c r="T95" i="6"/>
  <c r="T96" i="6"/>
  <c r="T97" i="6"/>
  <c r="T98" i="6"/>
  <c r="T99" i="6"/>
  <c r="T100" i="6"/>
  <c r="T101" i="6"/>
  <c r="T102" i="6"/>
  <c r="T103" i="6"/>
  <c r="T104" i="6"/>
  <c r="T105" i="6"/>
  <c r="T106" i="6"/>
  <c r="T107" i="6"/>
  <c r="T108" i="6"/>
  <c r="T109" i="6"/>
  <c r="T110" i="6"/>
  <c r="T111" i="6"/>
  <c r="T112" i="6"/>
  <c r="T113" i="6"/>
  <c r="T114" i="6"/>
  <c r="T115" i="6"/>
  <c r="T116" i="6"/>
  <c r="T117" i="6"/>
  <c r="T118" i="6"/>
  <c r="T119" i="6"/>
  <c r="T120" i="6"/>
  <c r="T121" i="6"/>
  <c r="T122" i="6"/>
  <c r="T123" i="6"/>
  <c r="T124" i="6"/>
  <c r="T125" i="6"/>
  <c r="T126" i="6"/>
  <c r="T127" i="6"/>
  <c r="T128" i="6"/>
  <c r="T129" i="6"/>
  <c r="T130" i="6"/>
  <c r="T131" i="6"/>
  <c r="T132" i="6"/>
  <c r="T133" i="6"/>
  <c r="T134" i="6"/>
  <c r="T135" i="6"/>
  <c r="T136" i="6"/>
  <c r="T137" i="6"/>
  <c r="T138" i="6"/>
  <c r="T139" i="6"/>
  <c r="T140" i="6"/>
  <c r="T141" i="6"/>
  <c r="T142" i="6"/>
  <c r="T143" i="6"/>
  <c r="T144" i="6"/>
  <c r="T145" i="6"/>
  <c r="T146" i="6"/>
  <c r="T147" i="6"/>
  <c r="T148" i="6"/>
  <c r="T149" i="6"/>
  <c r="T150" i="6"/>
  <c r="T151" i="6"/>
  <c r="T152" i="6"/>
  <c r="T153" i="6"/>
  <c r="T154" i="6"/>
  <c r="T155" i="6"/>
  <c r="T156" i="6"/>
  <c r="T157" i="6"/>
  <c r="T158" i="6"/>
  <c r="T159" i="6"/>
  <c r="T160" i="6"/>
  <c r="T161" i="6"/>
  <c r="T162" i="6"/>
  <c r="T163" i="6"/>
  <c r="T164" i="6"/>
  <c r="T165" i="6"/>
  <c r="T166" i="6"/>
  <c r="T167" i="6"/>
  <c r="T168" i="6"/>
  <c r="T169" i="6"/>
  <c r="T170" i="6"/>
  <c r="T171" i="6"/>
  <c r="T172" i="6"/>
  <c r="T173" i="6"/>
  <c r="T174" i="6"/>
  <c r="T175" i="6"/>
  <c r="T176" i="6"/>
  <c r="T177" i="6"/>
  <c r="T178" i="6"/>
  <c r="T179" i="6"/>
  <c r="T180" i="6"/>
  <c r="T181" i="6"/>
  <c r="T182" i="6"/>
  <c r="T183" i="6"/>
  <c r="T184" i="6"/>
  <c r="T185" i="6"/>
  <c r="T186" i="6"/>
  <c r="T187" i="6"/>
  <c r="T188" i="6"/>
  <c r="T189" i="6"/>
  <c r="T190" i="6"/>
  <c r="T191" i="6"/>
  <c r="T192" i="6"/>
  <c r="T193" i="6"/>
  <c r="T194" i="6"/>
  <c r="T195" i="6"/>
  <c r="T196" i="6"/>
  <c r="T197" i="6"/>
  <c r="T198" i="6"/>
  <c r="T199" i="6"/>
  <c r="T200" i="6"/>
  <c r="T201" i="6"/>
  <c r="T202" i="6"/>
  <c r="T203" i="6"/>
  <c r="T204" i="6"/>
  <c r="T205" i="6"/>
  <c r="T206" i="6"/>
  <c r="T207" i="6"/>
  <c r="T208" i="6"/>
  <c r="T209" i="6"/>
  <c r="T210" i="6"/>
  <c r="T211" i="6"/>
  <c r="T212" i="6"/>
  <c r="T213" i="6"/>
  <c r="T214" i="6"/>
  <c r="T215" i="6"/>
  <c r="T216" i="6"/>
  <c r="T217" i="6"/>
  <c r="T218" i="6"/>
  <c r="T219" i="6"/>
  <c r="T220" i="6"/>
  <c r="T221" i="6"/>
  <c r="T222" i="6"/>
  <c r="T223" i="6"/>
  <c r="T224" i="6"/>
  <c r="T225" i="6"/>
  <c r="T226" i="6"/>
  <c r="T227" i="6"/>
  <c r="T228" i="6"/>
  <c r="T229" i="6"/>
  <c r="T230" i="6"/>
  <c r="T231" i="6"/>
  <c r="T232" i="6"/>
  <c r="T233" i="6"/>
  <c r="T234" i="6"/>
  <c r="T235" i="6"/>
  <c r="T236" i="6"/>
  <c r="T237" i="6"/>
  <c r="T238" i="6"/>
  <c r="T239" i="6"/>
  <c r="T240" i="6"/>
  <c r="T241" i="6"/>
  <c r="T242" i="6"/>
  <c r="T243" i="6"/>
  <c r="T244" i="6"/>
  <c r="T245" i="6"/>
  <c r="T246" i="6"/>
  <c r="T247" i="6"/>
  <c r="T248" i="6"/>
  <c r="T249" i="6"/>
  <c r="T250" i="6"/>
  <c r="T8" i="6"/>
  <c r="R19" i="4" l="1"/>
  <c r="S19" i="4" s="1"/>
  <c r="S12" i="4"/>
  <c r="S11" i="4"/>
  <c r="S10" i="4"/>
  <c r="S9" i="4"/>
  <c r="S8" i="4"/>
  <c r="E59" i="1" l="1"/>
  <c r="E60" i="1"/>
  <c r="E61" i="1"/>
  <c r="L57" i="1"/>
  <c r="H49" i="1"/>
  <c r="K84" i="1" s="1"/>
  <c r="H48" i="1"/>
  <c r="J61" i="1" s="1"/>
  <c r="H47" i="1"/>
  <c r="I88" i="1" s="1"/>
  <c r="E65" i="1"/>
  <c r="L84" i="1"/>
  <c r="J90" i="1" l="1"/>
  <c r="M89" i="1" s="1"/>
  <c r="J65" i="1"/>
  <c r="L82" i="1"/>
  <c r="K59" i="1"/>
  <c r="J86" i="1"/>
  <c r="M83" i="1" s="1"/>
  <c r="K63" i="1"/>
  <c r="K88" i="1"/>
  <c r="E62" i="1"/>
  <c r="L59" i="1"/>
  <c r="L61" i="1" s="1"/>
  <c r="I68" i="1"/>
  <c r="M67" i="1" s="1"/>
  <c r="I63" i="1"/>
  <c r="I93" i="1"/>
  <c r="M92" i="1" s="1"/>
  <c r="Q92" i="1" s="1"/>
  <c r="V70" i="1" l="1"/>
  <c r="Q99" i="1" s="1"/>
  <c r="E64" i="1"/>
  <c r="E67" i="1" s="1"/>
  <c r="Q89" i="1"/>
  <c r="Q67" i="1"/>
  <c r="V72" i="1"/>
  <c r="M87" i="1"/>
  <c r="M56" i="1"/>
  <c r="M81" i="1"/>
  <c r="L86" i="1"/>
  <c r="M85" i="1" s="1"/>
  <c r="M60" i="1"/>
  <c r="M58" i="1"/>
  <c r="M62" i="1"/>
  <c r="M64" i="1"/>
  <c r="Q74" i="1" s="1"/>
  <c r="E66" i="1" l="1"/>
  <c r="Q75" i="1"/>
  <c r="Q100" i="1"/>
  <c r="M94" i="1"/>
  <c r="Q64" i="1"/>
  <c r="Q98" i="1"/>
  <c r="Q97" i="1"/>
  <c r="Q73" i="1"/>
  <c r="Q72" i="1"/>
  <c r="W57" i="1"/>
  <c r="F6" i="1" s="1"/>
  <c r="M69" i="1"/>
  <c r="S7" i="6" l="1"/>
  <c r="R7" i="6" s="1"/>
  <c r="P164" i="6"/>
  <c r="P188" i="6"/>
  <c r="P185" i="6"/>
  <c r="P198" i="6"/>
  <c r="S199" i="6" s="1"/>
  <c r="P126" i="6"/>
  <c r="S127" i="6" s="1"/>
  <c r="P54" i="6"/>
  <c r="S55" i="6" s="1"/>
  <c r="P219" i="6"/>
  <c r="S220" i="6" s="1"/>
  <c r="P155" i="6"/>
  <c r="S156" i="6" s="1"/>
  <c r="P91" i="6"/>
  <c r="P27" i="6"/>
  <c r="P145" i="6"/>
  <c r="S146" i="6" s="1"/>
  <c r="P176" i="6"/>
  <c r="S177" i="6" s="1"/>
  <c r="P88" i="6"/>
  <c r="S89" i="6" s="1"/>
  <c r="P24" i="6"/>
  <c r="S25" i="6" s="1"/>
  <c r="P36" i="6"/>
  <c r="S37" i="6" s="1"/>
  <c r="P136" i="6"/>
  <c r="S137" i="6" s="1"/>
  <c r="P189" i="6"/>
  <c r="P125" i="6"/>
  <c r="P61" i="6"/>
  <c r="S62" i="6" s="1"/>
  <c r="P132" i="6"/>
  <c r="S133" i="6" s="1"/>
  <c r="P73" i="6"/>
  <c r="S74" i="6" s="1"/>
  <c r="P208" i="6"/>
  <c r="S209" i="6" s="1"/>
  <c r="P186" i="6"/>
  <c r="S187" i="6" s="1"/>
  <c r="P122" i="6"/>
  <c r="S123" i="6" s="1"/>
  <c r="P58" i="6"/>
  <c r="P220" i="6"/>
  <c r="P110" i="6"/>
  <c r="S111" i="6" s="1"/>
  <c r="P223" i="6"/>
  <c r="S224" i="6" s="1"/>
  <c r="P159" i="6"/>
  <c r="S160" i="6" s="1"/>
  <c r="P95" i="6"/>
  <c r="S96" i="6" s="1"/>
  <c r="P31" i="6"/>
  <c r="S32" i="6" s="1"/>
  <c r="P228" i="6"/>
  <c r="S229" i="6" s="1"/>
  <c r="P47" i="6"/>
  <c r="P62" i="6"/>
  <c r="P130" i="6"/>
  <c r="S131" i="6" s="1"/>
  <c r="P193" i="6"/>
  <c r="S194" i="6" s="1"/>
  <c r="P140" i="6"/>
  <c r="S141" i="6" s="1"/>
  <c r="P153" i="6"/>
  <c r="S154" i="6" s="1"/>
  <c r="P182" i="6"/>
  <c r="S183" i="6" s="1"/>
  <c r="P118" i="6"/>
  <c r="S119" i="6" s="1"/>
  <c r="P46" i="6"/>
  <c r="P211" i="6"/>
  <c r="P147" i="6"/>
  <c r="S148" i="6" s="1"/>
  <c r="P83" i="6"/>
  <c r="S84" i="6" s="1"/>
  <c r="P19" i="6"/>
  <c r="S20" i="6" s="1"/>
  <c r="P121" i="6"/>
  <c r="S122" i="6" s="1"/>
  <c r="P152" i="6"/>
  <c r="S153" i="6" s="1"/>
  <c r="P80" i="6"/>
  <c r="S81" i="6" s="1"/>
  <c r="P16" i="6"/>
  <c r="P201" i="6"/>
  <c r="S202" i="6" s="1"/>
  <c r="P245" i="6"/>
  <c r="S246" i="6" s="1"/>
  <c r="P181" i="6"/>
  <c r="S182" i="6" s="1"/>
  <c r="P117" i="6"/>
  <c r="S118" i="6" s="1"/>
  <c r="P53" i="6"/>
  <c r="S54" i="6" s="1"/>
  <c r="P92" i="6"/>
  <c r="S93" i="6" s="1"/>
  <c r="P57" i="6"/>
  <c r="S58" i="6" s="1"/>
  <c r="P160" i="6"/>
  <c r="P178" i="6"/>
  <c r="S179" i="6" s="1"/>
  <c r="P114" i="6"/>
  <c r="S115" i="6" s="1"/>
  <c r="P50" i="6"/>
  <c r="S51" i="6" s="1"/>
  <c r="P196" i="6"/>
  <c r="S197" i="6" s="1"/>
  <c r="P248" i="6"/>
  <c r="S249" i="6" s="1"/>
  <c r="P215" i="6"/>
  <c r="S216" i="6" s="1"/>
  <c r="P151" i="6"/>
  <c r="S152" i="6" s="1"/>
  <c r="P87" i="6"/>
  <c r="P23" i="6"/>
  <c r="S24" i="6" s="1"/>
  <c r="P98" i="6"/>
  <c r="S99" i="6" s="1"/>
  <c r="P55" i="6"/>
  <c r="S56" i="6" s="1"/>
  <c r="P235" i="6"/>
  <c r="S236" i="6" s="1"/>
  <c r="P43" i="6"/>
  <c r="S44" i="6" s="1"/>
  <c r="P184" i="6"/>
  <c r="S185" i="6" s="1"/>
  <c r="P232" i="6"/>
  <c r="S233" i="6" s="1"/>
  <c r="P239" i="6"/>
  <c r="P217" i="6"/>
  <c r="S218" i="6" s="1"/>
  <c r="P35" i="6"/>
  <c r="S36" i="6" s="1"/>
  <c r="P32" i="6"/>
  <c r="S33" i="6" s="1"/>
  <c r="P69" i="6"/>
  <c r="S70" i="6" s="1"/>
  <c r="P66" i="6"/>
  <c r="S67" i="6" s="1"/>
  <c r="P9" i="6"/>
  <c r="S10" i="6" s="1"/>
  <c r="P124" i="6"/>
  <c r="S125" i="6" s="1"/>
  <c r="P129" i="6"/>
  <c r="P174" i="6"/>
  <c r="S175" i="6" s="1"/>
  <c r="P102" i="6"/>
  <c r="S103" i="6" s="1"/>
  <c r="P38" i="6"/>
  <c r="S39" i="6" s="1"/>
  <c r="P203" i="6"/>
  <c r="S204" i="6" s="1"/>
  <c r="P139" i="6"/>
  <c r="S140" i="6" s="1"/>
  <c r="P75" i="6"/>
  <c r="S76" i="6" s="1"/>
  <c r="P11" i="6"/>
  <c r="S12" i="6" s="1"/>
  <c r="P81" i="6"/>
  <c r="S82" i="6" s="1"/>
  <c r="P144" i="6"/>
  <c r="S145" i="6" s="1"/>
  <c r="P72" i="6"/>
  <c r="S73" i="6" s="1"/>
  <c r="P8" i="6"/>
  <c r="S9" i="6" s="1"/>
  <c r="P169" i="6"/>
  <c r="S170" i="6" s="1"/>
  <c r="P237" i="6"/>
  <c r="S238" i="6" s="1"/>
  <c r="P173" i="6"/>
  <c r="S174" i="6" s="1"/>
  <c r="P109" i="6"/>
  <c r="S110" i="6" s="1"/>
  <c r="P45" i="6"/>
  <c r="S46" i="6" s="1"/>
  <c r="P12" i="6"/>
  <c r="S13" i="6" s="1"/>
  <c r="P41" i="6"/>
  <c r="S42" i="6" s="1"/>
  <c r="P242" i="6"/>
  <c r="S243" i="6" s="1"/>
  <c r="P170" i="6"/>
  <c r="S171" i="6" s="1"/>
  <c r="P106" i="6"/>
  <c r="S107" i="6" s="1"/>
  <c r="R108" i="6" s="1"/>
  <c r="P42" i="6"/>
  <c r="S43" i="6" s="1"/>
  <c r="P148" i="6"/>
  <c r="S149" i="6" s="1"/>
  <c r="P200" i="6"/>
  <c r="S201" i="6" s="1"/>
  <c r="P207" i="6"/>
  <c r="S208" i="6" s="1"/>
  <c r="P143" i="6"/>
  <c r="S144" i="6" s="1"/>
  <c r="P79" i="6"/>
  <c r="S80" i="6" s="1"/>
  <c r="P15" i="6"/>
  <c r="S16" i="6" s="1"/>
  <c r="P116" i="6"/>
  <c r="S117" i="6" s="1"/>
  <c r="P214" i="6"/>
  <c r="S215" i="6" s="1"/>
  <c r="P107" i="6"/>
  <c r="S108" i="6" s="1"/>
  <c r="P40" i="6"/>
  <c r="S41" i="6" s="1"/>
  <c r="P77" i="6"/>
  <c r="S78" i="6" s="1"/>
  <c r="P74" i="6"/>
  <c r="S75" i="6" s="1"/>
  <c r="P206" i="6"/>
  <c r="S207" i="6" s="1"/>
  <c r="P163" i="6"/>
  <c r="S164" i="6" s="1"/>
  <c r="P192" i="6"/>
  <c r="S193" i="6" s="1"/>
  <c r="P197" i="6"/>
  <c r="S198" i="6" s="1"/>
  <c r="P224" i="6"/>
  <c r="S225" i="6" s="1"/>
  <c r="P103" i="6"/>
  <c r="S104" i="6" s="1"/>
  <c r="P108" i="6"/>
  <c r="S109" i="6" s="1"/>
  <c r="P76" i="6"/>
  <c r="S77" i="6" s="1"/>
  <c r="P105" i="6"/>
  <c r="S106" i="6" s="1"/>
  <c r="P166" i="6"/>
  <c r="S167" i="6" s="1"/>
  <c r="P94" i="6"/>
  <c r="S95" i="6" s="1"/>
  <c r="P30" i="6"/>
  <c r="S31" i="6" s="1"/>
  <c r="P195" i="6"/>
  <c r="S196" i="6" s="1"/>
  <c r="P131" i="6"/>
  <c r="S132" i="6" s="1"/>
  <c r="P67" i="6"/>
  <c r="S68" i="6" s="1"/>
  <c r="P236" i="6"/>
  <c r="S237" i="6" s="1"/>
  <c r="P49" i="6"/>
  <c r="S50" i="6" s="1"/>
  <c r="P128" i="6"/>
  <c r="S129" i="6" s="1"/>
  <c r="P64" i="6"/>
  <c r="S65" i="6" s="1"/>
  <c r="P204" i="6"/>
  <c r="S205" i="6" s="1"/>
  <c r="P97" i="6"/>
  <c r="S98" i="6" s="1"/>
  <c r="P229" i="6"/>
  <c r="S230" i="6" s="1"/>
  <c r="P165" i="6"/>
  <c r="S166" i="6" s="1"/>
  <c r="P101" i="6"/>
  <c r="S102" i="6" s="1"/>
  <c r="P37" i="6"/>
  <c r="S38" i="6" s="1"/>
  <c r="P249" i="6"/>
  <c r="S250" i="6" s="1"/>
  <c r="P25" i="6"/>
  <c r="S26" i="6" s="1"/>
  <c r="P226" i="6"/>
  <c r="S227" i="6" s="1"/>
  <c r="P162" i="6"/>
  <c r="S163" i="6" s="1"/>
  <c r="P34" i="6"/>
  <c r="S35" i="6" s="1"/>
  <c r="P234" i="6"/>
  <c r="S235" i="6" s="1"/>
  <c r="P199" i="6"/>
  <c r="S200" i="6" s="1"/>
  <c r="P135" i="6"/>
  <c r="S136" i="6" s="1"/>
  <c r="P71" i="6"/>
  <c r="S72" i="6" s="1"/>
  <c r="P183" i="6"/>
  <c r="S184" i="6" s="1"/>
  <c r="P70" i="6"/>
  <c r="S71" i="6" s="1"/>
  <c r="P225" i="6"/>
  <c r="S226" i="6" s="1"/>
  <c r="P84" i="6"/>
  <c r="S85" i="6" s="1"/>
  <c r="P141" i="6"/>
  <c r="S142" i="6" s="1"/>
  <c r="P113" i="6"/>
  <c r="S114" i="6" s="1"/>
  <c r="P202" i="6"/>
  <c r="S203" i="6" s="1"/>
  <c r="P10" i="6"/>
  <c r="S11" i="6" s="1"/>
  <c r="P175" i="6"/>
  <c r="S176" i="6" s="1"/>
  <c r="P111" i="6"/>
  <c r="S112" i="6" s="1"/>
  <c r="P212" i="6"/>
  <c r="S213" i="6" s="1"/>
  <c r="P99" i="6"/>
  <c r="S100" i="6" s="1"/>
  <c r="P96" i="6"/>
  <c r="S97" i="6" s="1"/>
  <c r="P52" i="6"/>
  <c r="S53" i="6" s="1"/>
  <c r="P133" i="6"/>
  <c r="S134" i="6" s="1"/>
  <c r="P180" i="6"/>
  <c r="S181" i="6" s="1"/>
  <c r="P194" i="6"/>
  <c r="S195" i="6" s="1"/>
  <c r="P244" i="6"/>
  <c r="S245" i="6" s="1"/>
  <c r="P231" i="6"/>
  <c r="S232" i="6" s="1"/>
  <c r="P39" i="6"/>
  <c r="S40" i="6" s="1"/>
  <c r="P161" i="6"/>
  <c r="S162" i="6" s="1"/>
  <c r="P60" i="6"/>
  <c r="S61" i="6" s="1"/>
  <c r="P17" i="6"/>
  <c r="S18" i="6" s="1"/>
  <c r="P158" i="6"/>
  <c r="S159" i="6" s="1"/>
  <c r="P86" i="6"/>
  <c r="S87" i="6" s="1"/>
  <c r="P22" i="6"/>
  <c r="S23" i="6" s="1"/>
  <c r="P187" i="6"/>
  <c r="S188" i="6" s="1"/>
  <c r="P123" i="6"/>
  <c r="S124" i="6" s="1"/>
  <c r="P59" i="6"/>
  <c r="S60" i="6" s="1"/>
  <c r="P156" i="6"/>
  <c r="S157" i="6" s="1"/>
  <c r="P33" i="6"/>
  <c r="S34" i="6" s="1"/>
  <c r="P120" i="6"/>
  <c r="S121" i="6" s="1"/>
  <c r="P56" i="6"/>
  <c r="S57" i="6" s="1"/>
  <c r="P172" i="6"/>
  <c r="S173" i="6" s="1"/>
  <c r="P238" i="6"/>
  <c r="S239" i="6" s="1"/>
  <c r="P221" i="6"/>
  <c r="S222" i="6" s="1"/>
  <c r="P157" i="6"/>
  <c r="S158" i="6" s="1"/>
  <c r="P93" i="6"/>
  <c r="S94" i="6" s="1"/>
  <c r="P29" i="6"/>
  <c r="S30" i="6" s="1"/>
  <c r="P177" i="6"/>
  <c r="S178" i="6" s="1"/>
  <c r="P230" i="6"/>
  <c r="S231" i="6" s="1"/>
  <c r="R232" i="6" s="1"/>
  <c r="P218" i="6"/>
  <c r="S219" i="6" s="1"/>
  <c r="P154" i="6"/>
  <c r="S155" i="6" s="1"/>
  <c r="P90" i="6"/>
  <c r="S91" i="6" s="1"/>
  <c r="P26" i="6"/>
  <c r="S27" i="6" s="1"/>
  <c r="P68" i="6"/>
  <c r="S69" i="6" s="1"/>
  <c r="P7" i="6"/>
  <c r="S8" i="6" s="1"/>
  <c r="R8" i="6" s="1"/>
  <c r="P191" i="6"/>
  <c r="S192" i="6" s="1"/>
  <c r="P127" i="6"/>
  <c r="S128" i="6" s="1"/>
  <c r="P63" i="6"/>
  <c r="S64" i="6" s="1"/>
  <c r="P28" i="6"/>
  <c r="S29" i="6" s="1"/>
  <c r="P104" i="6"/>
  <c r="S105" i="6" s="1"/>
  <c r="P13" i="6"/>
  <c r="S14" i="6" s="1"/>
  <c r="P233" i="6"/>
  <c r="S234" i="6" s="1"/>
  <c r="P65" i="6"/>
  <c r="S66" i="6" s="1"/>
  <c r="P14" i="6"/>
  <c r="S15" i="6" s="1"/>
  <c r="P44" i="6"/>
  <c r="S45" i="6" s="1"/>
  <c r="P246" i="6"/>
  <c r="S247" i="6" s="1"/>
  <c r="P150" i="6"/>
  <c r="S151" i="6" s="1"/>
  <c r="P78" i="6"/>
  <c r="S79" i="6" s="1"/>
  <c r="P243" i="6"/>
  <c r="S244" i="6" s="1"/>
  <c r="P179" i="6"/>
  <c r="S180" i="6" s="1"/>
  <c r="P115" i="6"/>
  <c r="S116" i="6" s="1"/>
  <c r="P51" i="6"/>
  <c r="S52" i="6" s="1"/>
  <c r="P241" i="6"/>
  <c r="S242" i="6" s="1"/>
  <c r="P222" i="6"/>
  <c r="S223" i="6" s="1"/>
  <c r="P112" i="6"/>
  <c r="S113" i="6" s="1"/>
  <c r="P48" i="6"/>
  <c r="S49" i="6" s="1"/>
  <c r="P100" i="6"/>
  <c r="S101" i="6" s="1"/>
  <c r="P190" i="6"/>
  <c r="S191" i="6" s="1"/>
  <c r="P213" i="6"/>
  <c r="S214" i="6" s="1"/>
  <c r="P149" i="6"/>
  <c r="S150" i="6" s="1"/>
  <c r="P85" i="6"/>
  <c r="S86" i="6" s="1"/>
  <c r="P21" i="6"/>
  <c r="S22" i="6" s="1"/>
  <c r="P137" i="6"/>
  <c r="S138" i="6" s="1"/>
  <c r="P240" i="6"/>
  <c r="S241" i="6" s="1"/>
  <c r="P210" i="6"/>
  <c r="S211" i="6" s="1"/>
  <c r="P146" i="6"/>
  <c r="S147" i="6" s="1"/>
  <c r="P82" i="6"/>
  <c r="S83" i="6" s="1"/>
  <c r="P18" i="6"/>
  <c r="S19" i="6" s="1"/>
  <c r="P20" i="6"/>
  <c r="S21" i="6" s="1"/>
  <c r="P247" i="6"/>
  <c r="S248" i="6" s="1"/>
  <c r="P119" i="6"/>
  <c r="S120" i="6" s="1"/>
  <c r="P142" i="6"/>
  <c r="S143" i="6" s="1"/>
  <c r="P171" i="6"/>
  <c r="S172" i="6" s="1"/>
  <c r="P216" i="6"/>
  <c r="S217" i="6" s="1"/>
  <c r="P205" i="6"/>
  <c r="S206" i="6" s="1"/>
  <c r="P138" i="6"/>
  <c r="S139" i="6" s="1"/>
  <c r="P134" i="6"/>
  <c r="S135" i="6" s="1"/>
  <c r="P227" i="6"/>
  <c r="S228" i="6" s="1"/>
  <c r="P209" i="6"/>
  <c r="S210" i="6" s="1"/>
  <c r="P168" i="6"/>
  <c r="S169" i="6" s="1"/>
  <c r="P89" i="6"/>
  <c r="S90" i="6" s="1"/>
  <c r="P167" i="6"/>
  <c r="S168" i="6" s="1"/>
  <c r="W59" i="1"/>
  <c r="N83" i="1" s="1"/>
  <c r="O83" i="1" s="1"/>
  <c r="P83" i="1" s="1"/>
  <c r="E69" i="1"/>
  <c r="N62" i="1"/>
  <c r="O62" i="1" s="1"/>
  <c r="P62" i="1" s="1"/>
  <c r="N87" i="1"/>
  <c r="O87" i="1" s="1"/>
  <c r="N58" i="1"/>
  <c r="O58" i="1" s="1"/>
  <c r="P58" i="1" s="1"/>
  <c r="N60" i="1"/>
  <c r="O60" i="1" s="1"/>
  <c r="P60" i="1" s="1"/>
  <c r="N56" i="1"/>
  <c r="O56" i="1" s="1"/>
  <c r="P56" i="1" s="1"/>
  <c r="R152" i="6" l="1"/>
  <c r="R153" i="6"/>
  <c r="R245" i="6"/>
  <c r="R24" i="6"/>
  <c r="R57" i="6"/>
  <c r="P87" i="1"/>
  <c r="Q87" i="1" s="1"/>
  <c r="R136" i="6"/>
  <c r="S212" i="6"/>
  <c r="R212" i="6" s="1"/>
  <c r="R205" i="6"/>
  <c r="R208" i="6"/>
  <c r="R69" i="6"/>
  <c r="R104" i="6"/>
  <c r="R50" i="6"/>
  <c r="R40" i="6"/>
  <c r="R121" i="6"/>
  <c r="R100" i="6"/>
  <c r="R220" i="6"/>
  <c r="R216" i="6"/>
  <c r="R184" i="6"/>
  <c r="R185" i="6"/>
  <c r="R160" i="6"/>
  <c r="R105" i="6"/>
  <c r="R101" i="6"/>
  <c r="R96" i="6"/>
  <c r="R84" i="6"/>
  <c r="R72" i="6"/>
  <c r="R44" i="6"/>
  <c r="R45" i="6"/>
  <c r="R32" i="6"/>
  <c r="R20" i="6"/>
  <c r="R21" i="6"/>
  <c r="R16" i="6"/>
  <c r="R27" i="6"/>
  <c r="R193" i="6"/>
  <c r="R68" i="6"/>
  <c r="R209" i="6"/>
  <c r="R56" i="6"/>
  <c r="Q62" i="1"/>
  <c r="Q83" i="1"/>
  <c r="Q60" i="1"/>
  <c r="Q58" i="1"/>
  <c r="R109" i="6"/>
  <c r="S63" i="6"/>
  <c r="R63" i="6" s="1"/>
  <c r="S221" i="6"/>
  <c r="R222" i="6" s="1"/>
  <c r="R237" i="6"/>
  <c r="R236" i="6"/>
  <c r="R204" i="6"/>
  <c r="R192" i="6"/>
  <c r="R225" i="6"/>
  <c r="R11" i="6"/>
  <c r="R10" i="6"/>
  <c r="R87" i="6"/>
  <c r="R86" i="6"/>
  <c r="R141" i="6"/>
  <c r="R140" i="6"/>
  <c r="R55" i="6"/>
  <c r="R54" i="6"/>
  <c r="R155" i="6"/>
  <c r="R154" i="6"/>
  <c r="R151" i="6"/>
  <c r="R150" i="6"/>
  <c r="R179" i="6"/>
  <c r="R178" i="6"/>
  <c r="R250" i="6"/>
  <c r="R129" i="6"/>
  <c r="R168" i="6"/>
  <c r="R164" i="6"/>
  <c r="R171" i="6"/>
  <c r="R170" i="6"/>
  <c r="R71" i="6"/>
  <c r="R70" i="6"/>
  <c r="R119" i="6"/>
  <c r="R118" i="6"/>
  <c r="R75" i="6"/>
  <c r="R74" i="6"/>
  <c r="R128" i="6"/>
  <c r="R228" i="6"/>
  <c r="R175" i="6"/>
  <c r="R174" i="6"/>
  <c r="R243" i="6"/>
  <c r="R242" i="6"/>
  <c r="R239" i="6"/>
  <c r="R238" i="6"/>
  <c r="R117" i="6"/>
  <c r="R116" i="6"/>
  <c r="R67" i="6"/>
  <c r="R66" i="6"/>
  <c r="R31" i="6"/>
  <c r="R30" i="6"/>
  <c r="R35" i="6"/>
  <c r="R34" i="6"/>
  <c r="R19" i="6"/>
  <c r="R135" i="6"/>
  <c r="R134" i="6"/>
  <c r="R39" i="6"/>
  <c r="R38" i="6"/>
  <c r="R107" i="6"/>
  <c r="R106" i="6"/>
  <c r="R244" i="6"/>
  <c r="R9" i="6"/>
  <c r="R33" i="6"/>
  <c r="R52" i="6"/>
  <c r="R51" i="6"/>
  <c r="R183" i="6"/>
  <c r="R182" i="6"/>
  <c r="R195" i="6"/>
  <c r="R194" i="6"/>
  <c r="R177" i="6"/>
  <c r="R200" i="6"/>
  <c r="R123" i="6"/>
  <c r="R122" i="6"/>
  <c r="R207" i="6"/>
  <c r="R206" i="6"/>
  <c r="R53" i="6"/>
  <c r="R115" i="6"/>
  <c r="R114" i="6"/>
  <c r="R103" i="6"/>
  <c r="R102" i="6"/>
  <c r="R43" i="6"/>
  <c r="R42" i="6"/>
  <c r="R73" i="6"/>
  <c r="R37" i="6"/>
  <c r="R36" i="6"/>
  <c r="R247" i="6"/>
  <c r="R246" i="6"/>
  <c r="R149" i="6"/>
  <c r="R148" i="6"/>
  <c r="R112" i="6"/>
  <c r="R62" i="6"/>
  <c r="R147" i="6"/>
  <c r="R146" i="6"/>
  <c r="S186" i="6"/>
  <c r="R248" i="6"/>
  <c r="R77" i="6"/>
  <c r="R76" i="6"/>
  <c r="R65" i="6"/>
  <c r="R217" i="6"/>
  <c r="R235" i="6"/>
  <c r="R234" i="6"/>
  <c r="R95" i="6"/>
  <c r="R94" i="6"/>
  <c r="R173" i="6"/>
  <c r="R172" i="6"/>
  <c r="R15" i="6"/>
  <c r="R14" i="6"/>
  <c r="R61" i="6"/>
  <c r="R97" i="6"/>
  <c r="R143" i="6"/>
  <c r="R142" i="6"/>
  <c r="R167" i="6"/>
  <c r="R79" i="6"/>
  <c r="R78" i="6"/>
  <c r="R145" i="6"/>
  <c r="R176" i="6"/>
  <c r="R219" i="6"/>
  <c r="R218" i="6"/>
  <c r="R203" i="6"/>
  <c r="R202" i="6"/>
  <c r="S126" i="6"/>
  <c r="S28" i="6"/>
  <c r="R29" i="6" s="1"/>
  <c r="S189" i="6"/>
  <c r="R189" i="6" s="1"/>
  <c r="R23" i="6"/>
  <c r="R22" i="6"/>
  <c r="R181" i="6"/>
  <c r="R180" i="6"/>
  <c r="R91" i="6"/>
  <c r="R90" i="6"/>
  <c r="R159" i="6"/>
  <c r="R158" i="6"/>
  <c r="R163" i="6"/>
  <c r="R169" i="6"/>
  <c r="R144" i="6"/>
  <c r="R80" i="6"/>
  <c r="R125" i="6"/>
  <c r="R124" i="6"/>
  <c r="R85" i="6"/>
  <c r="R231" i="6"/>
  <c r="R230" i="6"/>
  <c r="R133" i="6"/>
  <c r="R132" i="6"/>
  <c r="R41" i="6"/>
  <c r="R201" i="6"/>
  <c r="R46" i="6"/>
  <c r="R83" i="6"/>
  <c r="R82" i="6"/>
  <c r="S130" i="6"/>
  <c r="S240" i="6"/>
  <c r="R241" i="6" s="1"/>
  <c r="S88" i="6"/>
  <c r="R89" i="6" s="1"/>
  <c r="S161" i="6"/>
  <c r="R161" i="6" s="1"/>
  <c r="S17" i="6"/>
  <c r="R17" i="6" s="1"/>
  <c r="S47" i="6"/>
  <c r="S48" i="6"/>
  <c r="R49" i="6" s="1"/>
  <c r="S59" i="6"/>
  <c r="R59" i="6" s="1"/>
  <c r="S190" i="6"/>
  <c r="S92" i="6"/>
  <c r="R93" i="6" s="1"/>
  <c r="S165" i="6"/>
  <c r="R165" i="6" s="1"/>
  <c r="R224" i="6"/>
  <c r="R223" i="6"/>
  <c r="R199" i="6"/>
  <c r="R198" i="6"/>
  <c r="R249" i="6"/>
  <c r="R26" i="6"/>
  <c r="R25" i="6"/>
  <c r="R215" i="6"/>
  <c r="R214" i="6"/>
  <c r="R211" i="6"/>
  <c r="R210" i="6"/>
  <c r="R139" i="6"/>
  <c r="R138" i="6"/>
  <c r="R113" i="6"/>
  <c r="R188" i="6"/>
  <c r="R227" i="6"/>
  <c r="R226" i="6"/>
  <c r="R99" i="6"/>
  <c r="R98" i="6"/>
  <c r="R197" i="6"/>
  <c r="R196" i="6"/>
  <c r="R111" i="6"/>
  <c r="R110" i="6"/>
  <c r="R13" i="6"/>
  <c r="R12" i="6"/>
  <c r="R233" i="6"/>
  <c r="R58" i="6"/>
  <c r="R81" i="6"/>
  <c r="R120" i="6"/>
  <c r="R229" i="6"/>
  <c r="R137" i="6"/>
  <c r="R157" i="6"/>
  <c r="R156" i="6"/>
  <c r="F8" i="1"/>
  <c r="N81" i="1"/>
  <c r="O81" i="1" s="1"/>
  <c r="P81" i="1" s="1"/>
  <c r="N85" i="1"/>
  <c r="O85" i="1" s="1"/>
  <c r="P85" i="1" s="1"/>
  <c r="Q56" i="1"/>
  <c r="R213" i="6" l="1"/>
  <c r="Q69" i="1" a="1"/>
  <c r="R28" i="6"/>
  <c r="R64" i="6"/>
  <c r="R221" i="6"/>
  <c r="Q85" i="1"/>
  <c r="Q94" i="1" a="1"/>
  <c r="Q69" i="1"/>
  <c r="Q70" i="1" s="1"/>
  <c r="F9" i="1" s="1"/>
  <c r="Q71" i="1"/>
  <c r="R162" i="6"/>
  <c r="R88" i="6"/>
  <c r="R240" i="6"/>
  <c r="R92" i="6"/>
  <c r="R127" i="6"/>
  <c r="R126" i="6"/>
  <c r="R60" i="6"/>
  <c r="R18" i="6"/>
  <c r="R48" i="6"/>
  <c r="R166" i="6"/>
  <c r="R47" i="6"/>
  <c r="R187" i="6"/>
  <c r="R186" i="6"/>
  <c r="R191" i="6"/>
  <c r="R190" i="6"/>
  <c r="R131" i="6"/>
  <c r="R130" i="6"/>
  <c r="Q94" i="1" l="1"/>
  <c r="Q96" i="1" s="1"/>
  <c r="Q81" i="1"/>
  <c r="F5" i="1"/>
  <c r="D2" i="6"/>
  <c r="Q95" i="1" l="1"/>
  <c r="F7" i="1"/>
</calcChain>
</file>

<file path=xl/sharedStrings.xml><?xml version="1.0" encoding="utf-8"?>
<sst xmlns="http://schemas.openxmlformats.org/spreadsheetml/2006/main" count="585" uniqueCount="222">
  <si>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</si>
  <si>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</si>
  <si>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</si>
  <si>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</si>
  <si>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</si>
  <si>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</si>
  <si>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</si>
  <si>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</si>
  <si>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</si>
  <si>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</si>
  <si>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</si>
  <si>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</si>
  <si>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</si>
  <si>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</si>
  <si>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</si>
  <si>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</si>
  <si>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</si>
  <si>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</si>
  <si>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</si>
  <si>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</si>
  <si>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</si>
  <si>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</si>
  <si>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</si>
  <si>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v1</t>
    <phoneticPr fontId="0" type="noConversion"/>
  </si>
  <si>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</si>
  <si>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</si>
  <si>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</si>
  <si>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</si>
  <si>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</si>
  <si>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</si>
  <si>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</si>
  <si>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</si>
  <si>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</si>
  <si>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</si>
  <si>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</si>
  <si>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</si>
  <si>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</si>
  <si>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</si>
  <si>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Additional dilution</t>
  </si>
  <si>
    <t>Ownership at exit</t>
  </si>
  <si>
    <t>EarlySuccess</t>
  </si>
  <si>
    <t>MainstreamSuccess</t>
  </si>
  <si>
    <t>Output Table</t>
  </si>
  <si>
    <t>King</t>
  </si>
  <si>
    <t>Prince</t>
  </si>
  <si>
    <t>Niche Size</t>
    <phoneticPr fontId="0" type="noConversion"/>
  </si>
  <si>
    <t>$M</t>
    <phoneticPr fontId="0" type="noConversion"/>
  </si>
  <si>
    <t>Niche Dilution</t>
  </si>
  <si>
    <t>NicheDilution</t>
  </si>
  <si>
    <t>Niche Ownership at Exit</t>
  </si>
  <si>
    <t>NicheMultDisc</t>
    <phoneticPr fontId="0" type="noConversion"/>
  </si>
  <si>
    <t>Serf</t>
  </si>
  <si>
    <t>PW</t>
  </si>
  <si>
    <t>Niche Exit Mult Disc</t>
  </si>
  <si>
    <t>No cross</t>
  </si>
  <si>
    <t>Revenue</t>
  </si>
  <si>
    <t>Prob</t>
  </si>
  <si>
    <t>Exit</t>
  </si>
  <si>
    <t>dec</t>
    <phoneticPr fontId="0" type="noConversion"/>
  </si>
  <si>
    <t>Exit Multiple (Sales)</t>
  </si>
  <si>
    <t>SalesMult</t>
  </si>
  <si>
    <t>Initial Assessments</t>
  </si>
  <si>
    <t>Market</t>
  </si>
  <si>
    <t>Product</t>
  </si>
  <si>
    <t>Team</t>
  </si>
  <si>
    <t>Financial</t>
  </si>
  <si>
    <t>LifeStage Success Probabilities</t>
  </si>
  <si>
    <t>Total</t>
  </si>
  <si>
    <t>Mass Market</t>
  </si>
  <si>
    <t>King / Gorrilla Chance</t>
  </si>
  <si>
    <t>KingChance</t>
  </si>
  <si>
    <t>Prince / Monkey Chance</t>
  </si>
  <si>
    <t>PrinceChance</t>
  </si>
  <si>
    <t>Market Share</t>
  </si>
  <si>
    <t>King Market Share</t>
  </si>
  <si>
    <t>KingMktShare</t>
  </si>
  <si>
    <t>Prince Market Share</t>
  </si>
  <si>
    <t>PrinceMktShare</t>
  </si>
  <si>
    <t>Serf Market Share</t>
  </si>
  <si>
    <t>SerfMktShare</t>
  </si>
  <si>
    <t>MOIC</t>
  </si>
  <si>
    <t>Invesment Amount</t>
  </si>
  <si>
    <t>Pre-money Valuation</t>
  </si>
  <si>
    <t>Investment size</t>
  </si>
  <si>
    <t>$m/yr</t>
  </si>
  <si>
    <t>Total TAM</t>
  </si>
  <si>
    <t>$m</t>
  </si>
  <si>
    <t>Values as of EOY 2024</t>
  </si>
  <si>
    <t>Total Market</t>
  </si>
  <si>
    <t>SweetspotTAM</t>
  </si>
  <si>
    <t>TotalTAM</t>
  </si>
  <si>
    <t>NicheSize</t>
  </si>
  <si>
    <t>Niche Market Share</t>
  </si>
  <si>
    <t>NicheMarketShare</t>
  </si>
  <si>
    <t>Niche Size - of sweetspot TAM</t>
  </si>
  <si>
    <t>Standard seed</t>
  </si>
  <si>
    <t>20 major players, 1 King</t>
  </si>
  <si>
    <t>4 princes</t>
  </si>
  <si>
    <t>1 king = 20%</t>
  </si>
  <si>
    <t>4 princes * 10% = 40%</t>
  </si>
  <si>
    <t>15 serfs * 2% = 30%</t>
  </si>
  <si>
    <t>lower than average due to size of mkt</t>
  </si>
  <si>
    <t>50% sw @5x, 50% insurance @2x</t>
  </si>
  <si>
    <t>Target Market</t>
  </si>
  <si>
    <t>Total Mkt: PWMOIC</t>
  </si>
  <si>
    <t>Total Market TAM</t>
  </si>
  <si>
    <t>Mean</t>
  </si>
  <si>
    <t>INPUT</t>
  </si>
  <si>
    <t>VALUE</t>
  </si>
  <si>
    <t>Factor</t>
  </si>
  <si>
    <t>Units</t>
  </si>
  <si>
    <t>Med</t>
  </si>
  <si>
    <t>Swing</t>
  </si>
  <si>
    <t>Swing^2</t>
  </si>
  <si>
    <t>Ten</t>
  </si>
  <si>
    <t>Fifty</t>
  </si>
  <si>
    <t>Ninety</t>
  </si>
  <si>
    <t>Combined Uncertainty</t>
  </si>
  <si>
    <t>Probability</t>
  </si>
  <si>
    <t>Cume Probability</t>
  </si>
  <si>
    <t>DISTRIBUTION</t>
  </si>
  <si>
    <t>OUTPUT: OUTPUT 6</t>
  </si>
  <si>
    <t>OUTPUT: OUTPUT 7</t>
  </si>
  <si>
    <t>OUTPUT: OUTPUT 8</t>
  </si>
  <si>
    <t>OUTPUT: OUTPUT 9</t>
  </si>
  <si>
    <t>OUTPUT: OUTPUT 10</t>
  </si>
  <si>
    <t>Outputs</t>
  </si>
  <si>
    <t>Select Output</t>
  </si>
  <si>
    <t>Combined Unc</t>
  </si>
  <si>
    <t>Output: Total Mkt: PWMOIC</t>
  </si>
  <si>
    <t>Output: Total Market TAM</t>
  </si>
  <si>
    <t>Range Name</t>
  </si>
  <si>
    <t>Target Mkt: PWMOIC given Cross Chasm Success</t>
  </si>
  <si>
    <t xml:space="preserve">PWMOIC given cross chasm success --&gt; </t>
  </si>
  <si>
    <t>Output: Target Mkt: PWMOIC given Cross Chasm Success</t>
  </si>
  <si>
    <t>PWMOIC given market success --&gt;</t>
  </si>
  <si>
    <t>Probability of Cross Chasm Success --&gt;</t>
  </si>
  <si>
    <t>Probability of Mass Market Success --&gt;</t>
  </si>
  <si>
    <t>Sweet Spot</t>
  </si>
  <si>
    <t>Segment</t>
  </si>
  <si>
    <t>Annual Revenue</t>
  </si>
  <si>
    <t>In Sweet Spot</t>
  </si>
  <si>
    <t>Sweet Spot TAM</t>
  </si>
  <si>
    <t>Adjusted Cume</t>
  </si>
  <si>
    <t>Mean PWMOIC</t>
  </si>
  <si>
    <t>Probability of failing to cross the chasm --&gt;</t>
  </si>
  <si>
    <t>Cume Cost of Crossing Chasm</t>
  </si>
  <si>
    <t>Probability of failing to cross chasm</t>
  </si>
  <si>
    <t>Cume Cost of Early Stage Failure</t>
  </si>
  <si>
    <t>Probability of failing at early stage</t>
  </si>
  <si>
    <t>Probability of failing at early stage --&gt;</t>
  </si>
  <si>
    <t>Misc</t>
  </si>
  <si>
    <t>Projected Year</t>
  </si>
  <si>
    <t>year</t>
  </si>
  <si>
    <t>projectedYear</t>
  </si>
  <si>
    <t>Sweet Spot Mkt: PWMOIC</t>
  </si>
  <si>
    <t>Sweet Spot Mkt TAM</t>
  </si>
  <si>
    <t>Sweet Spot Market TAM</t>
  </si>
  <si>
    <t>Sweetspot TAM</t>
  </si>
  <si>
    <t>tam_sweetSpot</t>
  </si>
  <si>
    <t>tam_total</t>
  </si>
  <si>
    <t>Output: Sweet Spot Mkt: PWMOIC</t>
  </si>
  <si>
    <t>Output: Sweet Spot Mkt TAM</t>
  </si>
  <si>
    <t>John Doe, Jane Doe</t>
  </si>
  <si>
    <t>Paying customers who really use the product</t>
  </si>
  <si>
    <t>Already have paying customers</t>
  </si>
  <si>
    <t>Clear compelling reasons to buy, but probably not a proven value proposition.</t>
  </si>
  <si>
    <t>Typically these are visionary customers who are willing to take risks, be contrarian, avoid the heard, make intuitive decisions, and seek revolutionary advances.</t>
  </si>
  <si>
    <t>Working product</t>
  </si>
  <si>
    <t>Already have basic working product</t>
  </si>
  <si>
    <t>Technical capabilities to build the product</t>
  </si>
  <si>
    <t>Savvy enough to find early adopter customers and make initial sales</t>
  </si>
  <si>
    <t>Great team</t>
  </si>
  <si>
    <t>Able to identify and hire additional needed talent</t>
  </si>
  <si>
    <t>Able to manage at the level of a large project</t>
  </si>
  <si>
    <t>Disciplined / tenacious in execution</t>
  </si>
  <si>
    <t>Do not run out of money</t>
  </si>
  <si>
    <t>Have completed this stage</t>
  </si>
  <si>
    <t>Plausible business model</t>
  </si>
  <si>
    <t>Proof Points</t>
  </si>
  <si>
    <t xml:space="preserve">Critical mass in niche (focused on Software companies initially) </t>
  </si>
  <si>
    <t>Timely topic</t>
  </si>
  <si>
    <t>Gone from early adopter customers to mainstream customers</t>
  </si>
  <si>
    <t>Really easy to identify companies feeling the pain based on public scandals on ethics</t>
  </si>
  <si>
    <t xml:space="preserve">    ARR &gt;= $20M </t>
  </si>
  <si>
    <t>Sold to mainstream customers</t>
  </si>
  <si>
    <t xml:space="preserve">Develop the Whole Product, which includes whatever customers need in order to achieve their compelling reason to buy. </t>
  </si>
  <si>
    <t>There is a question on how effective this product will be in the wild. It is a difficult product to build and achieve at scale.</t>
  </si>
  <si>
    <t>The whole product varies meaningfully by customer segment. Only the whole product for the mass market niche used to cross the chasm is required.</t>
  </si>
  <si>
    <t>Product scales without breaking.</t>
  </si>
  <si>
    <t>Able to fill key senior positions with high quality people</t>
  </si>
  <si>
    <t>Founding team has substantial management experience</t>
  </si>
  <si>
    <t>Founders willing to take directions from people with more experience</t>
  </si>
  <si>
    <t>Companies that overemphasize idealism can sometimes overlook burnout as tolerance for individual pain is very high to make an inspiring mission succeed</t>
  </si>
  <si>
    <t>Healthy company culture</t>
  </si>
  <si>
    <t>Strong gross margins - the core unit economics in the business are proven</t>
  </si>
  <si>
    <t>Really compelling story, compelling entrepreneurs, gone through a platinum accelerator program</t>
  </si>
  <si>
    <t>Able to raise sufficient capital to cross chasm - most likely both a Series A &amp; Series B</t>
  </si>
  <si>
    <t>Can raise money easily, everyone gets inspired by this goal</t>
  </si>
  <si>
    <t>Able to transition from one niche to multiple niches</t>
  </si>
  <si>
    <t>Truthy may face regulatory challenges once this really takes off as a hiring practice</t>
  </si>
  <si>
    <t>Marquee customers required to make transition</t>
  </si>
  <si>
    <t>ARR &gt; $50m</t>
  </si>
  <si>
    <t>Able to scale to 1000s of customers and maintain high levels of customer service</t>
  </si>
  <si>
    <t>This is a hot area with potential regulatory changes that might have significant product implications</t>
  </si>
  <si>
    <t>Able to continue to innovate and stay ahead of the competition</t>
  </si>
  <si>
    <t>But, the biggest risk factors seem to have been figured out in crossing the chasm</t>
  </si>
  <si>
    <t xml:space="preserve">Able to manage a large team </t>
  </si>
  <si>
    <t>The founders are more mature than the average with strong relevant experience for a growth company</t>
  </si>
  <si>
    <t>Or, bring on people who can manage a large team</t>
  </si>
  <si>
    <t>Strong mission can be great for motivation, but can also attract people with strong, differing points of view which make alignment challenging</t>
  </si>
  <si>
    <t>Strong board</t>
  </si>
  <si>
    <t>No blow ups</t>
  </si>
  <si>
    <t>Able to raise adequate growth capital</t>
  </si>
  <si>
    <t>If market, product and team success has been achieved, this is such a big idea that the team shouldn't have any trouble raising funds</t>
  </si>
  <si>
    <t>Profitability</t>
  </si>
  <si>
    <t>Venture Deal: Series Seed</t>
  </si>
  <si>
    <t>Our thinking on this company</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</si>
  <si>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</si>
  <si>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</si>
  <si>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</si>
  <si>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Copyright © 2018, Clint Korver, Somik Raha, Ulu Ventures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</si>
</sst>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44" x14ac:knownFonts="1">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rgb="FF000000"/>
      <name val="Arial"/>
      <family val="2"/>
    </font>
    <font>
      <sz val="11"/>
      <color indexed="8"/>
      <name val="Calibri"/>
      <family val="2"/>
      <scheme val="minor"/>
    </font>
    <font>
      <sz val="14"/>
      <name val="Geneva"/>
      <family val="2"/>
    </font>
    <font>
      <b/>
      <i/>
      <sz val="10"/>
      <name val="Geneva"/>
      <family val="2"/>
    </font>
    <font>
      <b/>
      <sz val="20"/>
      <color rgb="FF000000"/>
      <name val="Apple Chancery"/>
      <family val="4"/>
    </font>
    <font>
      <sz val="16"/>
      <color rgb="FF000000"/>
      <name val="Apple Chancery"/>
      <family val="4"/>
    </font>
    <font>
      <b/>
      <sz val="14"/>
      <name val="Geneva"/>
      <family val="2"/>
    </font>
    <font>
      <sz val="10.5"/>
      <color rgb="FF333333"/>
      <name val="Arial"/>
      <family val="2"/>
    </font>
    <font>
      <i/>
      <sz val="11"/>
      <color rgb="FF000000"/>
      <name val="Arial"/>
      <family val="2"/>
    </font>
    <font>
      <sz val="14"/>
      <color rgb="FF444444"/>
      <name val="Arial"/>
      <family val="2"/>
    </font>
  </fonts>
  <fills count="21">
    <fill>
      <patternFill patternType="none"/>
    </fill>
    <fill>
      <patternFill patternType="gray125"/>
    </fill>
    <fill>
      <patternFill patternType="solid">
        <fgColor indexed="2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theme="0"/>
        <bgColor indexed="64"/>
      </patternFill>
    </fill>
    <fill>
      <patternFill patternType="solid">
        <fgColor theme="6" tint="0.59999389629810485"/>
        <bgColor indexed="64"/>
      </patternFill>
    </fill>
  </fills>
  <borders count="46">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ck">
        <color indexed="64"/>
      </top>
      <bottom/>
      <diagonal/>
    </border>
    <border>
      <left/>
      <right style="thick">
        <color indexed="64"/>
      </right>
      <top style="thick">
        <color indexed="64"/>
      </top>
      <bottom/>
      <diagonal/>
    </border>
    <border>
      <left/>
      <right style="thick">
        <color indexed="64"/>
      </right>
      <top/>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top style="medium">
        <color indexed="64"/>
      </top>
      <bottom style="medium">
        <color indexed="64"/>
      </bottom>
      <diagonal/>
    </border>
    <border>
      <left style="thin">
        <color indexed="64"/>
      </left>
      <right style="thin">
        <color auto="1"/>
      </right>
      <top style="thin">
        <color indexed="64"/>
      </top>
      <bottom/>
      <diagonal/>
    </border>
  </borders>
  <cellStyleXfs count="212">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1" applyNumberFormat="0" applyAlignment="0" applyProtection="0"/>
    <xf numFmtId="0" fontId="18" fillId="18" borderId="12"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0" borderId="13" applyNumberFormat="0" applyFill="0" applyAlignment="0" applyProtection="0"/>
    <xf numFmtId="0" fontId="22" fillId="0" borderId="14" applyNumberFormat="0" applyFill="0" applyAlignment="0" applyProtection="0"/>
    <xf numFmtId="0" fontId="23" fillId="0" borderId="15" applyNumberFormat="0" applyFill="0" applyAlignment="0" applyProtection="0"/>
    <xf numFmtId="0" fontId="23" fillId="0" borderId="0" applyNumberFormat="0" applyFill="0" applyBorder="0" applyAlignment="0" applyProtection="0"/>
    <xf numFmtId="0" fontId="24" fillId="8" borderId="11" applyNumberFormat="0" applyAlignment="0" applyProtection="0"/>
    <xf numFmtId="0" fontId="25" fillId="0" borderId="16" applyNumberFormat="0" applyFill="0" applyAlignment="0" applyProtection="0"/>
    <xf numFmtId="0" fontId="26" fillId="8" borderId="0" applyNumberFormat="0" applyBorder="0" applyAlignment="0" applyProtection="0"/>
    <xf numFmtId="0" fontId="5" fillId="5" borderId="17" applyNumberFormat="0" applyFont="0" applyAlignment="0" applyProtection="0"/>
    <xf numFmtId="0" fontId="27" fillId="17" borderId="18"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19"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5" fillId="0" borderId="0"/>
    <xf numFmtId="43" fontId="35"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5" fillId="0" borderId="0"/>
  </cellStyleXfs>
  <cellXfs count="336">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6" fillId="2" borderId="0" xfId="0" applyFont="1" applyFill="1" applyBorder="1"/>
    <xf numFmtId="0" fontId="7" fillId="2" borderId="0" xfId="0" applyFont="1" applyFill="1" applyBorder="1"/>
    <xf numFmtId="0" fontId="7" fillId="2" borderId="0" xfId="0" applyFont="1" applyFill="1" applyBorder="1" applyAlignment="1">
      <alignment horizontal="center"/>
    </xf>
    <xf numFmtId="0" fontId="8" fillId="0" borderId="0" xfId="0" applyFont="1"/>
    <xf numFmtId="0" fontId="0" fillId="0" borderId="7" xfId="0" applyBorder="1"/>
    <xf numFmtId="0" fontId="3" fillId="0" borderId="0" xfId="0" applyFont="1" applyAlignment="1">
      <alignment horizontal="center"/>
    </xf>
    <xf numFmtId="0" fontId="4" fillId="0" borderId="0" xfId="0" applyFont="1" applyBorder="1"/>
    <xf numFmtId="0" fontId="9" fillId="0" borderId="0" xfId="0" applyFont="1"/>
    <xf numFmtId="0" fontId="10" fillId="0" borderId="0" xfId="0" applyFont="1"/>
    <xf numFmtId="0" fontId="0" fillId="0" borderId="0" xfId="0" applyFill="1" applyBorder="1"/>
    <xf numFmtId="0" fontId="0" fillId="0" borderId="0" xfId="0" applyBorder="1" applyAlignment="1">
      <alignment horizontal="left"/>
    </xf>
    <xf numFmtId="0" fontId="5" fillId="0" borderId="0" xfId="0" applyFont="1" applyBorder="1" applyAlignment="1">
      <alignment horizontal="center"/>
    </xf>
    <xf numFmtId="3" fontId="0" fillId="0" borderId="0" xfId="0" applyNumberFormat="1" applyFill="1" applyBorder="1" applyAlignment="1">
      <alignment horizontal="right"/>
    </xf>
    <xf numFmtId="0" fontId="11" fillId="0" borderId="0" xfId="0" applyFont="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Fill="1"/>
    <xf numFmtId="0" fontId="7" fillId="0" borderId="0" xfId="0" applyFont="1"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1" fontId="0" fillId="0" borderId="0" xfId="0" applyNumberFormat="1" applyFill="1" applyBorder="1" applyAlignment="1">
      <alignment horizontal="center"/>
    </xf>
    <xf numFmtId="1" fontId="0" fillId="0" borderId="4" xfId="0" applyNumberFormat="1" applyFill="1" applyBorder="1" applyAlignment="1">
      <alignment horizontal="center"/>
    </xf>
    <xf numFmtId="1" fontId="5" fillId="0" borderId="0" xfId="0" applyNumberFormat="1" applyFont="1" applyFill="1" applyBorder="1" applyAlignment="1">
      <alignment horizontal="center"/>
    </xf>
    <xf numFmtId="0" fontId="3" fillId="0" borderId="0" xfId="0" applyFont="1" applyFill="1"/>
    <xf numFmtId="0" fontId="12" fillId="0" borderId="0" xfId="0" applyFont="1"/>
    <xf numFmtId="0" fontId="8" fillId="0" borderId="0" xfId="0" applyFont="1" applyFill="1"/>
    <xf numFmtId="0" fontId="3" fillId="0" borderId="1" xfId="0" applyFont="1" applyFill="1" applyBorder="1"/>
    <xf numFmtId="0" fontId="0" fillId="0" borderId="1" xfId="0" applyFill="1" applyBorder="1"/>
    <xf numFmtId="0" fontId="0" fillId="0" borderId="5" xfId="0" applyFill="1" applyBorder="1"/>
    <xf numFmtId="0" fontId="3" fillId="0" borderId="0" xfId="0" applyFont="1" applyBorder="1"/>
    <xf numFmtId="0" fontId="5" fillId="0" borderId="0" xfId="0" applyFont="1" applyFill="1"/>
    <xf numFmtId="165" fontId="0" fillId="0" borderId="0" xfId="28" applyNumberFormat="1" applyFont="1" applyBorder="1" applyAlignment="1">
      <alignment horizontal="right"/>
    </xf>
    <xf numFmtId="165" fontId="5" fillId="0" borderId="9" xfId="28" applyNumberFormat="1" applyFont="1" applyBorder="1" applyAlignment="1">
      <alignment horizontal="right"/>
    </xf>
    <xf numFmtId="0" fontId="9" fillId="0" borderId="0" xfId="0" applyFont="1" applyFill="1"/>
    <xf numFmtId="0" fontId="10" fillId="0" borderId="0" xfId="0" applyFont="1" applyFill="1"/>
    <xf numFmtId="0" fontId="10" fillId="0" borderId="0" xfId="0" applyFont="1" applyFill="1" applyAlignment="1">
      <alignment horizontal="center"/>
    </xf>
    <xf numFmtId="0" fontId="9" fillId="0" borderId="0" xfId="0" applyFont="1" applyFill="1" applyAlignment="1">
      <alignment horizontal="left"/>
    </xf>
    <xf numFmtId="0" fontId="3" fillId="0" borderId="0" xfId="0" applyFont="1" applyFill="1" applyBorder="1"/>
    <xf numFmtId="38" fontId="0" fillId="0" borderId="0" xfId="0" applyNumberFormat="1" applyFill="1" applyBorder="1" applyAlignment="1">
      <alignment horizontal="right"/>
    </xf>
    <xf numFmtId="0" fontId="0" fillId="0" borderId="8" xfId="0" applyFill="1" applyBorder="1"/>
    <xf numFmtId="0" fontId="0" fillId="0" borderId="0" xfId="0" applyFill="1" applyBorder="1" applyAlignment="1">
      <alignment horizontal="right"/>
    </xf>
    <xf numFmtId="0" fontId="6" fillId="0" borderId="0" xfId="0" applyFont="1" applyFill="1"/>
    <xf numFmtId="0" fontId="7" fillId="0" borderId="0" xfId="0" applyFont="1" applyFill="1"/>
    <xf numFmtId="0" fontId="3" fillId="0" borderId="0" xfId="0" applyFont="1" applyFill="1" applyAlignment="1">
      <alignment horizontal="left"/>
    </xf>
    <xf numFmtId="0" fontId="0" fillId="0" borderId="7" xfId="0" applyFill="1" applyBorder="1"/>
    <xf numFmtId="0" fontId="5" fillId="0" borderId="9" xfId="0" applyFont="1" applyFill="1" applyBorder="1" applyAlignment="1">
      <alignment horizontal="center"/>
    </xf>
    <xf numFmtId="1" fontId="0" fillId="0" borderId="8" xfId="0" applyNumberFormat="1" applyFill="1" applyBorder="1" applyAlignment="1">
      <alignment horizontal="center"/>
    </xf>
    <xf numFmtId="0" fontId="0" fillId="0" borderId="1" xfId="0" applyFill="1" applyBorder="1" applyAlignment="1">
      <alignment horizontal="left"/>
    </xf>
    <xf numFmtId="0" fontId="7" fillId="0" borderId="0" xfId="0" applyFont="1" applyFill="1" applyBorder="1"/>
    <xf numFmtId="38" fontId="0" fillId="0" borderId="0" xfId="0" applyNumberFormat="1" applyFill="1" applyBorder="1" applyAlignment="1"/>
    <xf numFmtId="164" fontId="5" fillId="0" borderId="9" xfId="28" applyNumberFormat="1" applyFont="1" applyBorder="1" applyAlignment="1">
      <alignment horizontal="right"/>
    </xf>
    <xf numFmtId="0" fontId="9" fillId="2" borderId="1" xfId="0" applyFont="1" applyFill="1" applyBorder="1"/>
    <xf numFmtId="0" fontId="3" fillId="0" borderId="1" xfId="0" applyFont="1" applyBorder="1"/>
    <xf numFmtId="6" fontId="0" fillId="0" borderId="0" xfId="0" applyNumberFormat="1" applyBorder="1" applyAlignment="1">
      <alignment horizontal="center"/>
    </xf>
    <xf numFmtId="0" fontId="0" fillId="0" borderId="5" xfId="0" applyBorder="1" applyAlignment="1">
      <alignment horizontal="center"/>
    </xf>
    <xf numFmtId="9" fontId="0" fillId="0" borderId="0" xfId="40" applyFont="1" applyBorder="1" applyAlignment="1">
      <alignment horizontal="center"/>
    </xf>
    <xf numFmtId="9" fontId="0" fillId="0" borderId="5" xfId="40" applyFont="1" applyBorder="1" applyAlignment="1">
      <alignment horizontal="center"/>
    </xf>
    <xf numFmtId="0" fontId="0" fillId="0" borderId="7" xfId="0" applyBorder="1" applyAlignment="1">
      <alignment horizontal="center"/>
    </xf>
    <xf numFmtId="0" fontId="3" fillId="0" borderId="0" xfId="0" applyFont="1" applyFill="1" applyBorder="1" applyAlignment="1">
      <alignment horizontal="left"/>
    </xf>
    <xf numFmtId="0" fontId="0" fillId="0" borderId="9" xfId="0" applyFill="1" applyBorder="1" applyAlignment="1">
      <alignment horizontal="center"/>
    </xf>
    <xf numFmtId="1" fontId="0" fillId="0" borderId="5" xfId="0" applyNumberFormat="1" applyFill="1" applyBorder="1" applyAlignment="1">
      <alignment horizontal="center"/>
    </xf>
    <xf numFmtId="0" fontId="5" fillId="0" borderId="9" xfId="0" applyFont="1" applyBorder="1" applyAlignment="1">
      <alignment horizontal="center"/>
    </xf>
    <xf numFmtId="0" fontId="0" fillId="0" borderId="0" xfId="0" applyFont="1"/>
    <xf numFmtId="37" fontId="0" fillId="0" borderId="0" xfId="0" applyNumberFormat="1" applyFont="1"/>
    <xf numFmtId="37" fontId="0" fillId="0" borderId="0" xfId="0" applyNumberFormat="1" applyFont="1" applyAlignment="1">
      <alignment horizontal="center"/>
    </xf>
    <xf numFmtId="37" fontId="0" fillId="0" borderId="0" xfId="0" applyNumberFormat="1" applyFont="1" applyFill="1" applyAlignment="1">
      <alignment horizontal="center"/>
    </xf>
    <xf numFmtId="165" fontId="3" fillId="0" borderId="0" xfId="0" applyNumberFormat="1" applyFont="1"/>
    <xf numFmtId="9" fontId="5" fillId="0" borderId="9" xfId="40" applyFont="1" applyBorder="1" applyAlignment="1">
      <alignment horizontal="right"/>
    </xf>
    <xf numFmtId="0" fontId="0" fillId="0" borderId="0" xfId="0" applyAlignment="1">
      <alignment horizontal="right"/>
    </xf>
    <xf numFmtId="0" fontId="0" fillId="0" borderId="1" xfId="0" applyBorder="1"/>
    <xf numFmtId="0" fontId="0" fillId="0" borderId="0" xfId="0" applyFont="1" applyAlignment="1">
      <alignment horizontal="right"/>
    </xf>
    <xf numFmtId="37" fontId="0" fillId="0" borderId="1" xfId="0" applyNumberFormat="1" applyFon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7" fontId="0" fillId="0" borderId="1" xfId="0" applyNumberFormat="1" applyFont="1" applyFill="1" applyBorder="1" applyAlignment="1">
      <alignment horizontal="center"/>
    </xf>
    <xf numFmtId="37" fontId="0" fillId="0" borderId="7" xfId="0" applyNumberFormat="1" applyFill="1" applyBorder="1" applyAlignment="1">
      <alignment horizontal="center"/>
    </xf>
    <xf numFmtId="37" fontId="0" fillId="0" borderId="6" xfId="0" applyNumberFormat="1" applyFill="1" applyBorder="1" applyAlignment="1">
      <alignment horizontal="center"/>
    </xf>
    <xf numFmtId="37" fontId="0" fillId="0" borderId="7" xfId="0" applyNumberFormat="1" applyBorder="1"/>
    <xf numFmtId="37" fontId="0" fillId="0" borderId="6" xfId="0" applyNumberFormat="1" applyBorder="1"/>
    <xf numFmtId="37" fontId="0" fillId="0" borderId="7" xfId="0" applyNumberFormat="1" applyFont="1" applyBorder="1"/>
    <xf numFmtId="37" fontId="0" fillId="0" borderId="7" xfId="0" applyNumberFormat="1" applyFont="1" applyFill="1" applyBorder="1" applyAlignment="1">
      <alignment horizontal="center"/>
    </xf>
    <xf numFmtId="37" fontId="0" fillId="0" borderId="8" xfId="0" applyNumberFormat="1" applyBorder="1" applyAlignment="1">
      <alignment horizontal="center"/>
    </xf>
    <xf numFmtId="37" fontId="0" fillId="0" borderId="1" xfId="0" applyNumberFormat="1" applyBorder="1" applyAlignment="1">
      <alignment horizontal="center"/>
    </xf>
    <xf numFmtId="9" fontId="0" fillId="0" borderId="0" xfId="40" applyFont="1"/>
    <xf numFmtId="37" fontId="0" fillId="0" borderId="0" xfId="0" applyNumberFormat="1" applyFont="1" applyAlignment="1">
      <alignment horizontal="right"/>
    </xf>
    <xf numFmtId="37" fontId="0" fillId="0" borderId="0" xfId="0" applyNumberFormat="1" applyAlignment="1">
      <alignment horizontal="right"/>
    </xf>
    <xf numFmtId="0" fontId="4" fillId="0" borderId="1" xfId="0" applyFont="1" applyBorder="1"/>
    <xf numFmtId="0" fontId="5" fillId="0" borderId="5" xfId="0" applyFont="1" applyBorder="1"/>
    <xf numFmtId="43" fontId="5" fillId="0" borderId="9" xfId="28" applyNumberFormat="1" applyFont="1" applyBorder="1" applyAlignment="1">
      <alignment horizontal="right"/>
    </xf>
    <xf numFmtId="166" fontId="0" fillId="0" borderId="0" xfId="0" applyNumberFormat="1"/>
    <xf numFmtId="37" fontId="0" fillId="0" borderId="0" xfId="0" applyNumberFormat="1" applyFont="1" applyBorder="1" applyAlignment="1">
      <alignment horizontal="center"/>
    </xf>
    <xf numFmtId="37" fontId="0" fillId="0" borderId="0" xfId="0" applyNumberFormat="1" applyFont="1" applyFill="1" applyBorder="1" applyAlignment="1">
      <alignment horizontal="center"/>
    </xf>
    <xf numFmtId="37" fontId="0" fillId="0" borderId="0" xfId="0" applyNumberFormat="1" applyFont="1" applyBorder="1"/>
    <xf numFmtId="0" fontId="0" fillId="0" borderId="0" xfId="0" applyFont="1" applyAlignment="1"/>
    <xf numFmtId="1" fontId="0" fillId="0" borderId="0" xfId="0" applyNumberFormat="1" applyFont="1" applyAlignment="1"/>
    <xf numFmtId="0" fontId="0" fillId="0" borderId="1" xfId="0" applyBorder="1" applyAlignment="1">
      <alignment horizontal="left"/>
    </xf>
    <xf numFmtId="37" fontId="3" fillId="0" borderId="0" xfId="0" applyNumberFormat="1" applyFont="1" applyAlignment="1">
      <alignment horizontal="left"/>
    </xf>
    <xf numFmtId="165" fontId="0" fillId="0" borderId="0" xfId="0" applyNumberFormat="1" applyAlignment="1">
      <alignment horizontal="right"/>
    </xf>
    <xf numFmtId="0" fontId="0" fillId="0" borderId="0" xfId="0" applyFont="1" applyFill="1" applyBorder="1"/>
    <xf numFmtId="38" fontId="13" fillId="0" borderId="0" xfId="0" applyNumberFormat="1" applyFont="1" applyFill="1" applyBorder="1" applyAlignment="1"/>
    <xf numFmtId="165" fontId="0" fillId="0" borderId="0" xfId="28" applyNumberFormat="1" applyFont="1" applyBorder="1"/>
    <xf numFmtId="165" fontId="0" fillId="0" borderId="0" xfId="28" applyNumberFormat="1" applyFont="1" applyBorder="1" applyAlignment="1">
      <alignment horizontal="center"/>
    </xf>
    <xf numFmtId="0" fontId="0" fillId="0" borderId="0" xfId="0" applyFont="1" applyBorder="1" applyAlignment="1">
      <alignment horizontal="center"/>
    </xf>
    <xf numFmtId="0" fontId="0" fillId="0" borderId="2" xfId="0" applyBorder="1"/>
    <xf numFmtId="9" fontId="5" fillId="0" borderId="3" xfId="40" applyFont="1" applyBorder="1" applyAlignment="1">
      <alignment horizontal="center"/>
    </xf>
    <xf numFmtId="9" fontId="5" fillId="0" borderId="2" xfId="40" applyFont="1" applyFill="1" applyBorder="1" applyAlignment="1">
      <alignment horizontal="center"/>
    </xf>
    <xf numFmtId="0" fontId="4" fillId="0" borderId="3" xfId="0" applyFont="1" applyBorder="1"/>
    <xf numFmtId="9" fontId="4" fillId="0" borderId="0" xfId="40" applyFont="1" applyBorder="1" applyAlignment="1">
      <alignment horizontal="center"/>
    </xf>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4" fillId="0" borderId="7" xfId="40" applyFont="1" applyBorder="1" applyAlignment="1">
      <alignment horizontal="center"/>
    </xf>
    <xf numFmtId="9" fontId="5" fillId="0" borderId="6" xfId="40" applyFont="1" applyFill="1" applyBorder="1" applyAlignment="1">
      <alignment horizontal="center"/>
    </xf>
    <xf numFmtId="0" fontId="4" fillId="0" borderId="7" xfId="0" applyFont="1" applyBorder="1"/>
    <xf numFmtId="3" fontId="0" fillId="0" borderId="0" xfId="28" applyNumberFormat="1" applyFont="1" applyBorder="1" applyAlignment="1">
      <alignment horizontal="right"/>
    </xf>
    <xf numFmtId="2" fontId="0" fillId="0" borderId="0" xfId="0" applyNumberFormat="1" applyFill="1" applyBorder="1"/>
    <xf numFmtId="3" fontId="0" fillId="0" borderId="0" xfId="0" applyNumberFormat="1" applyFont="1" applyBorder="1" applyAlignment="1">
      <alignment horizontal="right"/>
    </xf>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NumberFormat="1" applyFont="1" applyBorder="1" applyAlignment="1">
      <alignment horizontal="right"/>
    </xf>
    <xf numFmtId="10" fontId="5" fillId="0" borderId="0" xfId="40" applyNumberFormat="1" applyFont="1" applyAlignment="1">
      <alignment horizontal="right"/>
    </xf>
    <xf numFmtId="0" fontId="5" fillId="0" borderId="0" xfId="0" applyFont="1" applyAlignment="1">
      <alignment horizontal="right"/>
    </xf>
    <xf numFmtId="165" fontId="0" fillId="0" borderId="0" xfId="28" applyNumberFormat="1" applyFont="1" applyBorder="1" applyAlignment="1"/>
    <xf numFmtId="0" fontId="0" fillId="0" borderId="1" xfId="0" applyFont="1" applyFill="1" applyBorder="1" applyAlignment="1">
      <alignment horizontal="left"/>
    </xf>
    <xf numFmtId="165" fontId="5" fillId="0" borderId="0" xfId="28" applyNumberFormat="1" applyFont="1" applyFill="1" applyBorder="1" applyAlignment="1"/>
    <xf numFmtId="2" fontId="5" fillId="0" borderId="0" xfId="0" applyNumberFormat="1" applyFont="1" applyFill="1" applyBorder="1" applyAlignment="1">
      <alignment horizontal="center"/>
    </xf>
    <xf numFmtId="0" fontId="3" fillId="0" borderId="0" xfId="0" applyFont="1" applyBorder="1" applyAlignment="1">
      <alignment horizontal="center"/>
    </xf>
    <xf numFmtId="165" fontId="5" fillId="0" borderId="0" xfId="28" applyNumberFormat="1" applyFont="1" applyBorder="1" applyAlignment="1"/>
    <xf numFmtId="6" fontId="0" fillId="0" borderId="0" xfId="0" applyNumberFormat="1" applyFill="1" applyBorder="1" applyAlignment="1">
      <alignment horizontal="right"/>
    </xf>
    <xf numFmtId="0" fontId="4" fillId="0" borderId="0" xfId="0" applyFont="1"/>
    <xf numFmtId="37" fontId="4" fillId="0" borderId="0" xfId="0" applyNumberFormat="1" applyFont="1"/>
    <xf numFmtId="9" fontId="3" fillId="0" borderId="0" xfId="40" applyFont="1" applyBorder="1" applyAlignment="1">
      <alignment horizontal="center"/>
    </xf>
    <xf numFmtId="167" fontId="0" fillId="0" borderId="0" xfId="0" applyNumberFormat="1"/>
    <xf numFmtId="1" fontId="0" fillId="0" borderId="0" xfId="0" applyNumberFormat="1"/>
    <xf numFmtId="0" fontId="0" fillId="19" borderId="0" xfId="0" applyFill="1"/>
    <xf numFmtId="0" fontId="0" fillId="19" borderId="1" xfId="0" applyFill="1" applyBorder="1"/>
    <xf numFmtId="0" fontId="0" fillId="19" borderId="0" xfId="0" applyFill="1" applyBorder="1"/>
    <xf numFmtId="0" fontId="0" fillId="19" borderId="5" xfId="0" applyFill="1" applyBorder="1"/>
    <xf numFmtId="0" fontId="3" fillId="0" borderId="0" xfId="0" applyFont="1" applyFill="1" applyBorder="1" applyAlignment="1">
      <alignment horizontal="right"/>
    </xf>
    <xf numFmtId="0" fontId="5" fillId="0" borderId="0" xfId="0" applyFont="1" applyFill="1" applyBorder="1" applyAlignment="1">
      <alignment horizontal="right"/>
    </xf>
    <xf numFmtId="0" fontId="5" fillId="0" borderId="0" xfId="0" applyFont="1" applyBorder="1" applyAlignment="1">
      <alignment horizontal="right"/>
    </xf>
    <xf numFmtId="165" fontId="5" fillId="0" borderId="0" xfId="28" applyNumberFormat="1" applyFont="1" applyBorder="1" applyAlignment="1">
      <alignment horizontal="right"/>
    </xf>
    <xf numFmtId="166" fontId="5" fillId="0" borderId="24" xfId="0" applyNumberFormat="1" applyFont="1" applyFill="1" applyBorder="1" applyAlignment="1">
      <alignment horizontal="right"/>
    </xf>
    <xf numFmtId="166" fontId="5" fillId="0" borderId="24" xfId="0" applyNumberFormat="1" applyFont="1" applyBorder="1" applyAlignment="1">
      <alignment horizontal="right"/>
    </xf>
    <xf numFmtId="166" fontId="5" fillId="0" borderId="25" xfId="28" applyNumberFormat="1" applyFont="1" applyFill="1" applyBorder="1" applyAlignment="1">
      <alignment horizontal="right"/>
    </xf>
    <xf numFmtId="166" fontId="5" fillId="0" borderId="0" xfId="0" applyNumberFormat="1" applyFont="1" applyFill="1" applyBorder="1" applyAlignment="1">
      <alignment horizontal="right"/>
    </xf>
    <xf numFmtId="166" fontId="5" fillId="0" borderId="0" xfId="0" applyNumberFormat="1" applyFont="1" applyBorder="1" applyAlignment="1">
      <alignment horizontal="right"/>
    </xf>
    <xf numFmtId="166" fontId="5" fillId="0" borderId="26" xfId="28" applyNumberFormat="1" applyFont="1" applyFill="1" applyBorder="1" applyAlignment="1">
      <alignment horizontal="right"/>
    </xf>
    <xf numFmtId="0" fontId="5" fillId="19" borderId="0" xfId="0" applyFont="1" applyFill="1"/>
    <xf numFmtId="0" fontId="3" fillId="19" borderId="6" xfId="0" applyFont="1" applyFill="1" applyBorder="1" applyAlignment="1">
      <alignment horizontal="right"/>
    </xf>
    <xf numFmtId="0" fontId="3" fillId="19" borderId="7" xfId="0" applyFont="1" applyFill="1" applyBorder="1" applyAlignment="1">
      <alignment horizontal="right"/>
    </xf>
    <xf numFmtId="0" fontId="3" fillId="19" borderId="8" xfId="0" applyFont="1" applyFill="1" applyBorder="1" applyAlignment="1">
      <alignment horizontal="right"/>
    </xf>
    <xf numFmtId="0" fontId="0" fillId="19" borderId="8" xfId="0" applyFill="1" applyBorder="1"/>
    <xf numFmtId="0" fontId="0" fillId="19" borderId="6" xfId="0" applyFill="1" applyBorder="1"/>
    <xf numFmtId="0" fontId="3" fillId="19" borderId="10" xfId="0" applyFont="1" applyFill="1" applyBorder="1" applyAlignment="1">
      <alignment horizontal="right"/>
    </xf>
    <xf numFmtId="0" fontId="0" fillId="19" borderId="2" xfId="0" applyFill="1" applyBorder="1"/>
    <xf numFmtId="0" fontId="0" fillId="19" borderId="3" xfId="0" applyFill="1" applyBorder="1"/>
    <xf numFmtId="0" fontId="0" fillId="19" borderId="4" xfId="0" applyFill="1" applyBorder="1"/>
    <xf numFmtId="0" fontId="5" fillId="19" borderId="1" xfId="0" applyFont="1" applyFill="1" applyBorder="1"/>
    <xf numFmtId="0" fontId="5" fillId="19" borderId="20" xfId="0" applyFont="1" applyFill="1" applyBorder="1" applyAlignment="1">
      <alignment horizontal="center"/>
    </xf>
    <xf numFmtId="0" fontId="5" fillId="19" borderId="30" xfId="0" applyFont="1" applyFill="1" applyBorder="1" applyAlignment="1">
      <alignment horizontal="center"/>
    </xf>
    <xf numFmtId="0" fontId="5" fillId="19" borderId="31" xfId="0" applyFont="1" applyFill="1" applyBorder="1" applyAlignment="1">
      <alignment horizontal="center"/>
    </xf>
    <xf numFmtId="0" fontId="5" fillId="19" borderId="29" xfId="0" applyFont="1" applyFill="1" applyBorder="1" applyAlignment="1">
      <alignment horizontal="center"/>
    </xf>
    <xf numFmtId="0" fontId="37" fillId="19" borderId="32" xfId="0" applyFont="1" applyFill="1" applyBorder="1"/>
    <xf numFmtId="0" fontId="0" fillId="20" borderId="33" xfId="0" applyFill="1" applyBorder="1"/>
    <xf numFmtId="2" fontId="0" fillId="19" borderId="0" xfId="0" applyNumberFormat="1" applyFill="1" applyBorder="1"/>
    <xf numFmtId="2" fontId="0" fillId="19" borderId="5" xfId="0" applyNumberFormat="1" applyFill="1" applyBorder="1"/>
    <xf numFmtId="0" fontId="4" fillId="19" borderId="0" xfId="0" applyFont="1" applyFill="1"/>
    <xf numFmtId="0" fontId="4" fillId="19" borderId="34" xfId="0" applyFont="1" applyFill="1" applyBorder="1" applyAlignment="1">
      <alignment horizontal="right"/>
    </xf>
    <xf numFmtId="0" fontId="37" fillId="19" borderId="35" xfId="0" applyFont="1" applyFill="1" applyBorder="1" applyAlignment="1">
      <alignment horizontal="right"/>
    </xf>
    <xf numFmtId="0" fontId="5" fillId="19" borderId="36" xfId="0" applyFont="1" applyFill="1" applyBorder="1"/>
    <xf numFmtId="0" fontId="0" fillId="19" borderId="37" xfId="0" applyFill="1" applyBorder="1"/>
    <xf numFmtId="0" fontId="5" fillId="0" borderId="7" xfId="0" applyFont="1" applyFill="1" applyBorder="1" applyAlignment="1">
      <alignment horizontal="center"/>
    </xf>
    <xf numFmtId="166" fontId="0" fillId="0" borderId="24" xfId="0" applyNumberFormat="1" applyBorder="1" applyAlignment="1">
      <alignment horizontal="right"/>
    </xf>
    <xf numFmtId="166" fontId="0" fillId="0" borderId="0" xfId="0" applyNumberFormat="1" applyBorder="1" applyAlignment="1">
      <alignment horizontal="right"/>
    </xf>
    <xf numFmtId="0" fontId="0" fillId="0" borderId="39" xfId="0" applyBorder="1" applyAlignment="1">
      <alignment horizontal="center"/>
    </xf>
    <xf numFmtId="0" fontId="0" fillId="0" borderId="39" xfId="0" applyFill="1" applyBorder="1" applyAlignment="1">
      <alignment horizontal="center"/>
    </xf>
    <xf numFmtId="0" fontId="0" fillId="0" borderId="39" xfId="0" applyBorder="1"/>
    <xf numFmtId="166" fontId="0" fillId="0" borderId="40" xfId="40" applyNumberFormat="1" applyFont="1" applyFill="1" applyBorder="1" applyAlignment="1">
      <alignment horizontal="right"/>
    </xf>
    <xf numFmtId="166" fontId="0" fillId="0" borderId="5" xfId="40" applyNumberFormat="1" applyFont="1" applyFill="1" applyBorder="1" applyAlignment="1">
      <alignment horizontal="right"/>
    </xf>
    <xf numFmtId="0" fontId="5" fillId="0" borderId="6" xfId="0" applyFont="1" applyFill="1" applyBorder="1" applyAlignment="1">
      <alignment horizontal="left"/>
    </xf>
    <xf numFmtId="9" fontId="0" fillId="0" borderId="39" xfId="40" applyFont="1" applyBorder="1"/>
    <xf numFmtId="0" fontId="0" fillId="0" borderId="39" xfId="0" applyFont="1" applyBorder="1"/>
    <xf numFmtId="166" fontId="5" fillId="0" borderId="39" xfId="0" applyNumberFormat="1" applyFont="1" applyBorder="1"/>
    <xf numFmtId="166" fontId="0" fillId="0" borderId="8" xfId="0" applyNumberFormat="1" applyFill="1" applyBorder="1" applyAlignment="1">
      <alignment horizontal="right"/>
    </xf>
    <xf numFmtId="166" fontId="0" fillId="0" borderId="27" xfId="0" applyNumberFormat="1" applyBorder="1" applyAlignment="1">
      <alignment horizontal="right"/>
    </xf>
    <xf numFmtId="166" fontId="0" fillId="0" borderId="27" xfId="0" applyNumberFormat="1" applyFont="1" applyFill="1" applyBorder="1" applyAlignment="1">
      <alignment horizontal="right"/>
    </xf>
    <xf numFmtId="166" fontId="5" fillId="0" borderId="27" xfId="0" applyNumberFormat="1" applyFont="1" applyBorder="1" applyAlignment="1">
      <alignment horizontal="right"/>
    </xf>
    <xf numFmtId="166" fontId="5" fillId="0" borderId="28" xfId="28" applyNumberFormat="1" applyFont="1" applyFill="1" applyBorder="1" applyAlignment="1">
      <alignment horizontal="right"/>
    </xf>
    <xf numFmtId="0" fontId="0" fillId="19" borderId="0" xfId="0" applyFont="1" applyFill="1"/>
    <xf numFmtId="167" fontId="0" fillId="19" borderId="0" xfId="0" applyNumberFormat="1" applyFill="1"/>
    <xf numFmtId="0" fontId="5" fillId="0" borderId="0" xfId="0" applyFont="1" applyFill="1" applyBorder="1"/>
    <xf numFmtId="0" fontId="5" fillId="0" borderId="7" xfId="0" applyFont="1" applyFill="1" applyBorder="1"/>
    <xf numFmtId="1" fontId="0" fillId="0" borderId="0" xfId="40" applyNumberFormat="1" applyFont="1" applyBorder="1" applyAlignment="1">
      <alignment horizontal="center"/>
    </xf>
    <xf numFmtId="1" fontId="5" fillId="0" borderId="9" xfId="28" applyNumberFormat="1" applyFont="1" applyBorder="1" applyAlignment="1">
      <alignment horizontal="right"/>
    </xf>
    <xf numFmtId="0" fontId="5" fillId="0" borderId="41" xfId="0" applyFont="1" applyBorder="1"/>
    <xf numFmtId="0" fontId="5" fillId="0" borderId="36" xfId="0" applyFont="1" applyBorder="1"/>
    <xf numFmtId="168" fontId="0" fillId="0" borderId="0" xfId="0" applyNumberFormat="1" applyBorder="1"/>
    <xf numFmtId="0" fontId="3" fillId="0" borderId="32" xfId="0" applyFont="1" applyBorder="1"/>
    <xf numFmtId="167" fontId="0" fillId="0" borderId="0" xfId="0" applyNumberFormat="1" applyAlignment="1">
      <alignment horizontal="center"/>
    </xf>
    <xf numFmtId="0" fontId="5" fillId="19" borderId="0" xfId="0" applyFont="1" applyFill="1" applyBorder="1" applyAlignment="1">
      <alignment horizontal="left"/>
    </xf>
    <xf numFmtId="0" fontId="0" fillId="19" borderId="45" xfId="0" applyFill="1" applyBorder="1"/>
    <xf numFmtId="0" fontId="0" fillId="19" borderId="40" xfId="0" applyFill="1" applyBorder="1"/>
    <xf numFmtId="0" fontId="5" fillId="19" borderId="10" xfId="0" applyFont="1" applyFill="1" applyBorder="1"/>
    <xf numFmtId="0" fontId="5" fillId="19" borderId="38" xfId="0" applyFont="1" applyFill="1" applyBorder="1"/>
    <xf numFmtId="0" fontId="5" fillId="19" borderId="40" xfId="0" applyFont="1" applyFill="1" applyBorder="1" applyAlignment="1">
      <alignment horizontal="right"/>
    </xf>
    <xf numFmtId="0" fontId="5" fillId="19" borderId="5" xfId="0" applyFont="1" applyFill="1" applyBorder="1" applyAlignment="1">
      <alignment horizontal="right"/>
    </xf>
    <xf numFmtId="0" fontId="40" fillId="19" borderId="21" xfId="0" applyFont="1" applyFill="1" applyBorder="1"/>
    <xf numFmtId="2" fontId="40" fillId="19" borderId="23" xfId="0" applyNumberFormat="1" applyFont="1" applyFill="1" applyBorder="1"/>
    <xf numFmtId="0" fontId="5" fillId="0" borderId="0" xfId="0" applyFont="1" applyBorder="1"/>
    <xf numFmtId="0" fontId="5" fillId="0" borderId="38" xfId="0" applyFont="1" applyBorder="1"/>
    <xf numFmtId="166" fontId="5" fillId="0" borderId="40" xfId="0" applyNumberFormat="1" applyFont="1" applyBorder="1"/>
    <xf numFmtId="0" fontId="5" fillId="0" borderId="1" xfId="0" applyFont="1" applyBorder="1"/>
    <xf numFmtId="9" fontId="5" fillId="0" borderId="5" xfId="40" applyFont="1" applyBorder="1"/>
    <xf numFmtId="166" fontId="5" fillId="0" borderId="5" xfId="0" applyNumberFormat="1" applyFont="1" applyBorder="1"/>
    <xf numFmtId="0" fontId="5" fillId="0" borderId="6" xfId="0" applyFont="1" applyBorder="1"/>
    <xf numFmtId="9" fontId="5" fillId="0" borderId="8" xfId="40" applyFont="1" applyBorder="1"/>
    <xf numFmtId="0" fontId="5" fillId="0" borderId="1" xfId="0" applyFont="1" applyFill="1" applyBorder="1" applyAlignment="1">
      <alignment horizontal="left"/>
    </xf>
    <xf numFmtId="0" fontId="5" fillId="0" borderId="0" xfId="0" applyFont="1" applyFill="1" applyBorder="1" applyAlignment="1">
      <alignment horizontal="center"/>
    </xf>
    <xf numFmtId="168" fontId="0" fillId="0" borderId="5" xfId="40" applyNumberFormat="1" applyFont="1" applyFill="1" applyBorder="1" applyAlignment="1">
      <alignment horizontal="right"/>
    </xf>
    <xf numFmtId="168" fontId="0" fillId="0" borderId="5" xfId="28" applyNumberFormat="1" applyFont="1" applyFill="1" applyBorder="1" applyAlignment="1">
      <alignment horizontal="right"/>
    </xf>
    <xf numFmtId="168" fontId="0" fillId="0" borderId="0" xfId="0" applyNumberFormat="1" applyBorder="1" applyAlignment="1">
      <alignment horizontal="right"/>
    </xf>
    <xf numFmtId="168" fontId="5" fillId="0" borderId="0" xfId="0" applyNumberFormat="1" applyFont="1" applyFill="1" applyBorder="1" applyAlignment="1">
      <alignment horizontal="right"/>
    </xf>
    <xf numFmtId="168" fontId="5" fillId="0" borderId="0" xfId="0" applyNumberFormat="1" applyFont="1" applyBorder="1" applyAlignment="1">
      <alignment horizontal="right"/>
    </xf>
    <xf numFmtId="168" fontId="5" fillId="0" borderId="26" xfId="28" applyNumberFormat="1" applyFont="1" applyFill="1" applyBorder="1" applyAlignment="1">
      <alignment horizontal="right"/>
    </xf>
    <xf numFmtId="168" fontId="0" fillId="0" borderId="0" xfId="28" applyNumberFormat="1" applyFont="1" applyBorder="1" applyAlignment="1">
      <alignment horizontal="right"/>
    </xf>
    <xf numFmtId="168" fontId="5" fillId="0" borderId="0" xfId="28" applyNumberFormat="1" applyFont="1" applyFill="1" applyBorder="1" applyAlignment="1">
      <alignment horizontal="right"/>
    </xf>
    <xf numFmtId="168" fontId="5" fillId="0" borderId="0" xfId="28" applyNumberFormat="1" applyFont="1" applyBorder="1" applyAlignment="1">
      <alignment horizontal="right"/>
    </xf>
    <xf numFmtId="0" fontId="5" fillId="0" borderId="38" xfId="0" applyFont="1" applyFill="1" applyBorder="1" applyAlignment="1">
      <alignment horizontal="left"/>
    </xf>
    <xf numFmtId="0" fontId="3" fillId="19" borderId="9" xfId="0" applyFont="1" applyFill="1" applyBorder="1" applyAlignment="1">
      <alignment horizontal="right"/>
    </xf>
    <xf numFmtId="0" fontId="3" fillId="19" borderId="5" xfId="0" applyFont="1" applyFill="1" applyBorder="1" applyAlignment="1">
      <alignment horizontal="right"/>
    </xf>
    <xf numFmtId="0" fontId="3" fillId="19" borderId="5" xfId="0" applyFont="1" applyFill="1" applyBorder="1" applyAlignment="1">
      <alignment horizontal="center"/>
    </xf>
    <xf numFmtId="0" fontId="0" fillId="19" borderId="38" xfId="0" applyFill="1" applyBorder="1"/>
    <xf numFmtId="0" fontId="0" fillId="19" borderId="39" xfId="0" applyFill="1" applyBorder="1"/>
    <xf numFmtId="0" fontId="0" fillId="19" borderId="7" xfId="0" applyFill="1" applyBorder="1"/>
    <xf numFmtId="168" fontId="0" fillId="0" borderId="0" xfId="0" applyNumberFormat="1" applyBorder="1" applyAlignment="1">
      <alignment horizontal="center"/>
    </xf>
    <xf numFmtId="0" fontId="0" fillId="0" borderId="42" xfId="0" applyBorder="1" applyAlignment="1">
      <alignment horizontal="center"/>
    </xf>
    <xf numFmtId="168" fontId="0" fillId="0" borderId="43" xfId="0" applyNumberFormat="1" applyBorder="1" applyAlignment="1">
      <alignment horizontal="center"/>
    </xf>
    <xf numFmtId="0" fontId="0" fillId="0" borderId="37" xfId="0" applyBorder="1" applyAlignment="1">
      <alignment horizontal="center"/>
    </xf>
    <xf numFmtId="0" fontId="3" fillId="0" borderId="44" xfId="0" applyFont="1" applyBorder="1" applyAlignment="1">
      <alignment horizontal="center"/>
    </xf>
    <xf numFmtId="0" fontId="3" fillId="0" borderId="33" xfId="0" applyFont="1" applyBorder="1" applyAlignment="1">
      <alignment horizontal="center"/>
    </xf>
    <xf numFmtId="166" fontId="5" fillId="0" borderId="0" xfId="0" applyNumberFormat="1" applyFont="1"/>
    <xf numFmtId="167" fontId="5" fillId="0" borderId="0" xfId="0" applyNumberFormat="1" applyFont="1"/>
    <xf numFmtId="9" fontId="5" fillId="0" borderId="0" xfId="0" applyNumberFormat="1" applyFont="1"/>
    <xf numFmtId="37" fontId="0" fillId="0" borderId="0" xfId="0" applyNumberFormat="1" applyFont="1" applyAlignment="1">
      <alignment wrapText="1"/>
    </xf>
    <xf numFmtId="9" fontId="0" fillId="0" borderId="2" xfId="40" applyFont="1" applyBorder="1" applyAlignment="1">
      <alignment horizontal="center"/>
    </xf>
    <xf numFmtId="9" fontId="0" fillId="0" borderId="0" xfId="40" applyFont="1" applyAlignment="1">
      <alignment horizontal="center"/>
    </xf>
    <xf numFmtId="9" fontId="0" fillId="0" borderId="1" xfId="40" applyFont="1" applyBorder="1" applyAlignment="1">
      <alignment horizontal="center"/>
    </xf>
    <xf numFmtId="9" fontId="0" fillId="0" borderId="0" xfId="40" applyFont="1" applyFill="1" applyAlignment="1">
      <alignment horizontal="center"/>
    </xf>
    <xf numFmtId="9" fontId="0" fillId="0" borderId="1" xfId="40" applyFont="1" applyFill="1" applyBorder="1" applyAlignment="1">
      <alignment horizontal="center"/>
    </xf>
    <xf numFmtId="9" fontId="0" fillId="0" borderId="0" xfId="40" applyFont="1" applyBorder="1"/>
    <xf numFmtId="9" fontId="0" fillId="0" borderId="1" xfId="40" applyFont="1" applyBorder="1"/>
    <xf numFmtId="168" fontId="0" fillId="0" borderId="5" xfId="0" applyNumberFormat="1" applyBorder="1" applyAlignment="1">
      <alignment horizontal="center"/>
    </xf>
    <xf numFmtId="168" fontId="5" fillId="0" borderId="9" xfId="0" applyNumberFormat="1" applyFont="1" applyBorder="1" applyAlignment="1">
      <alignment horizontal="right"/>
    </xf>
    <xf numFmtId="168" fontId="0" fillId="0" borderId="20" xfId="28" applyNumberFormat="1" applyFont="1" applyBorder="1" applyAlignment="1">
      <alignment horizontal="center"/>
    </xf>
    <xf numFmtId="168" fontId="0" fillId="0" borderId="20" xfId="0" applyNumberFormat="1" applyBorder="1" applyAlignment="1">
      <alignment horizontal="center"/>
    </xf>
    <xf numFmtId="0" fontId="3" fillId="0" borderId="38" xfId="0" applyFont="1" applyFill="1" applyBorder="1"/>
    <xf numFmtId="0" fontId="0" fillId="0" borderId="39" xfId="0" applyFill="1" applyBorder="1"/>
    <xf numFmtId="0" fontId="0" fillId="0" borderId="45" xfId="0" applyFill="1" applyBorder="1" applyAlignment="1">
      <alignment horizontal="center"/>
    </xf>
    <xf numFmtId="1" fontId="0" fillId="0" borderId="39" xfId="0" applyNumberFormat="1" applyFill="1" applyBorder="1" applyAlignment="1">
      <alignment horizontal="center"/>
    </xf>
    <xf numFmtId="1" fontId="0" fillId="0" borderId="40" xfId="0" applyNumberFormat="1" applyFill="1" applyBorder="1" applyAlignment="1">
      <alignment horizontal="center"/>
    </xf>
    <xf numFmtId="0" fontId="0" fillId="0" borderId="38" xfId="0" applyFill="1" applyBorder="1" applyAlignment="1">
      <alignment horizontal="center"/>
    </xf>
    <xf numFmtId="0" fontId="0" fillId="0" borderId="38" xfId="0" applyFill="1" applyBorder="1"/>
    <xf numFmtId="0" fontId="0" fillId="0" borderId="40" xfId="0" applyFill="1" applyBorder="1"/>
    <xf numFmtId="0" fontId="3" fillId="0" borderId="6" xfId="0" applyFont="1" applyBorder="1"/>
    <xf numFmtId="0" fontId="5" fillId="0" borderId="10" xfId="0" applyFont="1" applyFill="1" applyBorder="1" applyAlignment="1">
      <alignment horizontal="center"/>
    </xf>
    <xf numFmtId="9" fontId="0" fillId="0" borderId="8" xfId="40" applyFont="1" applyBorder="1" applyAlignment="1">
      <alignment horizontal="center"/>
    </xf>
    <xf numFmtId="1" fontId="5" fillId="0" borderId="7" xfId="0" applyNumberFormat="1" applyFont="1" applyFill="1" applyBorder="1" applyAlignment="1">
      <alignment horizontal="center"/>
    </xf>
    <xf numFmtId="0" fontId="0" fillId="0" borderId="6" xfId="0" applyBorder="1" applyAlignment="1">
      <alignment horizontal="left"/>
    </xf>
    <xf numFmtId="0" fontId="5" fillId="0" borderId="0" xfId="0" applyFont="1" applyFill="1" applyBorder="1" applyAlignment="1">
      <alignment horizontal="left"/>
    </xf>
    <xf numFmtId="17" fontId="0" fillId="0" borderId="0" xfId="0" applyNumberFormat="1"/>
    <xf numFmtId="0" fontId="5" fillId="19" borderId="0" xfId="211" applyFill="1"/>
    <xf numFmtId="0" fontId="5" fillId="19" borderId="0" xfId="211" applyFill="1" applyBorder="1" applyAlignment="1">
      <alignment wrapText="1"/>
    </xf>
    <xf numFmtId="0" fontId="5" fillId="19" borderId="0" xfId="211" applyFill="1" applyBorder="1" applyAlignment="1">
      <alignment horizontal="center"/>
    </xf>
    <xf numFmtId="165" fontId="0" fillId="19" borderId="0" xfId="28" applyNumberFormat="1" applyFont="1" applyFill="1" applyBorder="1" applyAlignment="1">
      <alignment horizontal="center" wrapText="1"/>
    </xf>
    <xf numFmtId="0" fontId="5" fillId="19" borderId="0" xfId="211" applyFont="1" applyFill="1" applyBorder="1" applyAlignment="1">
      <alignment horizontal="center"/>
    </xf>
    <xf numFmtId="1" fontId="5" fillId="19" borderId="0" xfId="211" applyNumberFormat="1" applyFill="1" applyBorder="1" applyAlignment="1">
      <alignment horizontal="center"/>
    </xf>
    <xf numFmtId="0" fontId="5" fillId="19" borderId="38" xfId="211" applyFill="1" applyBorder="1" applyAlignment="1">
      <alignment wrapText="1"/>
    </xf>
    <xf numFmtId="9" fontId="5" fillId="19" borderId="39" xfId="40" applyFont="1" applyFill="1" applyBorder="1" applyAlignment="1">
      <alignment horizontal="center"/>
    </xf>
    <xf numFmtId="9" fontId="5" fillId="19" borderId="39" xfId="40" applyFont="1" applyFill="1" applyBorder="1" applyAlignment="1">
      <alignment horizontal="center" wrapText="1"/>
    </xf>
    <xf numFmtId="9" fontId="5" fillId="19" borderId="38" xfId="40" applyFont="1" applyFill="1" applyBorder="1" applyAlignment="1">
      <alignment horizontal="center"/>
    </xf>
    <xf numFmtId="0" fontId="4" fillId="19" borderId="39" xfId="211" applyFont="1" applyFill="1" applyBorder="1"/>
    <xf numFmtId="1" fontId="5" fillId="19" borderId="40" xfId="211" applyNumberFormat="1" applyFill="1" applyBorder="1" applyAlignment="1">
      <alignment horizontal="center"/>
    </xf>
    <xf numFmtId="0" fontId="5" fillId="19" borderId="1" xfId="211" applyFill="1" applyBorder="1" applyAlignment="1">
      <alignment wrapText="1"/>
    </xf>
    <xf numFmtId="9" fontId="0" fillId="19" borderId="0" xfId="40" applyFont="1" applyFill="1" applyBorder="1" applyAlignment="1">
      <alignment horizontal="center"/>
    </xf>
    <xf numFmtId="9" fontId="0" fillId="19" borderId="0" xfId="40" applyFont="1" applyFill="1" applyBorder="1" applyAlignment="1">
      <alignment horizontal="center" wrapText="1"/>
    </xf>
    <xf numFmtId="9" fontId="4" fillId="19" borderId="0" xfId="40" applyFont="1" applyFill="1" applyBorder="1" applyAlignment="1">
      <alignment horizontal="center"/>
    </xf>
    <xf numFmtId="9" fontId="5" fillId="19" borderId="1" xfId="40" applyFont="1" applyFill="1" applyBorder="1" applyAlignment="1">
      <alignment horizontal="center"/>
    </xf>
    <xf numFmtId="0" fontId="4" fillId="19" borderId="0" xfId="211" applyFont="1" applyFill="1" applyBorder="1"/>
    <xf numFmtId="1" fontId="5" fillId="19" borderId="5" xfId="211" applyNumberFormat="1" applyFill="1" applyBorder="1" applyAlignment="1">
      <alignment horizontal="center"/>
    </xf>
    <xf numFmtId="0" fontId="5" fillId="19" borderId="6" xfId="211" applyFill="1" applyBorder="1" applyAlignment="1">
      <alignment wrapText="1"/>
    </xf>
    <xf numFmtId="9" fontId="0" fillId="19" borderId="7" xfId="40" applyFont="1" applyFill="1" applyBorder="1" applyAlignment="1">
      <alignment horizontal="center"/>
    </xf>
    <xf numFmtId="9" fontId="0" fillId="19" borderId="7" xfId="40" applyFont="1" applyFill="1" applyBorder="1" applyAlignment="1">
      <alignment horizontal="center" wrapText="1"/>
    </xf>
    <xf numFmtId="9" fontId="4" fillId="19" borderId="7" xfId="40" applyFont="1" applyFill="1" applyBorder="1" applyAlignment="1">
      <alignment horizontal="center"/>
    </xf>
    <xf numFmtId="9" fontId="5" fillId="19" borderId="6" xfId="40" applyFont="1" applyFill="1" applyBorder="1" applyAlignment="1">
      <alignment horizontal="center"/>
    </xf>
    <xf numFmtId="0" fontId="4" fillId="19" borderId="7" xfId="211" applyFont="1" applyFill="1" applyBorder="1"/>
    <xf numFmtId="1" fontId="5" fillId="19" borderId="8" xfId="211" applyNumberFormat="1" applyFill="1" applyBorder="1" applyAlignment="1">
      <alignment horizontal="center"/>
    </xf>
    <xf numFmtId="0" fontId="5" fillId="19" borderId="0" xfId="211" applyFill="1" applyAlignment="1">
      <alignment wrapText="1"/>
    </xf>
    <xf numFmtId="9" fontId="0" fillId="19" borderId="0" xfId="40" applyFont="1" applyFill="1"/>
    <xf numFmtId="0" fontId="3" fillId="19" borderId="0" xfId="211" applyFont="1" applyFill="1"/>
    <xf numFmtId="0" fontId="3" fillId="19" borderId="7" xfId="211" applyFont="1" applyFill="1" applyBorder="1"/>
    <xf numFmtId="0" fontId="3" fillId="19" borderId="7" xfId="211" applyFont="1" applyFill="1" applyBorder="1" applyAlignment="1">
      <alignment wrapText="1"/>
    </xf>
    <xf numFmtId="9" fontId="3" fillId="19" borderId="7" xfId="40" applyFont="1" applyFill="1" applyBorder="1"/>
    <xf numFmtId="0" fontId="41" fillId="19" borderId="0" xfId="211" applyFont="1" applyFill="1" applyAlignment="1">
      <alignment wrapText="1"/>
    </xf>
    <xf numFmtId="0" fontId="5" fillId="19" borderId="0" xfId="211" applyFont="1" applyFill="1" applyAlignment="1">
      <alignment wrapText="1"/>
    </xf>
    <xf numFmtId="0" fontId="34" fillId="19" borderId="0" xfId="211" applyFont="1" applyFill="1" applyAlignment="1">
      <alignment horizontal="left" vertical="center" wrapText="1" readingOrder="1"/>
    </xf>
    <xf numFmtId="0" fontId="5" fillId="19" borderId="0" xfId="211" applyFill="1" applyBorder="1"/>
    <xf numFmtId="0" fontId="41" fillId="19" borderId="0" xfId="211" applyFont="1" applyFill="1" applyBorder="1" applyAlignment="1">
      <alignment wrapText="1"/>
    </xf>
    <xf numFmtId="9" fontId="0" fillId="19" borderId="0" xfId="40" applyFont="1" applyFill="1" applyBorder="1"/>
    <xf numFmtId="0" fontId="34" fillId="19" borderId="0" xfId="211" applyFont="1" applyFill="1" applyAlignment="1">
      <alignment wrapText="1"/>
    </xf>
    <xf numFmtId="0" fontId="34" fillId="19" borderId="0" xfId="211" applyFont="1" applyFill="1" applyBorder="1" applyAlignment="1">
      <alignment wrapText="1"/>
    </xf>
    <xf numFmtId="0" fontId="42" fillId="19" borderId="0" xfId="211" applyFont="1" applyFill="1" applyAlignment="1">
      <alignment wrapText="1"/>
    </xf>
    <xf numFmtId="0" fontId="5" fillId="0" borderId="45" xfId="0" applyFont="1" applyBorder="1" applyAlignment="1">
      <alignment horizontal="center"/>
    </xf>
    <xf numFmtId="0" fontId="4" fillId="0" borderId="38" xfId="0" applyFont="1" applyBorder="1"/>
    <xf numFmtId="0" fontId="5" fillId="0" borderId="40" xfId="0" applyFont="1" applyBorder="1"/>
    <xf numFmtId="43" fontId="5" fillId="0" borderId="10" xfId="28" applyNumberFormat="1" applyFont="1" applyBorder="1" applyAlignment="1">
      <alignment horizontal="right"/>
    </xf>
    <xf numFmtId="0" fontId="4" fillId="0" borderId="6" xfId="0" applyFont="1" applyBorder="1"/>
    <xf numFmtId="0" fontId="5" fillId="0" borderId="8" xfId="0" applyFont="1" applyBorder="1"/>
    <xf numFmtId="0" fontId="36" fillId="19" borderId="21" xfId="0" applyFont="1" applyFill="1" applyBorder="1" applyAlignment="1">
      <alignment horizontal="center"/>
    </xf>
    <xf numFmtId="0" fontId="36" fillId="19" borderId="22" xfId="0" applyFont="1" applyFill="1" applyBorder="1" applyAlignment="1">
      <alignment horizontal="center"/>
    </xf>
    <xf numFmtId="0" fontId="36" fillId="19" borderId="23" xfId="0" applyFont="1" applyFill="1" applyBorder="1" applyAlignment="1">
      <alignment horizontal="center"/>
    </xf>
    <xf numFmtId="0" fontId="5" fillId="19" borderId="2" xfId="0" applyFont="1" applyFill="1" applyBorder="1" applyAlignment="1">
      <alignment horizontal="center"/>
    </xf>
    <xf numFmtId="0" fontId="0" fillId="19" borderId="3" xfId="0" applyFill="1" applyBorder="1" applyAlignment="1">
      <alignment horizontal="center"/>
    </xf>
    <xf numFmtId="0" fontId="0" fillId="19" borderId="4" xfId="0" applyFill="1" applyBorder="1" applyAlignment="1">
      <alignment horizontal="center"/>
    </xf>
    <xf numFmtId="49" fontId="43" fillId="19" borderId="0" xfId="0" applyNumberFormat="1" applyFont="1" applyFill="1" applyAlignment="1">
      <alignment wrapText="1"/>
    </xf>
  </cellXfs>
  <cellStyles count="21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Comma" xfId="28" builtinId="3"/>
    <cellStyle name="Comma 2" xfId="196" xr:uid="{00000000-0005-0000-0000-00001C000000}"/>
    <cellStyle name="Explanatory Text" xfId="29" xr:uid="{00000000-0005-0000-0000-00001D000000}"/>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xr:uid="{00000000-0005-0000-0000-00006F000000}"/>
    <cellStyle name="Heading 1" xfId="31" xr:uid="{00000000-0005-0000-0000-000070000000}"/>
    <cellStyle name="Heading 2" xfId="32" xr:uid="{00000000-0005-0000-0000-000071000000}"/>
    <cellStyle name="Heading 3" xfId="33" xr:uid="{00000000-0005-0000-0000-000072000000}"/>
    <cellStyle name="Heading 4" xfId="34" xr:uid="{00000000-0005-0000-0000-000073000000}"/>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Input" xfId="35" xr:uid="{00000000-0005-0000-0000-0000C5000000}"/>
    <cellStyle name="Linked Cell" xfId="36" xr:uid="{00000000-0005-0000-0000-0000C6000000}"/>
    <cellStyle name="Neutral" xfId="37" xr:uid="{00000000-0005-0000-0000-0000C7000000}"/>
    <cellStyle name="Normal" xfId="0" builtinId="0"/>
    <cellStyle name="Normal 2" xfId="44" xr:uid="{00000000-0005-0000-0000-0000C9000000}"/>
    <cellStyle name="Normal 3" xfId="45" xr:uid="{00000000-0005-0000-0000-0000CA000000}"/>
    <cellStyle name="Normal 4" xfId="46" xr:uid="{00000000-0005-0000-0000-0000CB000000}"/>
    <cellStyle name="Normal 5" xfId="195" xr:uid="{00000000-0005-0000-0000-0000CC000000}"/>
    <cellStyle name="Normal 6" xfId="211" xr:uid="{99897588-4489-624B-BEE1-47CEB29E5D6F}"/>
    <cellStyle name="Note" xfId="38" xr:uid="{00000000-0005-0000-0000-0000CD000000}"/>
    <cellStyle name="Output" xfId="39" xr:uid="{00000000-0005-0000-0000-0000CE000000}"/>
    <cellStyle name="Percent" xfId="40" builtinId="5"/>
    <cellStyle name="Title" xfId="41" xr:uid="{00000000-0005-0000-0000-0000D0000000}"/>
    <cellStyle name="Total" xfId="42" xr:uid="{00000000-0005-0000-0000-0000D1000000}"/>
    <cellStyle name="Warning Text" xfId="43" xr:uid="{00000000-0005-0000-0000-0000D2000000}"/>
  </cellStyles>
  <dxfs count="26">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Tornado for Sweet Spot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0.16</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6581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0.6</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1600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600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4"/>
              <c:pt idx="0">
                <c:v>Combined Unc</c:v>
              </c:pt>
              <c:pt idx="1">
                <c:v>King Market Share</c:v>
              </c:pt>
              <c:pt idx="2">
                <c:v>Niche Size - of sweetspot TAM</c:v>
              </c:pt>
              <c:pt idx="3">
                <c:v>Niche Market Share</c:v>
              </c:pt>
              <c:pt idx="4">
                <c:v>Investment size</c:v>
              </c:pt>
              <c:pt idx="5">
                <c:v>Total TAM</c:v>
              </c:pt>
              <c:pt idx="6">
                <c:v>Niche Dilution</c:v>
              </c:pt>
              <c:pt idx="7">
                <c:v>Niche Exit Mult Disc</c:v>
              </c:pt>
              <c:pt idx="8">
                <c:v>Serf Market Share</c:v>
              </c:pt>
              <c:pt idx="9">
                <c:v>Pre-money Valuation</c:v>
              </c:pt>
              <c:pt idx="10">
                <c:v>Exit Multiple (Sales)</c:v>
              </c:pt>
              <c:pt idx="11">
                <c:v>Prince Market Share</c:v>
              </c:pt>
              <c:pt idx="12">
                <c:v>Dilution</c:v>
              </c:pt>
              <c:pt idx="13">
                <c:v>Sweetspot TAM</c:v>
              </c:pt>
            </c:strLit>
          </c:cat>
          <c:val>
            <c:numLit>
              <c:formatCode>General</c:formatCode>
              <c:ptCount val="14"/>
              <c:pt idx="0">
                <c:v>2.9225910272000006</c:v>
              </c:pt>
              <c:pt idx="1">
                <c:v>11.799551453866666</c:v>
              </c:pt>
              <c:pt idx="2">
                <c:v>11.799551453866666</c:v>
              </c:pt>
              <c:pt idx="3">
                <c:v>11.799551453866666</c:v>
              </c:pt>
              <c:pt idx="4">
                <c:v>11.799551453866666</c:v>
              </c:pt>
              <c:pt idx="5">
                <c:v>11.799551453866666</c:v>
              </c:pt>
              <c:pt idx="6">
                <c:v>12.2128826368</c:v>
              </c:pt>
              <c:pt idx="7">
                <c:v>11.468886507519999</c:v>
              </c:pt>
              <c:pt idx="8">
                <c:v>11.154087389866667</c:v>
              </c:pt>
              <c:pt idx="9">
                <c:v>14.159461744640002</c:v>
              </c:pt>
              <c:pt idx="10">
                <c:v>7.0797308723199999</c:v>
              </c:pt>
              <c:pt idx="11">
                <c:v>8.5722311338666675</c:v>
              </c:pt>
              <c:pt idx="12">
                <c:v>22.772440541866672</c:v>
              </c:pt>
              <c:pt idx="13">
                <c:v>3.5222541653333335</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35-B44D-BED3-FD2662CF8EF4}"/>
                </c:ext>
              </c:extLst>
            </c:dLbl>
            <c:dLbl>
              <c:idx val="1"/>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AC35-B44D-BED3-FD2662CF8EF4}"/>
                </c:ext>
              </c:extLst>
            </c:dLbl>
            <c:dLbl>
              <c:idx val="2"/>
              <c:tx>
                <c:rich>
                  <a:bodyPr/>
                  <a:lstStyle/>
                  <a:p>
                    <a:r>
                      <a:rPr lang="en-US"/>
                      <a:t>0.16</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35-B44D-BED3-FD2662CF8EF4}"/>
                </c:ext>
              </c:extLst>
            </c:dLbl>
            <c:dLbl>
              <c:idx val="3"/>
              <c:tx>
                <c:rich>
                  <a:bodyPr/>
                  <a:lstStyle/>
                  <a:p>
                    <a:r>
                      <a:rPr lang="en-US"/>
                      <a:t>0.02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35-B44D-BED3-FD2662CF8EF4}"/>
                </c:ext>
              </c:extLst>
            </c:dLbl>
            <c:dLbl>
              <c:idx val="4"/>
              <c:tx>
                <c:rich>
                  <a:bodyPr/>
                  <a:lstStyle/>
                  <a:p>
                    <a:r>
                      <a:rPr lang="en-US"/>
                      <a:t>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35-B44D-BED3-FD2662CF8EF4}"/>
                </c:ext>
              </c:extLst>
            </c:dLbl>
            <c:dLbl>
              <c:idx val="5"/>
              <c:tx>
                <c:rich>
                  <a:bodyPr/>
                  <a:lstStyle/>
                  <a:p>
                    <a:r>
                      <a:rPr lang="en-US"/>
                      <a:t>17522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35-B44D-BED3-FD2662CF8EF4}"/>
                </c:ext>
              </c:extLst>
            </c:dLbl>
            <c:dLbl>
              <c:idx val="6"/>
              <c:tx>
                <c:rich>
                  <a:bodyPr/>
                  <a:lstStyle/>
                  <a:p>
                    <a:r>
                      <a:rPr lang="en-US"/>
                      <a:t>0.7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35-B44D-BED3-FD2662CF8EF4}"/>
                </c:ext>
              </c:extLst>
            </c:dLbl>
            <c:dLbl>
              <c:idx val="7"/>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35-B44D-BED3-FD2662CF8EF4}"/>
                </c:ext>
              </c:extLst>
            </c:dLbl>
            <c:dLbl>
              <c:idx val="8"/>
              <c:tx>
                <c:rich>
                  <a:bodyPr/>
                  <a:lstStyle/>
                  <a:p>
                    <a:r>
                      <a:rPr lang="en-US"/>
                      <a:t>0.04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35-B44D-BED3-FD2662CF8EF4}"/>
                </c:ext>
              </c:extLst>
            </c:dLbl>
            <c:dLbl>
              <c:idx val="9"/>
              <c:tx>
                <c:rich>
                  <a:bodyPr/>
                  <a:lstStyle/>
                  <a:p>
                    <a:r>
                      <a:rPr lang="en-US"/>
                      <a:t>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35-B44D-BED3-FD2662CF8EF4}"/>
                </c:ext>
              </c:extLst>
            </c:dLbl>
            <c:dLbl>
              <c:idx val="10"/>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C35-B44D-BED3-FD2662CF8EF4}"/>
                </c:ext>
              </c:extLst>
            </c:dLbl>
            <c:dLbl>
              <c:idx val="11"/>
              <c:tx>
                <c:rich>
                  <a:bodyPr/>
                  <a:lstStyle/>
                  <a:p>
                    <a:r>
                      <a:rPr lang="en-US"/>
                      <a:t>0.4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C35-B44D-BED3-FD2662CF8EF4}"/>
                </c:ext>
              </c:extLst>
            </c:dLbl>
            <c:dLbl>
              <c:idx val="12"/>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AC35-B44D-BED3-FD2662CF8EF4}"/>
                </c:ext>
              </c:extLst>
            </c:dLbl>
            <c:dLbl>
              <c:idx val="13"/>
              <c:tx>
                <c:rich>
                  <a:bodyPr/>
                  <a:lstStyle/>
                  <a:p>
                    <a:r>
                      <a:rPr lang="en-US"/>
                      <a:t>10240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C35-B44D-BED3-FD2662CF8EF4}"/>
                </c:ext>
              </c:extLst>
            </c:dLbl>
            <c:dLbl>
              <c:idx val="14"/>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C35-B44D-BED3-FD2662CF8EF4}"/>
                </c:ext>
              </c:extLst>
            </c:dLbl>
            <c:dLbl>
              <c:idx val="15"/>
              <c:tx>
                <c:rich>
                  <a:bodyPr/>
                  <a:lstStyle/>
                  <a:p>
                    <a:r>
                      <a:rPr lang="en-US"/>
                      <a:t>300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AC35-B44D-BED3-FD2662CF8EF4}"/>
                </c:ext>
              </c:extLst>
            </c:dLbl>
            <c:dLbl>
              <c:idx val="16"/>
              <c:tx>
                <c:rich>
                  <a:bodyPr/>
                  <a:lstStyle/>
                  <a:p>
                    <a:r>
                      <a:rPr lang="en-US"/>
                      <a:t>1</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AC35-B44D-BED3-FD2662CF8EF4}"/>
                </c:ext>
              </c:extLst>
            </c:dLbl>
            <c:dLbl>
              <c:idx val="17"/>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AC35-B44D-BED3-FD2662CF8EF4}"/>
                </c:ext>
              </c:extLst>
            </c:dLbl>
            <c:dLbl>
              <c:idx val="18"/>
              <c:tx>
                <c:rich>
                  <a:bodyPr/>
                  <a:lstStyle/>
                  <a:p>
                    <a:r>
                      <a:rPr lang="en-US"/>
                      <a:t>0.4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AC35-B44D-BED3-FD2662CF8EF4}"/>
                </c:ext>
              </c:extLst>
            </c:dLbl>
            <c:dLbl>
              <c:idx val="19"/>
              <c:tx>
                <c:rich>
                  <a:bodyPr/>
                  <a:lstStyle/>
                  <a:p>
                    <a:r>
                      <a:rPr lang="en-US"/>
                      <a:t>1200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AC35-B44D-BED3-FD2662CF8EF4}"/>
                </c:ext>
              </c:extLst>
            </c:dLbl>
            <c:dLbl>
              <c:idx val="20"/>
              <c:tx>
                <c:rich>
                  <a:bodyPr/>
                  <a:lstStyle/>
                  <a:p>
                    <a:r>
                      <a:rPr lang="en-US"/>
                      <a:t>0.4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AC35-B44D-BED3-FD2662CF8EF4}"/>
                </c:ext>
              </c:extLst>
            </c:dLbl>
            <c:dLbl>
              <c:idx val="21"/>
              <c:tx>
                <c:rich>
                  <a:bodyPr/>
                  <a:lstStyle/>
                  <a:p>
                    <a:r>
                      <a:rPr lang="en-US"/>
                      <a:t>0.1</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AC35-B44D-BED3-FD2662CF8EF4}"/>
                </c:ext>
              </c:extLst>
            </c:dLbl>
            <c:dLbl>
              <c:idx val="22"/>
              <c:tx>
                <c:rich>
                  <a:bodyPr/>
                  <a:lstStyle/>
                  <a:p>
                    <a:r>
                      <a:rPr lang="en-US"/>
                      <a:t>6</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AC35-B44D-BED3-FD2662CF8EF4}"/>
                </c:ext>
              </c:extLst>
            </c:dLbl>
            <c:dLbl>
              <c:idx val="23"/>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AC35-B44D-BED3-FD2662CF8EF4}"/>
                </c:ext>
              </c:extLst>
            </c:dLbl>
            <c:dLbl>
              <c:idx val="24"/>
              <c:tx>
                <c:rich>
                  <a:bodyPr/>
                  <a:lstStyle/>
                  <a:p>
                    <a:r>
                      <a:rPr lang="en-US"/>
                      <a:t>6</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AC35-B44D-BED3-FD2662CF8EF4}"/>
                </c:ext>
              </c:extLst>
            </c:dLbl>
            <c:dLbl>
              <c:idx val="25"/>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14"/>
              <c:pt idx="0">
                <c:v>31.559397321386669</c:v>
              </c:pt>
              <c:pt idx="1">
                <c:v>11.799551453866666</c:v>
              </c:pt>
              <c:pt idx="2">
                <c:v>11.799551453866666</c:v>
              </c:pt>
              <c:pt idx="3">
                <c:v>11.799551453866666</c:v>
              </c:pt>
              <c:pt idx="4">
                <c:v>11.799551453866666</c:v>
              </c:pt>
              <c:pt idx="5">
                <c:v>11.799551453866666</c:v>
              </c:pt>
              <c:pt idx="6">
                <c:v>11.592885862399999</c:v>
              </c:pt>
              <c:pt idx="7">
                <c:v>12.295548873386666</c:v>
              </c:pt>
              <c:pt idx="8">
                <c:v>13.090479581866667</c:v>
              </c:pt>
              <c:pt idx="9">
                <c:v>10.113901246171428</c:v>
              </c:pt>
              <c:pt idx="10">
                <c:v>16.519372035413333</c:v>
              </c:pt>
              <c:pt idx="11">
                <c:v>18.254192093866667</c:v>
              </c:pt>
              <c:pt idx="12">
                <c:v>6.3131069098666668</c:v>
              </c:pt>
              <c:pt idx="13">
                <c:v>22.542426658133333</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11.799551453866666"/>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Sweet Spot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0.72145024731428564</c:v>
              </c:pt>
              <c:pt idx="1">
                <c:v>0.84169195520000006</c:v>
              </c:pt>
              <c:pt idx="2">
                <c:v>0.96917632731428571</c:v>
              </c:pt>
              <c:pt idx="3">
                <c:v>1.0100303462400002</c:v>
              </c:pt>
              <c:pt idx="4">
                <c:v>1.1307057152000002</c:v>
              </c:pt>
              <c:pt idx="5">
                <c:v>1.2024170788571429</c:v>
              </c:pt>
              <c:pt idx="6">
                <c:v>1.3159928393142857</c:v>
              </c:pt>
              <c:pt idx="7">
                <c:v>1.3568468582400002</c:v>
              </c:pt>
              <c:pt idx="8">
                <c:v>1.4028199253333336</c:v>
              </c:pt>
              <c:pt idx="9">
                <c:v>1.4646284873142856</c:v>
              </c:pt>
              <c:pt idx="10">
                <c:v>1.5353249792000001</c:v>
              </c:pt>
              <c:pt idx="11">
                <c:v>1.6152938788571429</c:v>
              </c:pt>
              <c:pt idx="12">
                <c:v>1.6833839104000001</c:v>
              </c:pt>
              <c:pt idx="13">
                <c:v>1.6833839104000003</c:v>
              </c:pt>
              <c:pt idx="14">
                <c:v>1.7087332352</c:v>
              </c:pt>
              <c:pt idx="15">
                <c:v>1.8114449993142858</c:v>
              </c:pt>
              <c:pt idx="16">
                <c:v>1.8423899750400001</c:v>
              </c:pt>
              <c:pt idx="17">
                <c:v>1.8845095253333335</c:v>
              </c:pt>
              <c:pt idx="18">
                <c:v>1.9639478954666669</c:v>
              </c:pt>
              <c:pt idx="19">
                <c:v>2.0504798822400003</c:v>
              </c:pt>
              <c:pt idx="20">
                <c:v>2.1133524992000003</c:v>
              </c:pt>
              <c:pt idx="21">
                <c:v>2.1933213988571429</c:v>
              </c:pt>
              <c:pt idx="22">
                <c:v>2.2614114304000004</c:v>
              </c:pt>
              <c:pt idx="23">
                <c:v>2.2614114304000004</c:v>
              </c:pt>
              <c:pt idx="24">
                <c:v>2.3567374745600005</c:v>
              </c:pt>
              <c:pt idx="25">
                <c:v>2.4168583285028573</c:v>
              </c:pt>
              <c:pt idx="26">
                <c:v>2.441047478857143</c:v>
              </c:pt>
              <c:pt idx="27">
                <c:v>2.5050780233142862</c:v>
              </c:pt>
              <c:pt idx="28">
                <c:v>2.5360229990400001</c:v>
              </c:pt>
              <c:pt idx="29">
                <c:v>2.5588749653333336</c:v>
              </c:pt>
              <c:pt idx="30">
                <c:v>2.638313335466667</c:v>
              </c:pt>
              <c:pt idx="31">
                <c:v>2.8023493193142852</c:v>
              </c:pt>
              <c:pt idx="32">
                <c:v>2.8196680499200002</c:v>
              </c:pt>
              <c:pt idx="33">
                <c:v>2.8478887253333336</c:v>
              </c:pt>
              <c:pt idx="34">
                <c:v>2.9225910272000006</c:v>
              </c:pt>
              <c:pt idx="35">
                <c:v>3.0190749988571426</c:v>
              </c:pt>
              <c:pt idx="36">
                <c:v>3.0706499584000002</c:v>
              </c:pt>
              <c:pt idx="37">
                <c:v>3.0706499584000002</c:v>
              </c:pt>
              <c:pt idx="38">
                <c:v>3.1659760025600003</c:v>
              </c:pt>
              <c:pt idx="39">
                <c:v>3.2467406965028571</c:v>
              </c:pt>
              <c:pt idx="40">
                <c:v>3.2694075391999999</c:v>
              </c:pt>
              <c:pt idx="41">
                <c:v>3.3836016599040004</c:v>
              </c:pt>
              <c:pt idx="42">
                <c:v>3.4174664704</c:v>
              </c:pt>
              <c:pt idx="43">
                <c:v>3.4174664704</c:v>
              </c:pt>
              <c:pt idx="44">
                <c:v>3.495982343314286</c:v>
              </c:pt>
              <c:pt idx="45">
                <c:v>3.5071092326400013</c:v>
              </c:pt>
              <c:pt idx="46">
                <c:v>3.5222541653333335</c:v>
              </c:pt>
              <c:pt idx="47">
                <c:v>3.5824249514666668</c:v>
              </c:pt>
              <c:pt idx="48">
                <c:v>3.78786414592</c:v>
              </c:pt>
              <c:pt idx="49">
                <c:v>3.9232890470399999</c:v>
              </c:pt>
              <c:pt idx="50">
                <c:v>3.9870442154666668</c:v>
              </c:pt>
              <c:pt idx="51">
                <c:v>4.0280972141714289</c:v>
              </c:pt>
              <c:pt idx="52">
                <c:v>4.0786460672000011</c:v>
              </c:pt>
              <c:pt idx="53">
                <c:v>4.1751300388571444</c:v>
              </c:pt>
              <c:pt idx="54">
                <c:v>4.2267049984000007</c:v>
              </c:pt>
              <c:pt idx="55">
                <c:v>4.2267049984000007</c:v>
              </c:pt>
              <c:pt idx="56">
                <c:v>4.2989099417600007</c:v>
              </c:pt>
              <c:pt idx="57">
                <c:v>4.4085760117028574</c:v>
              </c:pt>
              <c:pt idx="58">
                <c:v>4.5454369751040007</c:v>
              </c:pt>
              <c:pt idx="59">
                <c:v>4.6172815828114286</c:v>
              </c:pt>
              <c:pt idx="60">
                <c:v>4.6705821988571437</c:v>
              </c:pt>
              <c:pt idx="61">
                <c:v>4.6994467498666666</c:v>
              </c:pt>
              <c:pt idx="62">
                <c:v>4.7844530585600005</c:v>
              </c:pt>
              <c:pt idx="63">
                <c:v>4.8709850453333345</c:v>
              </c:pt>
              <c:pt idx="64">
                <c:v>4.8943752806400012</c:v>
              </c:pt>
              <c:pt idx="65">
                <c:v>4.9065054325028576</c:v>
              </c:pt>
              <c:pt idx="66">
                <c:v>4.9311558314666666</c:v>
              </c:pt>
              <c:pt idx="67">
                <c:v>5.1433386803200003</c:v>
              </c:pt>
              <c:pt idx="68">
                <c:v>5.3868285132800002</c:v>
              </c:pt>
              <c:pt idx="69">
                <c:v>5.4112344941714285</c:v>
              </c:pt>
              <c:pt idx="70">
                <c:v>5.4490125653333337</c:v>
              </c:pt>
              <c:pt idx="71">
                <c:v>5.4777909833142866</c:v>
              </c:pt>
              <c:pt idx="72">
                <c:v>5.6393360998400004</c:v>
              </c:pt>
              <c:pt idx="73">
                <c:v>5.6393360998400013</c:v>
              </c:pt>
              <c:pt idx="74">
                <c:v>5.72425633792</c:v>
              </c:pt>
              <c:pt idx="75">
                <c:v>5.8266372388571446</c:v>
              </c:pt>
              <c:pt idx="76">
                <c:v>5.8451820544000013</c:v>
              </c:pt>
              <c:pt idx="77">
                <c:v>5.8451820544000022</c:v>
              </c:pt>
              <c:pt idx="78">
                <c:v>5.9173869977600004</c:v>
              </c:pt>
              <c:pt idx="79">
                <c:v>6.068340747702857</c:v>
              </c:pt>
              <c:pt idx="80">
                <c:v>6.1720064163840007</c:v>
              </c:pt>
              <c:pt idx="81">
                <c:v>6.2027284948114279</c:v>
              </c:pt>
              <c:pt idx="82">
                <c:v>6.3131069098666668</c:v>
              </c:pt>
              <c:pt idx="83">
                <c:v>6.3907561472000021</c:v>
              </c:pt>
              <c:pt idx="84">
                <c:v>6.4641942159360015</c:v>
              </c:pt>
              <c:pt idx="85">
                <c:v>6.5388150783999999</c:v>
              </c:pt>
              <c:pt idx="86">
                <c:v>6.5388150783999999</c:v>
              </c:pt>
              <c:pt idx="87">
                <c:v>6.5792254498133333</c:v>
              </c:pt>
              <c:pt idx="88">
                <c:v>6.7977434453333343</c:v>
              </c:pt>
              <c:pt idx="89">
                <c:v>6.8193790634666671</c:v>
              </c:pt>
              <c:pt idx="90">
                <c:v>6.8691076055040003</c:v>
              </c:pt>
              <c:pt idx="91">
                <c:v>7.0797308723199999</c:v>
              </c:pt>
              <c:pt idx="92">
                <c:v>7.2365165772800006</c:v>
              </c:pt>
              <c:pt idx="93">
                <c:v>7.3476266861714281</c:v>
              </c:pt>
              <c:pt idx="94">
                <c:v>7.57572829184</c:v>
              </c:pt>
              <c:pt idx="95">
                <c:v>7.5757282918400008</c:v>
              </c:pt>
              <c:pt idx="96">
                <c:v>7.628617591466667</c:v>
              </c:pt>
              <c:pt idx="97">
                <c:v>7.6689073766400027</c:v>
              </c:pt>
              <c:pt idx="98">
                <c:v>7.6954693046857132</c:v>
              </c:pt>
              <c:pt idx="99">
                <c:v>7.8950705397760013</c:v>
              </c:pt>
              <c:pt idx="100">
                <c:v>8.1572921344000022</c:v>
              </c:pt>
              <c:pt idx="101">
                <c:v>8.157292134400004</c:v>
              </c:pt>
              <c:pt idx="102">
                <c:v>8.1775090541714288</c:v>
              </c:pt>
              <c:pt idx="103">
                <c:v>8.183254876160003</c:v>
              </c:pt>
              <c:pt idx="104">
                <c:v>8.3920113781028594</c:v>
              </c:pt>
              <c:pt idx="105">
                <c:v>8.4223541716114276</c:v>
              </c:pt>
              <c:pt idx="106">
                <c:v>8.4956770467840013</c:v>
              </c:pt>
              <c:pt idx="107">
                <c:v>8.5722311338666675</c:v>
              </c:pt>
              <c:pt idx="108">
                <c:v>8.6838198927360022</c:v>
              </c:pt>
              <c:pt idx="109">
                <c:v>8.8383496738133331</c:v>
              </c:pt>
              <c:pt idx="110">
                <c:v>8.978047522133334</c:v>
              </c:pt>
              <c:pt idx="111">
                <c:v>9.1296516388571458</c:v>
              </c:pt>
              <c:pt idx="112">
                <c:v>9.1543411097600007</c:v>
              </c:pt>
              <c:pt idx="113">
                <c:v>9.373622318811428</c:v>
              </c:pt>
              <c:pt idx="114">
                <c:v>9.3878702197028581</c:v>
              </c:pt>
              <c:pt idx="115">
                <c:v>9.5168408234666693</c:v>
              </c:pt>
              <c:pt idx="116">
                <c:v>9.5404272298666672</c:v>
              </c:pt>
              <c:pt idx="117">
                <c:v>9.7906799411200023</c:v>
              </c:pt>
              <c:pt idx="118">
                <c:v>9.8260798668799989</c:v>
              </c:pt>
              <c:pt idx="119">
                <c:v>10.113901246171428</c:v>
              </c:pt>
              <c:pt idx="120">
                <c:v>10.286677360640001</c:v>
              </c:pt>
              <c:pt idx="121">
                <c:v>10.286677360640001</c:v>
              </c:pt>
              <c:pt idx="122">
                <c:v>10.337880824685715</c:v>
              </c:pt>
              <c:pt idx="123">
                <c:v>10.606019608576002</c:v>
              </c:pt>
              <c:pt idx="124">
                <c:v>10.651260245333335</c:v>
              </c:pt>
              <c:pt idx="125">
                <c:v>10.77365702656</c:v>
              </c:pt>
              <c:pt idx="126">
                <c:v>10.77365702656</c:v>
              </c:pt>
              <c:pt idx="127">
                <c:v>10.935892705280001</c:v>
              </c:pt>
              <c:pt idx="128">
                <c:v>10.95251525632</c:v>
              </c:pt>
              <c:pt idx="129">
                <c:v>11.420208988160006</c:v>
              </c:pt>
              <c:pt idx="130">
                <c:v>11.44851267584</c:v>
              </c:pt>
              <c:pt idx="131">
                <c:v>11.448512675840002</c:v>
              </c:pt>
              <c:pt idx="132">
                <c:v>11.593247995611428</c:v>
              </c:pt>
              <c:pt idx="133">
                <c:v>11.711540850102859</c:v>
              </c:pt>
              <c:pt idx="134">
                <c:v>11.748815929344005</c:v>
              </c:pt>
              <c:pt idx="135">
                <c:v>11.791295840256002</c:v>
              </c:pt>
              <c:pt idx="136">
                <c:v>11.799551453866666</c:v>
              </c:pt>
              <c:pt idx="137">
                <c:v>12.001123587413332</c:v>
              </c:pt>
              <c:pt idx="138">
                <c:v>12.060860962133335</c:v>
              </c:pt>
              <c:pt idx="139">
                <c:v>12.569266530986667</c:v>
              </c:pt>
              <c:pt idx="140">
                <c:v>12.781512294400002</c:v>
              </c:pt>
              <c:pt idx="141">
                <c:v>12.781512294400006</c:v>
              </c:pt>
              <c:pt idx="142">
                <c:v>13.123071246336</c:v>
              </c:pt>
              <c:pt idx="143">
                <c:v>13.143018307584001</c:v>
              </c:pt>
              <c:pt idx="144">
                <c:v>13.356598121813333</c:v>
              </c:pt>
              <c:pt idx="145">
                <c:v>13.52545599488</c:v>
              </c:pt>
              <c:pt idx="146">
                <c:v>13.663464325120003</c:v>
              </c:pt>
              <c:pt idx="147">
                <c:v>13.986685630171429</c:v>
              </c:pt>
              <c:pt idx="148">
                <c:v>14.037256952685713</c:v>
              </c:pt>
              <c:pt idx="149">
                <c:v>14.15946174464</c:v>
              </c:pt>
              <c:pt idx="150">
                <c:v>14.159461744640002</c:v>
              </c:pt>
              <c:pt idx="151">
                <c:v>14.401348304896</c:v>
              </c:pt>
              <c:pt idx="152">
                <c:v>14.473033154560001</c:v>
              </c:pt>
              <c:pt idx="153">
                <c:v>14.473033154560001</c:v>
              </c:pt>
              <c:pt idx="154">
                <c:v>14.911764343466672</c:v>
              </c:pt>
              <c:pt idx="155">
                <c:v>15.083119837184002</c:v>
              </c:pt>
              <c:pt idx="156">
                <c:v>15.622703864685715</c:v>
              </c:pt>
              <c:pt idx="157">
                <c:v>15.646450366171427</c:v>
              </c:pt>
              <c:pt idx="158">
                <c:v>16.027917746176001</c:v>
              </c:pt>
              <c:pt idx="159">
                <c:v>16.032499349211431</c:v>
              </c:pt>
              <c:pt idx="160">
                <c:v>16.230547193856005</c:v>
              </c:pt>
              <c:pt idx="161">
                <c:v>16.317799901866668</c:v>
              </c:pt>
              <c:pt idx="162">
                <c:v>16.376799778133332</c:v>
              </c:pt>
              <c:pt idx="163">
                <c:v>16.39615719014401</c:v>
              </c:pt>
              <c:pt idx="164">
                <c:v>16.519372035413333</c:v>
              </c:pt>
              <c:pt idx="165">
                <c:v>16.88520534698667</c:v>
              </c:pt>
              <c:pt idx="166">
                <c:v>17.894117212160008</c:v>
              </c:pt>
              <c:pt idx="167">
                <c:v>17.935035643611428</c:v>
              </c:pt>
              <c:pt idx="168">
                <c:v>18.226487842133331</c:v>
              </c:pt>
              <c:pt idx="169">
                <c:v>18.254192093866667</c:v>
              </c:pt>
              <c:pt idx="170">
                <c:v>18.350599794102862</c:v>
              </c:pt>
              <c:pt idx="171">
                <c:v>18.704582574080007</c:v>
              </c:pt>
              <c:pt idx="172">
                <c:v>19.322079992685715</c:v>
              </c:pt>
              <c:pt idx="173">
                <c:v>19.519234750171432</c:v>
              </c:pt>
              <c:pt idx="174">
                <c:v>19.581359882240005</c:v>
              </c:pt>
              <c:pt idx="175">
                <c:v>19.581359882240008</c:v>
              </c:pt>
              <c:pt idx="176">
                <c:v>19.652159733759998</c:v>
              </c:pt>
              <c:pt idx="177">
                <c:v>19.652159733759998</c:v>
              </c:pt>
              <c:pt idx="178">
                <c:v>19.823246442496004</c:v>
              </c:pt>
              <c:pt idx="179">
                <c:v>20.262246416384006</c:v>
              </c:pt>
              <c:pt idx="180">
                <c:v>20.924208250880003</c:v>
              </c:pt>
              <c:pt idx="181">
                <c:v>21.409033093120005</c:v>
              </c:pt>
              <c:pt idx="182">
                <c:v>21.871785410560001</c:v>
              </c:pt>
              <c:pt idx="183">
                <c:v>21.871785410560001</c:v>
              </c:pt>
              <c:pt idx="184">
                <c:v>21.90503051264</c:v>
              </c:pt>
              <c:pt idx="185">
                <c:v>21.905030512640003</c:v>
              </c:pt>
              <c:pt idx="186">
                <c:v>22.374286997211428</c:v>
              </c:pt>
              <c:pt idx="187">
                <c:v>22.44549908889601</c:v>
              </c:pt>
              <c:pt idx="188">
                <c:v>22.542426658133333</c:v>
              </c:pt>
              <c:pt idx="189">
                <c:v>22.772440541866672</c:v>
              </c:pt>
              <c:pt idx="190">
                <c:v>22.844919862613335</c:v>
              </c:pt>
              <c:pt idx="191">
                <c:v>22.927519689386667</c:v>
              </c:pt>
              <c:pt idx="192">
                <c:v>25.109049901056</c:v>
              </c:pt>
              <c:pt idx="193">
                <c:v>25.517082978986668</c:v>
              </c:pt>
              <c:pt idx="194">
                <c:v>25.555868931413332</c:v>
              </c:pt>
              <c:pt idx="195">
                <c:v>25.690839711744008</c:v>
              </c:pt>
              <c:pt idx="196">
                <c:v>26.103334830080009</c:v>
              </c:pt>
              <c:pt idx="197">
                <c:v>26.720832248685721</c:v>
              </c:pt>
              <c:pt idx="198">
                <c:v>27.050911989759999</c:v>
              </c:pt>
              <c:pt idx="199">
                <c:v>27.050911989759999</c:v>
              </c:pt>
              <c:pt idx="200">
                <c:v>27.326928650240006</c:v>
              </c:pt>
              <c:pt idx="201">
                <c:v>27.32692865024001</c:v>
              </c:pt>
              <c:pt idx="202">
                <c:v>27.413903835136015</c:v>
              </c:pt>
              <c:pt idx="203">
                <c:v>27.513023627264005</c:v>
              </c:pt>
              <c:pt idx="204">
                <c:v>29.891726072685714</c:v>
              </c:pt>
              <c:pt idx="205">
                <c:v>30.584332990171436</c:v>
              </c:pt>
              <c:pt idx="206">
                <c:v>30.620499574784006</c:v>
              </c:pt>
              <c:pt idx="207">
                <c:v>30.667042717696003</c:v>
              </c:pt>
              <c:pt idx="208">
                <c:v>31.174304290133339</c:v>
              </c:pt>
              <c:pt idx="209">
                <c:v>31.324001796096013</c:v>
              </c:pt>
              <c:pt idx="210">
                <c:v>31.559397321386669</c:v>
              </c:pt>
              <c:pt idx="211">
                <c:v>31.881416758613334</c:v>
              </c:pt>
              <c:pt idx="212">
                <c:v>34.873680418133333</c:v>
              </c:pt>
              <c:pt idx="213">
                <c:v>35.057862293211436</c:v>
              </c:pt>
              <c:pt idx="214">
                <c:v>35.681721821866674</c:v>
              </c:pt>
              <c:pt idx="215">
                <c:v>37.290478328685722</c:v>
              </c:pt>
              <c:pt idx="216">
                <c:v>37.409165148160014</c:v>
              </c:pt>
              <c:pt idx="217">
                <c:v>37.409165148160021</c:v>
              </c:pt>
              <c:pt idx="218">
                <c:v>37.871276785664008</c:v>
              </c:pt>
              <c:pt idx="219">
                <c:v>38.257700110336025</c:v>
              </c:pt>
              <c:pt idx="220">
                <c:v>40.900839342080012</c:v>
              </c:pt>
              <c:pt idx="221">
                <c:v>41.848416501760006</c:v>
              </c:pt>
              <c:pt idx="222">
                <c:v>41.848416501760006</c:v>
              </c:pt>
              <c:pt idx="223">
                <c:v>42.81806618624001</c:v>
              </c:pt>
              <c:pt idx="224">
                <c:v>42.818066186240017</c:v>
              </c:pt>
              <c:pt idx="225">
                <c:v>43.505558050133345</c:v>
              </c:pt>
              <c:pt idx="226">
                <c:v>43.644026006186678</c:v>
              </c:pt>
              <c:pt idx="227">
                <c:v>48.823152585386673</c:v>
              </c:pt>
              <c:pt idx="228">
                <c:v>49.081007210496033</c:v>
              </c:pt>
              <c:pt idx="229">
                <c:v>49.954410550613339</c:v>
              </c:pt>
              <c:pt idx="230">
                <c:v>52.206669660160017</c:v>
              </c:pt>
              <c:pt idx="231">
                <c:v>52.206669660160024</c:v>
              </c:pt>
              <c:pt idx="232">
                <c:v>52.372831207424021</c:v>
              </c:pt>
              <c:pt idx="233">
                <c:v>58.429770488685719</c:v>
              </c:pt>
              <c:pt idx="234">
                <c:v>58.587783102464009</c:v>
              </c:pt>
              <c:pt idx="235">
                <c:v>59.945292660736037</c:v>
              </c:pt>
              <c:pt idx="236">
                <c:v>60.907781270186682</c:v>
              </c:pt>
              <c:pt idx="237">
                <c:v>68.168065570133336</c:v>
              </c:pt>
              <c:pt idx="238">
                <c:v>73.089337524224021</c:v>
              </c:pt>
              <c:pt idx="239">
                <c:v>81.801678684160009</c:v>
              </c:pt>
              <c:pt idx="240">
                <c:v>81.801678684160038</c:v>
              </c:pt>
              <c:pt idx="241">
                <c:v>95.435291798186682</c:v>
              </c:pt>
              <c:pt idx="242">
                <c:v>114.52235015782404</c:v>
              </c:pt>
            </c:numLit>
          </c:xVal>
          <c:yVal>
            <c:numLit>
              <c:formatCode>General</c:formatCode>
              <c:ptCount val="243"/>
              <c:pt idx="0">
                <c:v>9.765625E-4</c:v>
              </c:pt>
              <c:pt idx="1">
                <c:v>2.9296875E-3</c:v>
              </c:pt>
              <c:pt idx="2">
                <c:v>4.8828125E-3</c:v>
              </c:pt>
              <c:pt idx="3">
                <c:v>5.859375E-3</c:v>
              </c:pt>
              <c:pt idx="4">
                <c:v>9.765625E-3</c:v>
              </c:pt>
              <c:pt idx="5">
                <c:v>1.171875E-2</c:v>
              </c:pt>
              <c:pt idx="6">
                <c:v>1.3671875E-2</c:v>
              </c:pt>
              <c:pt idx="7">
                <c:v>1.5625E-2</c:v>
              </c:pt>
              <c:pt idx="8">
                <c:v>1.953125E-2</c:v>
              </c:pt>
              <c:pt idx="9">
                <c:v>2.05078125E-2</c:v>
              </c:pt>
              <c:pt idx="10">
                <c:v>2.44140625E-2</c:v>
              </c:pt>
              <c:pt idx="11">
                <c:v>2.83203125E-2</c:v>
              </c:pt>
              <c:pt idx="12">
                <c:v>2.9296875E-2</c:v>
              </c:pt>
              <c:pt idx="13">
                <c:v>3.125E-2</c:v>
              </c:pt>
              <c:pt idx="14">
                <c:v>3.3203125E-2</c:v>
              </c:pt>
              <c:pt idx="15">
                <c:v>3.7109375E-2</c:v>
              </c:pt>
              <c:pt idx="16">
                <c:v>3.90625E-2</c:v>
              </c:pt>
              <c:pt idx="17">
                <c:v>4.6875E-2</c:v>
              </c:pt>
              <c:pt idx="18">
                <c:v>4.8828125E-2</c:v>
              </c:pt>
              <c:pt idx="19">
                <c:v>4.98046875E-2</c:v>
              </c:pt>
              <c:pt idx="20">
                <c:v>5.76171875E-2</c:v>
              </c:pt>
              <c:pt idx="21">
                <c:v>6.15234375E-2</c:v>
              </c:pt>
              <c:pt idx="22">
                <c:v>6.54296875E-2</c:v>
              </c:pt>
              <c:pt idx="23">
                <c:v>6.73828125E-2</c:v>
              </c:pt>
              <c:pt idx="24">
                <c:v>6.8359375E-2</c:v>
              </c:pt>
              <c:pt idx="25">
                <c:v>7.03125E-2</c:v>
              </c:pt>
              <c:pt idx="26">
                <c:v>7.2265625E-2</c:v>
              </c:pt>
              <c:pt idx="27">
                <c:v>7.32421875E-2</c:v>
              </c:pt>
              <c:pt idx="28">
                <c:v>7.71484375E-2</c:v>
              </c:pt>
              <c:pt idx="29">
                <c:v>8.49609375E-2</c:v>
              </c:pt>
              <c:pt idx="30">
                <c:v>8.88671875E-2</c:v>
              </c:pt>
              <c:pt idx="31">
                <c:v>9.08203125E-2</c:v>
              </c:pt>
              <c:pt idx="32">
                <c:v>9.47265625E-2</c:v>
              </c:pt>
              <c:pt idx="33">
                <c:v>9.86328125E-2</c:v>
              </c:pt>
              <c:pt idx="34">
                <c:v>0.1005859375</c:v>
              </c:pt>
              <c:pt idx="35">
                <c:v>0.1083984375</c:v>
              </c:pt>
              <c:pt idx="36">
                <c:v>0.1123046875</c:v>
              </c:pt>
              <c:pt idx="37">
                <c:v>0.1142578125</c:v>
              </c:pt>
              <c:pt idx="38">
                <c:v>0.1162109375</c:v>
              </c:pt>
              <c:pt idx="39">
                <c:v>0.1201171875</c:v>
              </c:pt>
              <c:pt idx="40">
                <c:v>0.1240234375</c:v>
              </c:pt>
              <c:pt idx="41">
                <c:v>0.1259765625</c:v>
              </c:pt>
              <c:pt idx="42">
                <c:v>0.126953125</c:v>
              </c:pt>
              <c:pt idx="43">
                <c:v>0.12890625</c:v>
              </c:pt>
              <c:pt idx="44">
                <c:v>0.130859375</c:v>
              </c:pt>
              <c:pt idx="45">
                <c:v>0.1318359375</c:v>
              </c:pt>
              <c:pt idx="46">
                <c:v>0.1474609375</c:v>
              </c:pt>
              <c:pt idx="47">
                <c:v>0.1513671875</c:v>
              </c:pt>
              <c:pt idx="48">
                <c:v>0.1591796875</c:v>
              </c:pt>
              <c:pt idx="49">
                <c:v>0.1611328125</c:v>
              </c:pt>
              <c:pt idx="50">
                <c:v>0.1630859375</c:v>
              </c:pt>
              <c:pt idx="51">
                <c:v>0.1669921875</c:v>
              </c:pt>
              <c:pt idx="52">
                <c:v>0.1708984375</c:v>
              </c:pt>
              <c:pt idx="53">
                <c:v>0.1728515625</c:v>
              </c:pt>
              <c:pt idx="54">
                <c:v>0.1806640625</c:v>
              </c:pt>
              <c:pt idx="55">
                <c:v>0.1845703125</c:v>
              </c:pt>
              <c:pt idx="56">
                <c:v>0.1865234375</c:v>
              </c:pt>
              <c:pt idx="57">
                <c:v>0.1904296875</c:v>
              </c:pt>
              <c:pt idx="58">
                <c:v>0.1943359375</c:v>
              </c:pt>
              <c:pt idx="59">
                <c:v>0.1953125</c:v>
              </c:pt>
              <c:pt idx="60">
                <c:v>0.19921875</c:v>
              </c:pt>
              <c:pt idx="61">
                <c:v>0.20703125</c:v>
              </c:pt>
              <c:pt idx="62">
                <c:v>0.2080078125</c:v>
              </c:pt>
              <c:pt idx="63">
                <c:v>0.2119140625</c:v>
              </c:pt>
              <c:pt idx="64">
                <c:v>0.2138671875</c:v>
              </c:pt>
              <c:pt idx="65">
                <c:v>0.2158203125</c:v>
              </c:pt>
              <c:pt idx="66">
                <c:v>0.2236328125</c:v>
              </c:pt>
              <c:pt idx="67">
                <c:v>0.2314453125</c:v>
              </c:pt>
              <c:pt idx="68">
                <c:v>0.2333984375</c:v>
              </c:pt>
              <c:pt idx="69">
                <c:v>0.2412109375</c:v>
              </c:pt>
              <c:pt idx="70">
                <c:v>0.2490234375</c:v>
              </c:pt>
              <c:pt idx="71">
                <c:v>0.25</c:v>
              </c:pt>
              <c:pt idx="72">
                <c:v>0.251953125</c:v>
              </c:pt>
              <c:pt idx="73">
                <c:v>0.255859375</c:v>
              </c:pt>
              <c:pt idx="74">
                <c:v>0.259765625</c:v>
              </c:pt>
              <c:pt idx="75">
                <c:v>0.263671875</c:v>
              </c:pt>
              <c:pt idx="76">
                <c:v>0.2646484375</c:v>
              </c:pt>
              <c:pt idx="77">
                <c:v>0.2666015625</c:v>
              </c:pt>
              <c:pt idx="78">
                <c:v>0.2705078125</c:v>
              </c:pt>
              <c:pt idx="79">
                <c:v>0.2783203125</c:v>
              </c:pt>
              <c:pt idx="80">
                <c:v>0.2822265625</c:v>
              </c:pt>
              <c:pt idx="81">
                <c:v>0.2841796875</c:v>
              </c:pt>
              <c:pt idx="82">
                <c:v>0.2998046875</c:v>
              </c:pt>
              <c:pt idx="83">
                <c:v>0.3017578125</c:v>
              </c:pt>
              <c:pt idx="84">
                <c:v>0.302734375</c:v>
              </c:pt>
              <c:pt idx="85">
                <c:v>0.3046875</c:v>
              </c:pt>
              <c:pt idx="86">
                <c:v>0.30859375</c:v>
              </c:pt>
              <c:pt idx="87">
                <c:v>0.3125</c:v>
              </c:pt>
              <c:pt idx="88">
                <c:v>0.3203125</c:v>
              </c:pt>
              <c:pt idx="89">
                <c:v>0.322265625</c:v>
              </c:pt>
              <c:pt idx="90">
                <c:v>0.32421875</c:v>
              </c:pt>
              <c:pt idx="91">
                <c:v>0.33984375</c:v>
              </c:pt>
              <c:pt idx="92">
                <c:v>0.34375</c:v>
              </c:pt>
              <c:pt idx="93">
                <c:v>0.3515625</c:v>
              </c:pt>
              <c:pt idx="94">
                <c:v>0.35546875</c:v>
              </c:pt>
              <c:pt idx="95">
                <c:v>0.36328125</c:v>
              </c:pt>
              <c:pt idx="96">
                <c:v>0.3671875</c:v>
              </c:pt>
              <c:pt idx="97">
                <c:v>0.3681640625</c:v>
              </c:pt>
              <c:pt idx="98">
                <c:v>0.3701171875</c:v>
              </c:pt>
              <c:pt idx="99">
                <c:v>0.3720703125</c:v>
              </c:pt>
              <c:pt idx="100">
                <c:v>0.3740234375</c:v>
              </c:pt>
              <c:pt idx="101">
                <c:v>0.3779296875</c:v>
              </c:pt>
              <c:pt idx="102">
                <c:v>0.3818359375</c:v>
              </c:pt>
              <c:pt idx="103">
                <c:v>0.3828125</c:v>
              </c:pt>
              <c:pt idx="104">
                <c:v>0.384765625</c:v>
              </c:pt>
              <c:pt idx="105">
                <c:v>0.38671875</c:v>
              </c:pt>
              <c:pt idx="106">
                <c:v>0.39453125</c:v>
              </c:pt>
              <c:pt idx="107">
                <c:v>0.41015625</c:v>
              </c:pt>
              <c:pt idx="108">
                <c:v>0.412109375</c:v>
              </c:pt>
              <c:pt idx="109">
                <c:v>0.419921875</c:v>
              </c:pt>
              <c:pt idx="110">
                <c:v>0.423828125</c:v>
              </c:pt>
              <c:pt idx="111">
                <c:v>0.42578125</c:v>
              </c:pt>
              <c:pt idx="112">
                <c:v>0.427734375</c:v>
              </c:pt>
              <c:pt idx="113">
                <c:v>0.4287109375</c:v>
              </c:pt>
              <c:pt idx="114">
                <c:v>0.4326171875</c:v>
              </c:pt>
              <c:pt idx="115">
                <c:v>0.4365234375</c:v>
              </c:pt>
              <c:pt idx="116">
                <c:v>0.4443359375</c:v>
              </c:pt>
              <c:pt idx="117">
                <c:v>0.4482421875</c:v>
              </c:pt>
              <c:pt idx="118">
                <c:v>0.4521484375</c:v>
              </c:pt>
              <c:pt idx="119">
                <c:v>0.4677734375</c:v>
              </c:pt>
              <c:pt idx="120">
                <c:v>0.4755859375</c:v>
              </c:pt>
              <c:pt idx="121">
                <c:v>0.4794921875</c:v>
              </c:pt>
              <c:pt idx="122">
                <c:v>0.4833984375</c:v>
              </c:pt>
              <c:pt idx="123">
                <c:v>0.4873046875</c:v>
              </c:pt>
              <c:pt idx="124">
                <c:v>0.4912109375</c:v>
              </c:pt>
              <c:pt idx="125">
                <c:v>0.4921875</c:v>
              </c:pt>
              <c:pt idx="126">
                <c:v>0.494140625</c:v>
              </c:pt>
              <c:pt idx="127">
                <c:v>0.49609375</c:v>
              </c:pt>
              <c:pt idx="128">
                <c:v>0.50390625</c:v>
              </c:pt>
              <c:pt idx="129">
                <c:v>0.505859375</c:v>
              </c:pt>
              <c:pt idx="130">
                <c:v>0.5078125</c:v>
              </c:pt>
              <c:pt idx="131">
                <c:v>0.51171875</c:v>
              </c:pt>
              <c:pt idx="132">
                <c:v>0.515625</c:v>
              </c:pt>
              <c:pt idx="133">
                <c:v>0.51953125</c:v>
              </c:pt>
              <c:pt idx="134">
                <c:v>0.521484375</c:v>
              </c:pt>
              <c:pt idx="135">
                <c:v>0.5234375</c:v>
              </c:pt>
              <c:pt idx="136">
                <c:v>0.5546875</c:v>
              </c:pt>
              <c:pt idx="137">
                <c:v>0.5625</c:v>
              </c:pt>
              <c:pt idx="138">
                <c:v>0.5703125</c:v>
              </c:pt>
              <c:pt idx="139">
                <c:v>0.572265625</c:v>
              </c:pt>
              <c:pt idx="140">
                <c:v>0.5732421875</c:v>
              </c:pt>
              <c:pt idx="141">
                <c:v>0.5751953125</c:v>
              </c:pt>
              <c:pt idx="142">
                <c:v>0.576171875</c:v>
              </c:pt>
              <c:pt idx="143">
                <c:v>0.580078125</c:v>
              </c:pt>
              <c:pt idx="144">
                <c:v>0.583984375</c:v>
              </c:pt>
              <c:pt idx="145">
                <c:v>0.591796875</c:v>
              </c:pt>
              <c:pt idx="146">
                <c:v>0.599609375</c:v>
              </c:pt>
              <c:pt idx="147">
                <c:v>0.603515625</c:v>
              </c:pt>
              <c:pt idx="148">
                <c:v>0.607421875</c:v>
              </c:pt>
              <c:pt idx="149">
                <c:v>0.615234375</c:v>
              </c:pt>
              <c:pt idx="150">
                <c:v>0.630859375</c:v>
              </c:pt>
              <c:pt idx="151">
                <c:v>0.634765625</c:v>
              </c:pt>
              <c:pt idx="152">
                <c:v>0.63671875</c:v>
              </c:pt>
              <c:pt idx="153">
                <c:v>0.640625</c:v>
              </c:pt>
              <c:pt idx="154">
                <c:v>0.642578125</c:v>
              </c:pt>
              <c:pt idx="155">
                <c:v>0.6435546875</c:v>
              </c:pt>
              <c:pt idx="156">
                <c:v>0.6455078125</c:v>
              </c:pt>
              <c:pt idx="157">
                <c:v>0.6533203125</c:v>
              </c:pt>
              <c:pt idx="158">
                <c:v>0.6552734375</c:v>
              </c:pt>
              <c:pt idx="159">
                <c:v>0.65625</c:v>
              </c:pt>
              <c:pt idx="160">
                <c:v>0.66015625</c:v>
              </c:pt>
              <c:pt idx="161">
                <c:v>0.66796875</c:v>
              </c:pt>
              <c:pt idx="162">
                <c:v>0.67578125</c:v>
              </c:pt>
              <c:pt idx="163">
                <c:v>0.6796875</c:v>
              </c:pt>
              <c:pt idx="164">
                <c:v>0.6953125</c:v>
              </c:pt>
              <c:pt idx="165">
                <c:v>0.69921875</c:v>
              </c:pt>
              <c:pt idx="166">
                <c:v>0.7001953125</c:v>
              </c:pt>
              <c:pt idx="167">
                <c:v>0.7021484375</c:v>
              </c:pt>
              <c:pt idx="168">
                <c:v>0.7060546875</c:v>
              </c:pt>
              <c:pt idx="169">
                <c:v>0.7216796875</c:v>
              </c:pt>
              <c:pt idx="170">
                <c:v>0.7236328125</c:v>
              </c:pt>
              <c:pt idx="171">
                <c:v>0.7255859375</c:v>
              </c:pt>
              <c:pt idx="172">
                <c:v>0.7333984375</c:v>
              </c:pt>
              <c:pt idx="173">
                <c:v>0.7412109375</c:v>
              </c:pt>
              <c:pt idx="174">
                <c:v>0.7431640625</c:v>
              </c:pt>
              <c:pt idx="175">
                <c:v>0.7470703125</c:v>
              </c:pt>
              <c:pt idx="176">
                <c:v>0.7509765625</c:v>
              </c:pt>
              <c:pt idx="177">
                <c:v>0.7529296875</c:v>
              </c:pt>
              <c:pt idx="178">
                <c:v>0.7607421875</c:v>
              </c:pt>
              <c:pt idx="179">
                <c:v>0.7626953125</c:v>
              </c:pt>
              <c:pt idx="180">
                <c:v>0.7666015625</c:v>
              </c:pt>
              <c:pt idx="181">
                <c:v>0.7705078125</c:v>
              </c:pt>
              <c:pt idx="182">
                <c:v>0.771484375</c:v>
              </c:pt>
              <c:pt idx="183">
                <c:v>0.7734375</c:v>
              </c:pt>
              <c:pt idx="184">
                <c:v>0.77734375</c:v>
              </c:pt>
              <c:pt idx="185">
                <c:v>0.78515625</c:v>
              </c:pt>
              <c:pt idx="186">
                <c:v>0.787109375</c:v>
              </c:pt>
              <c:pt idx="187">
                <c:v>0.7880859375</c:v>
              </c:pt>
              <c:pt idx="188">
                <c:v>0.8037109375</c:v>
              </c:pt>
              <c:pt idx="189">
                <c:v>0.8193359375</c:v>
              </c:pt>
              <c:pt idx="190">
                <c:v>0.8232421875</c:v>
              </c:pt>
              <c:pt idx="191">
                <c:v>0.8271484375</c:v>
              </c:pt>
              <c:pt idx="192">
                <c:v>0.8291015625</c:v>
              </c:pt>
              <c:pt idx="193">
                <c:v>0.8310546875</c:v>
              </c:pt>
              <c:pt idx="194">
                <c:v>0.8388671875</c:v>
              </c:pt>
              <c:pt idx="195">
                <c:v>0.8408203125</c:v>
              </c:pt>
              <c:pt idx="196">
                <c:v>0.8447265625</c:v>
              </c:pt>
              <c:pt idx="197">
                <c:v>0.8466796875</c:v>
              </c:pt>
              <c:pt idx="198">
                <c:v>0.8505859375</c:v>
              </c:pt>
              <c:pt idx="199">
                <c:v>0.8583984375</c:v>
              </c:pt>
              <c:pt idx="200">
                <c:v>0.8623046875</c:v>
              </c:pt>
              <c:pt idx="201">
                <c:v>0.8701171875</c:v>
              </c:pt>
              <c:pt idx="202">
                <c:v>0.8720703125</c:v>
              </c:pt>
              <c:pt idx="203">
                <c:v>0.8740234375</c:v>
              </c:pt>
              <c:pt idx="204">
                <c:v>0.8779296875</c:v>
              </c:pt>
              <c:pt idx="205">
                <c:v>0.8818359375</c:v>
              </c:pt>
              <c:pt idx="206">
                <c:v>0.8828125</c:v>
              </c:pt>
              <c:pt idx="207">
                <c:v>0.88671875</c:v>
              </c:pt>
              <c:pt idx="208">
                <c:v>0.890625</c:v>
              </c:pt>
              <c:pt idx="209">
                <c:v>0.892578125</c:v>
              </c:pt>
              <c:pt idx="210">
                <c:v>0.900390625</c:v>
              </c:pt>
              <c:pt idx="211">
                <c:v>0.908203125</c:v>
              </c:pt>
              <c:pt idx="212">
                <c:v>0.916015625</c:v>
              </c:pt>
              <c:pt idx="213">
                <c:v>0.9169921875</c:v>
              </c:pt>
              <c:pt idx="214">
                <c:v>0.9248046875</c:v>
              </c:pt>
              <c:pt idx="215">
                <c:v>0.9287109375</c:v>
              </c:pt>
              <c:pt idx="216">
                <c:v>0.9296875</c:v>
              </c:pt>
              <c:pt idx="217">
                <c:v>0.931640625</c:v>
              </c:pt>
              <c:pt idx="218">
                <c:v>0.935546875</c:v>
              </c:pt>
              <c:pt idx="219">
                <c:v>0.939453125</c:v>
              </c:pt>
              <c:pt idx="220">
                <c:v>0.94140625</c:v>
              </c:pt>
              <c:pt idx="221">
                <c:v>0.943359375</c:v>
              </c:pt>
              <c:pt idx="222">
                <c:v>0.947265625</c:v>
              </c:pt>
              <c:pt idx="223">
                <c:v>0.94921875</c:v>
              </c:pt>
              <c:pt idx="224">
                <c:v>0.953125</c:v>
              </c:pt>
              <c:pt idx="225">
                <c:v>0.9609375</c:v>
              </c:pt>
              <c:pt idx="226">
                <c:v>0.962890625</c:v>
              </c:pt>
              <c:pt idx="227">
                <c:v>0.966796875</c:v>
              </c:pt>
              <c:pt idx="228">
                <c:v>0.9677734375</c:v>
              </c:pt>
              <c:pt idx="229">
                <c:v>0.9716796875</c:v>
              </c:pt>
              <c:pt idx="230">
                <c:v>0.9736328125</c:v>
              </c:pt>
              <c:pt idx="231">
                <c:v>0.9775390625</c:v>
              </c:pt>
              <c:pt idx="232">
                <c:v>0.978515625</c:v>
              </c:pt>
              <c:pt idx="233">
                <c:v>0.98046875</c:v>
              </c:pt>
              <c:pt idx="234">
                <c:v>0.982421875</c:v>
              </c:pt>
              <c:pt idx="235">
                <c:v>0.984375</c:v>
              </c:pt>
              <c:pt idx="236">
                <c:v>0.98828125</c:v>
              </c:pt>
              <c:pt idx="237">
                <c:v>0.9921875</c:v>
              </c:pt>
              <c:pt idx="238">
                <c:v>0.994140625</c:v>
              </c:pt>
              <c:pt idx="239">
                <c:v>0.9951171875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1.7613531428571421</c:v>
                </c:pt>
                <c:pt idx="3">
                  <c:v>2.0549119999999994</c:v>
                </c:pt>
                <c:pt idx="4">
                  <c:v>2.3661531428571423</c:v>
                </c:pt>
                <c:pt idx="5">
                  <c:v>2.4658943999999998</c:v>
                </c:pt>
                <c:pt idx="6">
                  <c:v>2.7605119999999994</c:v>
                </c:pt>
                <c:pt idx="7">
                  <c:v>2.9355885714285708</c:v>
                </c:pt>
                <c:pt idx="8">
                  <c:v>3.2128731428571418</c:v>
                </c:pt>
                <c:pt idx="9">
                  <c:v>3.3126143999999993</c:v>
                </c:pt>
                <c:pt idx="10">
                  <c:v>3.4248533333333326</c:v>
                </c:pt>
                <c:pt idx="11">
                  <c:v>3.5757531428571414</c:v>
                </c:pt>
                <c:pt idx="12">
                  <c:v>3.7483519999999992</c:v>
                </c:pt>
                <c:pt idx="13">
                  <c:v>3.9435885714285703</c:v>
                </c:pt>
                <c:pt idx="14">
                  <c:v>4.1098239999999988</c:v>
                </c:pt>
                <c:pt idx="15">
                  <c:v>4.1098239999999997</c:v>
                </c:pt>
                <c:pt idx="16">
                  <c:v>4.1717119999999985</c:v>
                </c:pt>
                <c:pt idx="17">
                  <c:v>4.4224731428571413</c:v>
                </c:pt>
                <c:pt idx="18">
                  <c:v>4.4980223999999991</c:v>
                </c:pt>
                <c:pt idx="19">
                  <c:v>4.6008533333333324</c:v>
                </c:pt>
                <c:pt idx="20">
                  <c:v>4.7947946666666654</c:v>
                </c:pt>
                <c:pt idx="21">
                  <c:v>5.0060543999999991</c:v>
                </c:pt>
                <c:pt idx="22">
                  <c:v>5.1595519999999988</c:v>
                </c:pt>
                <c:pt idx="23">
                  <c:v>5.3547885714285703</c:v>
                </c:pt>
                <c:pt idx="24">
                  <c:v>5.5210239999999988</c:v>
                </c:pt>
                <c:pt idx="25">
                  <c:v>5.5210239999999988</c:v>
                </c:pt>
                <c:pt idx="26">
                  <c:v>5.7537535999999996</c:v>
                </c:pt>
                <c:pt idx="27">
                  <c:v>5.9005330285714273</c:v>
                </c:pt>
                <c:pt idx="28">
                  <c:v>5.9595885714285703</c:v>
                </c:pt>
                <c:pt idx="29">
                  <c:v>6.115913142857142</c:v>
                </c:pt>
                <c:pt idx="30">
                  <c:v>6.191462399999998</c:v>
                </c:pt>
                <c:pt idx="31">
                  <c:v>6.2472533333333322</c:v>
                </c:pt>
                <c:pt idx="32">
                  <c:v>6.4411946666666653</c:v>
                </c:pt>
                <c:pt idx="33">
                  <c:v>6.8416731428571396</c:v>
                </c:pt>
                <c:pt idx="34">
                  <c:v>6.8839551999999982</c:v>
                </c:pt>
                <c:pt idx="35">
                  <c:v>6.9528533333333318</c:v>
                </c:pt>
                <c:pt idx="36">
                  <c:v>7.1352319999999994</c:v>
                </c:pt>
                <c:pt idx="37">
                  <c:v>7.3707885714285686</c:v>
                </c:pt>
                <c:pt idx="38">
                  <c:v>7.4967039999999985</c:v>
                </c:pt>
                <c:pt idx="39">
                  <c:v>7.4967039999999985</c:v>
                </c:pt>
                <c:pt idx="40">
                  <c:v>7.7294335999999983</c:v>
                </c:pt>
                <c:pt idx="41">
                  <c:v>7.9266130285714258</c:v>
                </c:pt>
                <c:pt idx="42">
                  <c:v>7.981951999999997</c:v>
                </c:pt>
                <c:pt idx="43">
                  <c:v>8.2607462399999978</c:v>
                </c:pt>
                <c:pt idx="44">
                  <c:v>8.3434239999999971</c:v>
                </c:pt>
                <c:pt idx="45">
                  <c:v>8.3434239999999971</c:v>
                </c:pt>
                <c:pt idx="46">
                  <c:v>8.5351131428571403</c:v>
                </c:pt>
                <c:pt idx="47">
                  <c:v>8.5622784000000003</c:v>
                </c:pt>
                <c:pt idx="48">
                  <c:v>8.5992533333333316</c:v>
                </c:pt>
                <c:pt idx="49">
                  <c:v>8.7461546666666639</c:v>
                </c:pt>
                <c:pt idx="50">
                  <c:v>9.2477151999999965</c:v>
                </c:pt>
                <c:pt idx="51">
                  <c:v>9.5783423999999968</c:v>
                </c:pt>
                <c:pt idx="52">
                  <c:v>9.7339946666666641</c:v>
                </c:pt>
                <c:pt idx="53">
                  <c:v>9.8342217142857127</c:v>
                </c:pt>
                <c:pt idx="54">
                  <c:v>9.9576320000000003</c:v>
                </c:pt>
                <c:pt idx="55">
                  <c:v>10.193188571428571</c:v>
                </c:pt>
                <c:pt idx="56">
                  <c:v>10.319103999999998</c:v>
                </c:pt>
                <c:pt idx="57">
                  <c:v>10.319103999999998</c:v>
                </c:pt>
                <c:pt idx="58">
                  <c:v>10.495385599999999</c:v>
                </c:pt>
                <c:pt idx="59">
                  <c:v>10.763125028571427</c:v>
                </c:pt>
                <c:pt idx="60">
                  <c:v>11.097258239999999</c:v>
                </c:pt>
                <c:pt idx="61">
                  <c:v>11.272660114285712</c:v>
                </c:pt>
                <c:pt idx="62">
                  <c:v>11.402788571428569</c:v>
                </c:pt>
                <c:pt idx="63">
                  <c:v>11.473258666666663</c:v>
                </c:pt>
                <c:pt idx="64">
                  <c:v>11.680793599999998</c:v>
                </c:pt>
                <c:pt idx="65">
                  <c:v>11.892053333333333</c:v>
                </c:pt>
                <c:pt idx="66">
                  <c:v>11.949158399999998</c:v>
                </c:pt>
                <c:pt idx="67">
                  <c:v>11.978773028571426</c:v>
                </c:pt>
                <c:pt idx="68">
                  <c:v>12.038954666666662</c:v>
                </c:pt>
                <c:pt idx="69">
                  <c:v>12.556979199999997</c:v>
                </c:pt>
                <c:pt idx="70">
                  <c:v>13.151436799999995</c:v>
                </c:pt>
                <c:pt idx="71">
                  <c:v>13.21102171428571</c:v>
                </c:pt>
                <c:pt idx="72">
                  <c:v>13.30325333333333</c:v>
                </c:pt>
                <c:pt idx="73">
                  <c:v>13.37351314285714</c:v>
                </c:pt>
                <c:pt idx="74">
                  <c:v>13.767910399999996</c:v>
                </c:pt>
                <c:pt idx="75">
                  <c:v>13.767910399999998</c:v>
                </c:pt>
                <c:pt idx="76">
                  <c:v>13.975235199999995</c:v>
                </c:pt>
                <c:pt idx="77">
                  <c:v>14.225188571428571</c:v>
                </c:pt>
                <c:pt idx="78">
                  <c:v>14.270463999999999</c:v>
                </c:pt>
                <c:pt idx="79">
                  <c:v>14.270464</c:v>
                </c:pt>
                <c:pt idx="80">
                  <c:v>14.446745599999996</c:v>
                </c:pt>
                <c:pt idx="81">
                  <c:v>14.815285028571424</c:v>
                </c:pt>
                <c:pt idx="82">
                  <c:v>15.068375039999998</c:v>
                </c:pt>
                <c:pt idx="83">
                  <c:v>15.143380114285709</c:v>
                </c:pt>
                <c:pt idx="84">
                  <c:v>15.412858666666661</c:v>
                </c:pt>
                <c:pt idx="85">
                  <c:v>15.602432</c:v>
                </c:pt>
                <c:pt idx="86">
                  <c:v>15.78172416</c:v>
                </c:pt>
                <c:pt idx="87">
                  <c:v>15.963903999999994</c:v>
                </c:pt>
                <c:pt idx="88">
                  <c:v>15.963903999999994</c:v>
                </c:pt>
                <c:pt idx="89">
                  <c:v>16.06256213333333</c:v>
                </c:pt>
                <c:pt idx="90">
                  <c:v>16.59605333333333</c:v>
                </c:pt>
                <c:pt idx="91">
                  <c:v>16.648874666666661</c:v>
                </c:pt>
                <c:pt idx="92">
                  <c:v>16.770282239999997</c:v>
                </c:pt>
                <c:pt idx="93">
                  <c:v>17.284499199999996</c:v>
                </c:pt>
                <c:pt idx="94">
                  <c:v>17.667276799999996</c:v>
                </c:pt>
                <c:pt idx="95">
                  <c:v>17.938541714285709</c:v>
                </c:pt>
                <c:pt idx="96">
                  <c:v>18.495430399999993</c:v>
                </c:pt>
                <c:pt idx="97">
                  <c:v>18.495430399999996</c:v>
                </c:pt>
                <c:pt idx="98">
                  <c:v>18.624554666666661</c:v>
                </c:pt>
                <c:pt idx="99">
                  <c:v>18.722918400000001</c:v>
                </c:pt>
                <c:pt idx="100">
                  <c:v>18.787766857142849</c:v>
                </c:pt>
                <c:pt idx="101">
                  <c:v>19.275074559999997</c:v>
                </c:pt>
                <c:pt idx="102">
                  <c:v>19.915264000000001</c:v>
                </c:pt>
                <c:pt idx="103">
                  <c:v>19.915264000000004</c:v>
                </c:pt>
                <c:pt idx="104">
                  <c:v>19.964621714285709</c:v>
                </c:pt>
                <c:pt idx="105">
                  <c:v>19.978649600000001</c:v>
                </c:pt>
                <c:pt idx="106">
                  <c:v>20.488309028571429</c:v>
                </c:pt>
                <c:pt idx="107">
                  <c:v>20.562388114285707</c:v>
                </c:pt>
                <c:pt idx="108">
                  <c:v>20.741399039999997</c:v>
                </c:pt>
                <c:pt idx="109">
                  <c:v>20.928298666666663</c:v>
                </c:pt>
                <c:pt idx="110">
                  <c:v>21.200732159999998</c:v>
                </c:pt>
                <c:pt idx="111">
                  <c:v>21.578002133333325</c:v>
                </c:pt>
                <c:pt idx="112">
                  <c:v>21.919061333333328</c:v>
                </c:pt>
                <c:pt idx="113">
                  <c:v>22.289188571428571</c:v>
                </c:pt>
                <c:pt idx="114">
                  <c:v>22.349465599999995</c:v>
                </c:pt>
                <c:pt idx="115">
                  <c:v>22.884820114285706</c:v>
                </c:pt>
                <c:pt idx="116">
                  <c:v>22.919605028571425</c:v>
                </c:pt>
                <c:pt idx="117">
                  <c:v>23.234474666666667</c:v>
                </c:pt>
                <c:pt idx="118">
                  <c:v>23.292058666666662</c:v>
                </c:pt>
                <c:pt idx="119">
                  <c:v>23.903027199999997</c:v>
                </c:pt>
                <c:pt idx="120">
                  <c:v>23.989452799999988</c:v>
                </c:pt>
                <c:pt idx="121">
                  <c:v>24.692141714285707</c:v>
                </c:pt>
                <c:pt idx="122">
                  <c:v>25.113958399999994</c:v>
                </c:pt>
                <c:pt idx="123">
                  <c:v>25.113958399999994</c:v>
                </c:pt>
                <c:pt idx="124">
                  <c:v>25.238966857142852</c:v>
                </c:pt>
                <c:pt idx="125">
                  <c:v>25.893602559999998</c:v>
                </c:pt>
                <c:pt idx="126">
                  <c:v>26.004053333333328</c:v>
                </c:pt>
                <c:pt idx="127">
                  <c:v>26.302873599999991</c:v>
                </c:pt>
                <c:pt idx="128">
                  <c:v>26.302873599999991</c:v>
                </c:pt>
                <c:pt idx="129">
                  <c:v>26.698956799999994</c:v>
                </c:pt>
                <c:pt idx="130">
                  <c:v>26.739539199999992</c:v>
                </c:pt>
                <c:pt idx="131">
                  <c:v>27.881369600000006</c:v>
                </c:pt>
                <c:pt idx="132">
                  <c:v>27.95047039999999</c:v>
                </c:pt>
                <c:pt idx="133">
                  <c:v>27.950470399999997</c:v>
                </c:pt>
                <c:pt idx="134">
                  <c:v>28.303828114285704</c:v>
                </c:pt>
                <c:pt idx="135">
                  <c:v>28.592629028571423</c:v>
                </c:pt>
                <c:pt idx="136">
                  <c:v>28.683632640000003</c:v>
                </c:pt>
                <c:pt idx="137">
                  <c:v>28.787343359999994</c:v>
                </c:pt>
                <c:pt idx="138">
                  <c:v>28.807498666666657</c:v>
                </c:pt>
                <c:pt idx="139">
                  <c:v>29.299618133333322</c:v>
                </c:pt>
                <c:pt idx="140">
                  <c:v>29.445461333333327</c:v>
                </c:pt>
                <c:pt idx="141">
                  <c:v>30.686685866666657</c:v>
                </c:pt>
                <c:pt idx="142">
                  <c:v>31.204863999999997</c:v>
                </c:pt>
                <c:pt idx="143">
                  <c:v>31.204864000000004</c:v>
                </c:pt>
                <c:pt idx="144">
                  <c:v>32.03874815999999</c:v>
                </c:pt>
                <c:pt idx="145">
                  <c:v>32.087447039999994</c:v>
                </c:pt>
                <c:pt idx="146">
                  <c:v>32.608882133333324</c:v>
                </c:pt>
                <c:pt idx="147">
                  <c:v>33.02113279999999</c:v>
                </c:pt>
                <c:pt idx="148">
                  <c:v>33.358067200000001</c:v>
                </c:pt>
                <c:pt idx="149">
                  <c:v>34.147181714285708</c:v>
                </c:pt>
                <c:pt idx="150">
                  <c:v>34.270646857142843</c:v>
                </c:pt>
                <c:pt idx="151">
                  <c:v>34.568998399999991</c:v>
                </c:pt>
                <c:pt idx="152">
                  <c:v>34.568998399999991</c:v>
                </c:pt>
                <c:pt idx="153">
                  <c:v>35.159541759999989</c:v>
                </c:pt>
                <c:pt idx="154">
                  <c:v>35.334553599999992</c:v>
                </c:pt>
                <c:pt idx="155">
                  <c:v>35.334553599999992</c:v>
                </c:pt>
                <c:pt idx="156">
                  <c:v>36.40567466666667</c:v>
                </c:pt>
                <c:pt idx="157">
                  <c:v>36.824023039999993</c:v>
                </c:pt>
                <c:pt idx="158">
                  <c:v>38.141366857142849</c:v>
                </c:pt>
                <c:pt idx="159">
                  <c:v>38.199341714285701</c:v>
                </c:pt>
                <c:pt idx="160">
                  <c:v>39.130658559999993</c:v>
                </c:pt>
                <c:pt idx="161">
                  <c:v>39.141844114285711</c:v>
                </c:pt>
                <c:pt idx="162">
                  <c:v>39.625359359999997</c:v>
                </c:pt>
                <c:pt idx="163">
                  <c:v>39.838378666666657</c:v>
                </c:pt>
                <c:pt idx="164">
                  <c:v>39.98242133333332</c:v>
                </c:pt>
                <c:pt idx="165">
                  <c:v>40.029680640000009</c:v>
                </c:pt>
                <c:pt idx="166">
                  <c:v>40.330498133333322</c:v>
                </c:pt>
                <c:pt idx="167">
                  <c:v>41.223645866666658</c:v>
                </c:pt>
                <c:pt idx="168">
                  <c:v>43.686809600000004</c:v>
                </c:pt>
                <c:pt idx="169">
                  <c:v>43.786708114285702</c:v>
                </c:pt>
                <c:pt idx="170">
                  <c:v>44.498261333333311</c:v>
                </c:pt>
                <c:pt idx="171">
                  <c:v>44.565898666666655</c:v>
                </c:pt>
                <c:pt idx="172">
                  <c:v>44.801269028571426</c:v>
                </c:pt>
                <c:pt idx="173">
                  <c:v>45.665484800000002</c:v>
                </c:pt>
                <c:pt idx="174">
                  <c:v>47.173046857142843</c:v>
                </c:pt>
                <c:pt idx="175">
                  <c:v>47.654381714285705</c:v>
                </c:pt>
                <c:pt idx="176">
                  <c:v>47.806054399999994</c:v>
                </c:pt>
                <c:pt idx="177">
                  <c:v>47.806054400000008</c:v>
                </c:pt>
                <c:pt idx="178">
                  <c:v>47.978905599999976</c:v>
                </c:pt>
                <c:pt idx="179">
                  <c:v>47.978905599999976</c:v>
                </c:pt>
                <c:pt idx="180">
                  <c:v>48.396597759999992</c:v>
                </c:pt>
                <c:pt idx="181">
                  <c:v>49.468375039999998</c:v>
                </c:pt>
                <c:pt idx="182">
                  <c:v>51.084492799999992</c:v>
                </c:pt>
                <c:pt idx="183">
                  <c:v>52.268147199999994</c:v>
                </c:pt>
                <c:pt idx="184">
                  <c:v>53.397913599999988</c:v>
                </c:pt>
                <c:pt idx="185">
                  <c:v>53.397913599999988</c:v>
                </c:pt>
                <c:pt idx="186">
                  <c:v>53.479078399999985</c:v>
                </c:pt>
                <c:pt idx="187">
                  <c:v>53.479078399999992</c:v>
                </c:pt>
                <c:pt idx="188">
                  <c:v>54.624724114285698</c:v>
                </c:pt>
                <c:pt idx="189">
                  <c:v>54.798581760000005</c:v>
                </c:pt>
                <c:pt idx="190">
                  <c:v>55.035221333333318</c:v>
                </c:pt>
                <c:pt idx="191">
                  <c:v>55.596778666666665</c:v>
                </c:pt>
                <c:pt idx="192">
                  <c:v>55.773730133333316</c:v>
                </c:pt>
                <c:pt idx="193">
                  <c:v>55.975389866666653</c:v>
                </c:pt>
                <c:pt idx="194">
                  <c:v>61.301391359999982</c:v>
                </c:pt>
                <c:pt idx="195">
                  <c:v>62.297565866666652</c:v>
                </c:pt>
                <c:pt idx="196">
                  <c:v>62.392258133333314</c:v>
                </c:pt>
                <c:pt idx="197">
                  <c:v>62.721776640000002</c:v>
                </c:pt>
                <c:pt idx="198">
                  <c:v>63.728844799999997</c:v>
                </c:pt>
                <c:pt idx="199">
                  <c:v>65.236406857142853</c:v>
                </c:pt>
                <c:pt idx="200">
                  <c:v>66.042265599999979</c:v>
                </c:pt>
                <c:pt idx="201">
                  <c:v>66.042265599999979</c:v>
                </c:pt>
                <c:pt idx="202">
                  <c:v>66.716134400000001</c:v>
                </c:pt>
                <c:pt idx="203">
                  <c:v>66.716134400000001</c:v>
                </c:pt>
                <c:pt idx="204">
                  <c:v>66.928476160000017</c:v>
                </c:pt>
                <c:pt idx="205">
                  <c:v>67.170467839999986</c:v>
                </c:pt>
                <c:pt idx="206">
                  <c:v>72.977846857142836</c:v>
                </c:pt>
                <c:pt idx="207">
                  <c:v>74.668781714285714</c:v>
                </c:pt>
                <c:pt idx="208">
                  <c:v>74.757079039999994</c:v>
                </c:pt>
                <c:pt idx="209">
                  <c:v>74.870709759999983</c:v>
                </c:pt>
                <c:pt idx="210">
                  <c:v>76.109141333333326</c:v>
                </c:pt>
                <c:pt idx="211">
                  <c:v>76.474613760000011</c:v>
                </c:pt>
                <c:pt idx="212">
                  <c:v>77.049309866666647</c:v>
                </c:pt>
                <c:pt idx="213">
                  <c:v>77.835490133333309</c:v>
                </c:pt>
                <c:pt idx="214">
                  <c:v>85.140821333333307</c:v>
                </c:pt>
                <c:pt idx="215">
                  <c:v>85.590484114285701</c:v>
                </c:pt>
                <c:pt idx="216">
                  <c:v>87.113578666666655</c:v>
                </c:pt>
                <c:pt idx="217">
                  <c:v>91.041206857142853</c:v>
                </c:pt>
                <c:pt idx="218">
                  <c:v>91.330969600000003</c:v>
                </c:pt>
                <c:pt idx="219">
                  <c:v>91.330969600000017</c:v>
                </c:pt>
                <c:pt idx="220">
                  <c:v>92.459171839999996</c:v>
                </c:pt>
                <c:pt idx="221">
                  <c:v>93.402588160000036</c:v>
                </c:pt>
                <c:pt idx="222">
                  <c:v>99.855564799999996</c:v>
                </c:pt>
                <c:pt idx="223">
                  <c:v>102.16898559999998</c:v>
                </c:pt>
                <c:pt idx="224">
                  <c:v>102.16898559999998</c:v>
                </c:pt>
                <c:pt idx="225">
                  <c:v>104.53629439999999</c:v>
                </c:pt>
                <c:pt idx="226">
                  <c:v>104.5362944</c:v>
                </c:pt>
                <c:pt idx="227">
                  <c:v>106.21474133333332</c:v>
                </c:pt>
                <c:pt idx="228">
                  <c:v>106.55279786666667</c:v>
                </c:pt>
                <c:pt idx="229">
                  <c:v>119.19714986666665</c:v>
                </c:pt>
                <c:pt idx="230">
                  <c:v>119.82667776000004</c:v>
                </c:pt>
                <c:pt idx="231">
                  <c:v>121.95901013333331</c:v>
                </c:pt>
                <c:pt idx="232">
                  <c:v>127.45768959999999</c:v>
                </c:pt>
                <c:pt idx="233">
                  <c:v>127.45768960000002</c:v>
                </c:pt>
                <c:pt idx="234">
                  <c:v>127.86335744000002</c:v>
                </c:pt>
                <c:pt idx="235">
                  <c:v>142.65080685714281</c:v>
                </c:pt>
                <c:pt idx="236">
                  <c:v>143.03657983999997</c:v>
                </c:pt>
                <c:pt idx="237">
                  <c:v>146.35081216000003</c:v>
                </c:pt>
                <c:pt idx="238">
                  <c:v>148.70063786666665</c:v>
                </c:pt>
                <c:pt idx="239">
                  <c:v>166.4259413333333</c:v>
                </c:pt>
                <c:pt idx="240">
                  <c:v>178.44076544000001</c:v>
                </c:pt>
                <c:pt idx="241">
                  <c:v>199.71112959999996</c:v>
                </c:pt>
                <c:pt idx="242">
                  <c:v>199.71112960000002</c:v>
                </c:pt>
                <c:pt idx="243">
                  <c:v>232.99631786666663</c:v>
                </c:pt>
                <c:pt idx="244">
                  <c:v>279.59558143999999</c:v>
                </c:pt>
              </c:numCache>
            </c:numRef>
          </c:xVal>
          <c:yVal>
            <c:numRef>
              <c:f>'Full Distribution'!$S$6:$S$250</c:f>
              <c:numCache>
                <c:formatCode>General</c:formatCode>
                <c:ptCount val="245"/>
                <c:pt idx="0">
                  <c:v>0</c:v>
                </c:pt>
                <c:pt idx="1">
                  <c:v>0.59039999999999981</c:v>
                </c:pt>
                <c:pt idx="2">
                  <c:v>0.59079999999999977</c:v>
                </c:pt>
                <c:pt idx="3">
                  <c:v>0.59159999999999979</c:v>
                </c:pt>
                <c:pt idx="4">
                  <c:v>0.59239999999999982</c:v>
                </c:pt>
                <c:pt idx="5">
                  <c:v>0.59279999999999977</c:v>
                </c:pt>
                <c:pt idx="6">
                  <c:v>0.59439999999999982</c:v>
                </c:pt>
                <c:pt idx="7">
                  <c:v>0.59519999999999984</c:v>
                </c:pt>
                <c:pt idx="8">
                  <c:v>0.59599999999999986</c:v>
                </c:pt>
                <c:pt idx="9">
                  <c:v>0.59679999999999978</c:v>
                </c:pt>
                <c:pt idx="10">
                  <c:v>0.59839999999999982</c:v>
                </c:pt>
                <c:pt idx="11">
                  <c:v>0.59879999999999978</c:v>
                </c:pt>
                <c:pt idx="12">
                  <c:v>0.60039999999999982</c:v>
                </c:pt>
                <c:pt idx="13">
                  <c:v>0.60199999999999987</c:v>
                </c:pt>
                <c:pt idx="14">
                  <c:v>0.60239999999999982</c:v>
                </c:pt>
                <c:pt idx="15">
                  <c:v>0.60319999999999985</c:v>
                </c:pt>
                <c:pt idx="16">
                  <c:v>0.60399999999999987</c:v>
                </c:pt>
                <c:pt idx="17">
                  <c:v>0.60559999999999981</c:v>
                </c:pt>
                <c:pt idx="18">
                  <c:v>0.60639999999999983</c:v>
                </c:pt>
                <c:pt idx="19">
                  <c:v>0.60959999999999981</c:v>
                </c:pt>
                <c:pt idx="20">
                  <c:v>0.61039999999999983</c:v>
                </c:pt>
                <c:pt idx="21">
                  <c:v>0.61079999999999979</c:v>
                </c:pt>
                <c:pt idx="22">
                  <c:v>0.61399999999999977</c:v>
                </c:pt>
                <c:pt idx="23">
                  <c:v>0.61559999999999981</c:v>
                </c:pt>
                <c:pt idx="24">
                  <c:v>0.61719999999999986</c:v>
                </c:pt>
                <c:pt idx="25">
                  <c:v>0.61799999999999977</c:v>
                </c:pt>
                <c:pt idx="26">
                  <c:v>0.61839999999999984</c:v>
                </c:pt>
                <c:pt idx="27">
                  <c:v>0.61919999999999986</c:v>
                </c:pt>
                <c:pt idx="28">
                  <c:v>0.61999999999999977</c:v>
                </c:pt>
                <c:pt idx="29">
                  <c:v>0.62039999999999984</c:v>
                </c:pt>
                <c:pt idx="30">
                  <c:v>0.62199999999999978</c:v>
                </c:pt>
                <c:pt idx="31">
                  <c:v>0.62519999999999987</c:v>
                </c:pt>
                <c:pt idx="32">
                  <c:v>0.6267999999999998</c:v>
                </c:pt>
                <c:pt idx="33">
                  <c:v>0.62759999999999982</c:v>
                </c:pt>
                <c:pt idx="34">
                  <c:v>0.62919999999999987</c:v>
                </c:pt>
                <c:pt idx="35">
                  <c:v>0.63079999999999981</c:v>
                </c:pt>
                <c:pt idx="36">
                  <c:v>0.63159999999999983</c:v>
                </c:pt>
                <c:pt idx="37">
                  <c:v>0.63479999999999981</c:v>
                </c:pt>
                <c:pt idx="38">
                  <c:v>0.63639999999999985</c:v>
                </c:pt>
                <c:pt idx="39">
                  <c:v>0.63719999999999988</c:v>
                </c:pt>
                <c:pt idx="40">
                  <c:v>0.63799999999999979</c:v>
                </c:pt>
                <c:pt idx="41">
                  <c:v>0.63959999999999984</c:v>
                </c:pt>
                <c:pt idx="42">
                  <c:v>0.64119999999999988</c:v>
                </c:pt>
                <c:pt idx="43">
                  <c:v>0.64199999999999979</c:v>
                </c:pt>
                <c:pt idx="44">
                  <c:v>0.64239999999999986</c:v>
                </c:pt>
                <c:pt idx="45">
                  <c:v>0.64319999999999977</c:v>
                </c:pt>
                <c:pt idx="46">
                  <c:v>0.64399999999999979</c:v>
                </c:pt>
                <c:pt idx="47">
                  <c:v>0.64439999999999986</c:v>
                </c:pt>
                <c:pt idx="48">
                  <c:v>0.65079999999999982</c:v>
                </c:pt>
                <c:pt idx="49">
                  <c:v>0.65239999999999987</c:v>
                </c:pt>
                <c:pt idx="50">
                  <c:v>0.65559999999999985</c:v>
                </c:pt>
                <c:pt idx="51">
                  <c:v>0.65639999999999987</c:v>
                </c:pt>
                <c:pt idx="52">
                  <c:v>0.65719999999999978</c:v>
                </c:pt>
                <c:pt idx="53">
                  <c:v>0.65879999999999983</c:v>
                </c:pt>
                <c:pt idx="54">
                  <c:v>0.66039999999999988</c:v>
                </c:pt>
                <c:pt idx="55">
                  <c:v>0.66119999999999979</c:v>
                </c:pt>
                <c:pt idx="56">
                  <c:v>0.66439999999999988</c:v>
                </c:pt>
                <c:pt idx="57">
                  <c:v>0.66599999999999981</c:v>
                </c:pt>
                <c:pt idx="58">
                  <c:v>0.66679999999999984</c:v>
                </c:pt>
                <c:pt idx="59">
                  <c:v>0.66839999999999988</c:v>
                </c:pt>
                <c:pt idx="60">
                  <c:v>0.66999999999999982</c:v>
                </c:pt>
                <c:pt idx="61">
                  <c:v>0.67039999999999988</c:v>
                </c:pt>
                <c:pt idx="62">
                  <c:v>0.67199999999999982</c:v>
                </c:pt>
                <c:pt idx="63">
                  <c:v>0.6751999999999998</c:v>
                </c:pt>
                <c:pt idx="64">
                  <c:v>0.67559999999999987</c:v>
                </c:pt>
                <c:pt idx="65">
                  <c:v>0.6771999999999998</c:v>
                </c:pt>
                <c:pt idx="66">
                  <c:v>0.67799999999999983</c:v>
                </c:pt>
                <c:pt idx="67">
                  <c:v>0.67879999999999985</c:v>
                </c:pt>
                <c:pt idx="68">
                  <c:v>0.68199999999999983</c:v>
                </c:pt>
                <c:pt idx="69">
                  <c:v>0.68519999999999981</c:v>
                </c:pt>
                <c:pt idx="70">
                  <c:v>0.68599999999999983</c:v>
                </c:pt>
                <c:pt idx="71">
                  <c:v>0.68919999999999981</c:v>
                </c:pt>
                <c:pt idx="72">
                  <c:v>0.6923999999999999</c:v>
                </c:pt>
                <c:pt idx="73">
                  <c:v>0.69279999999999986</c:v>
                </c:pt>
                <c:pt idx="74">
                  <c:v>0.69359999999999988</c:v>
                </c:pt>
                <c:pt idx="75">
                  <c:v>0.69519999999999982</c:v>
                </c:pt>
                <c:pt idx="76">
                  <c:v>0.69679999999999986</c:v>
                </c:pt>
                <c:pt idx="77">
                  <c:v>0.69839999999999991</c:v>
                </c:pt>
                <c:pt idx="78">
                  <c:v>0.69879999999999987</c:v>
                </c:pt>
                <c:pt idx="79">
                  <c:v>0.69959999999999989</c:v>
                </c:pt>
                <c:pt idx="80">
                  <c:v>0.70119999999999982</c:v>
                </c:pt>
                <c:pt idx="81">
                  <c:v>0.7043999999999998</c:v>
                </c:pt>
                <c:pt idx="82">
                  <c:v>0.70599999999999985</c:v>
                </c:pt>
                <c:pt idx="83">
                  <c:v>0.70679999999999987</c:v>
                </c:pt>
                <c:pt idx="84">
                  <c:v>0.71319999999999983</c:v>
                </c:pt>
                <c:pt idx="85">
                  <c:v>0.71399999999999986</c:v>
                </c:pt>
                <c:pt idx="86">
                  <c:v>0.71439999999999981</c:v>
                </c:pt>
                <c:pt idx="87">
                  <c:v>0.71519999999999984</c:v>
                </c:pt>
                <c:pt idx="88">
                  <c:v>0.71679999999999988</c:v>
                </c:pt>
                <c:pt idx="89">
                  <c:v>0.71839999999999982</c:v>
                </c:pt>
                <c:pt idx="90">
                  <c:v>0.7215999999999998</c:v>
                </c:pt>
                <c:pt idx="91">
                  <c:v>0.72239999999999982</c:v>
                </c:pt>
                <c:pt idx="92">
                  <c:v>0.72319999999999984</c:v>
                </c:pt>
                <c:pt idx="93">
                  <c:v>0.7295999999999998</c:v>
                </c:pt>
                <c:pt idx="94">
                  <c:v>0.73119999999999985</c:v>
                </c:pt>
                <c:pt idx="95">
                  <c:v>0.73439999999999983</c:v>
                </c:pt>
                <c:pt idx="96">
                  <c:v>0.73599999999999988</c:v>
                </c:pt>
                <c:pt idx="97">
                  <c:v>0.73919999999999986</c:v>
                </c:pt>
                <c:pt idx="98">
                  <c:v>0.7407999999999999</c:v>
                </c:pt>
                <c:pt idx="99">
                  <c:v>0.74119999999999986</c:v>
                </c:pt>
                <c:pt idx="100">
                  <c:v>0.74199999999999988</c:v>
                </c:pt>
                <c:pt idx="101">
                  <c:v>0.7427999999999999</c:v>
                </c:pt>
                <c:pt idx="102">
                  <c:v>0.74359999999999982</c:v>
                </c:pt>
                <c:pt idx="103">
                  <c:v>0.74519999999999986</c:v>
                </c:pt>
                <c:pt idx="104">
                  <c:v>0.74679999999999991</c:v>
                </c:pt>
                <c:pt idx="105">
                  <c:v>0.74719999999999986</c:v>
                </c:pt>
                <c:pt idx="106">
                  <c:v>0.74799999999999989</c:v>
                </c:pt>
                <c:pt idx="107">
                  <c:v>0.74879999999999991</c:v>
                </c:pt>
                <c:pt idx="108">
                  <c:v>0.75199999999999989</c:v>
                </c:pt>
                <c:pt idx="109">
                  <c:v>0.75839999999999985</c:v>
                </c:pt>
                <c:pt idx="110">
                  <c:v>0.75919999999999987</c:v>
                </c:pt>
                <c:pt idx="111">
                  <c:v>0.76239999999999986</c:v>
                </c:pt>
                <c:pt idx="112">
                  <c:v>0.7639999999999999</c:v>
                </c:pt>
                <c:pt idx="113">
                  <c:v>0.76479999999999992</c:v>
                </c:pt>
                <c:pt idx="114">
                  <c:v>0.76559999999999984</c:v>
                </c:pt>
                <c:pt idx="115">
                  <c:v>0.7659999999999999</c:v>
                </c:pt>
                <c:pt idx="116">
                  <c:v>0.76759999999999984</c:v>
                </c:pt>
                <c:pt idx="117">
                  <c:v>0.76919999999999988</c:v>
                </c:pt>
                <c:pt idx="118">
                  <c:v>0.77239999999999986</c:v>
                </c:pt>
                <c:pt idx="119">
                  <c:v>0.77399999999999991</c:v>
                </c:pt>
                <c:pt idx="120">
                  <c:v>0.77559999999999985</c:v>
                </c:pt>
                <c:pt idx="121">
                  <c:v>0.78199999999999981</c:v>
                </c:pt>
                <c:pt idx="122">
                  <c:v>0.7851999999999999</c:v>
                </c:pt>
                <c:pt idx="123">
                  <c:v>0.78679999999999994</c:v>
                </c:pt>
                <c:pt idx="124">
                  <c:v>0.78839999999999988</c:v>
                </c:pt>
                <c:pt idx="125">
                  <c:v>0.78999999999999981</c:v>
                </c:pt>
                <c:pt idx="126">
                  <c:v>0.79159999999999986</c:v>
                </c:pt>
                <c:pt idx="127">
                  <c:v>0.79199999999999982</c:v>
                </c:pt>
                <c:pt idx="128">
                  <c:v>0.79279999999999984</c:v>
                </c:pt>
                <c:pt idx="129">
                  <c:v>0.79359999999999986</c:v>
                </c:pt>
                <c:pt idx="130">
                  <c:v>0.79679999999999984</c:v>
                </c:pt>
                <c:pt idx="131">
                  <c:v>0.79759999999999986</c:v>
                </c:pt>
                <c:pt idx="132">
                  <c:v>0.79839999999999989</c:v>
                </c:pt>
                <c:pt idx="133">
                  <c:v>0.79999999999999982</c:v>
                </c:pt>
                <c:pt idx="134">
                  <c:v>0.80159999999999987</c:v>
                </c:pt>
                <c:pt idx="135">
                  <c:v>0.80319999999999991</c:v>
                </c:pt>
                <c:pt idx="136">
                  <c:v>0.80399999999999983</c:v>
                </c:pt>
                <c:pt idx="137">
                  <c:v>0.80479999999999985</c:v>
                </c:pt>
                <c:pt idx="138">
                  <c:v>0.81759999999999988</c:v>
                </c:pt>
                <c:pt idx="139">
                  <c:v>0.82079999999999986</c:v>
                </c:pt>
                <c:pt idx="140">
                  <c:v>0.82399999999999984</c:v>
                </c:pt>
                <c:pt idx="141">
                  <c:v>0.82479999999999987</c:v>
                </c:pt>
                <c:pt idx="142">
                  <c:v>0.82519999999999993</c:v>
                </c:pt>
                <c:pt idx="143">
                  <c:v>0.82599999999999985</c:v>
                </c:pt>
                <c:pt idx="144">
                  <c:v>0.82639999999999991</c:v>
                </c:pt>
                <c:pt idx="145">
                  <c:v>0.82799999999999985</c:v>
                </c:pt>
                <c:pt idx="146">
                  <c:v>0.82959999999999989</c:v>
                </c:pt>
                <c:pt idx="147">
                  <c:v>0.83279999999999987</c:v>
                </c:pt>
                <c:pt idx="148">
                  <c:v>0.83599999999999985</c:v>
                </c:pt>
                <c:pt idx="149">
                  <c:v>0.8375999999999999</c:v>
                </c:pt>
                <c:pt idx="150">
                  <c:v>0.83919999999999995</c:v>
                </c:pt>
                <c:pt idx="151">
                  <c:v>0.84559999999999991</c:v>
                </c:pt>
                <c:pt idx="152">
                  <c:v>0.84879999999999989</c:v>
                </c:pt>
                <c:pt idx="153">
                  <c:v>0.85039999999999982</c:v>
                </c:pt>
                <c:pt idx="154">
                  <c:v>0.85119999999999996</c:v>
                </c:pt>
                <c:pt idx="155">
                  <c:v>0.85279999999999989</c:v>
                </c:pt>
                <c:pt idx="156">
                  <c:v>0.85359999999999991</c:v>
                </c:pt>
                <c:pt idx="157">
                  <c:v>0.85399999999999987</c:v>
                </c:pt>
                <c:pt idx="158">
                  <c:v>0.85479999999999989</c:v>
                </c:pt>
                <c:pt idx="159">
                  <c:v>0.85799999999999987</c:v>
                </c:pt>
                <c:pt idx="160">
                  <c:v>0.8587999999999999</c:v>
                </c:pt>
                <c:pt idx="161">
                  <c:v>0.85919999999999996</c:v>
                </c:pt>
                <c:pt idx="162">
                  <c:v>0.8607999999999999</c:v>
                </c:pt>
                <c:pt idx="163">
                  <c:v>0.86399999999999988</c:v>
                </c:pt>
                <c:pt idx="164">
                  <c:v>0.86719999999999997</c:v>
                </c:pt>
                <c:pt idx="165">
                  <c:v>0.86879999999999991</c:v>
                </c:pt>
                <c:pt idx="166">
                  <c:v>0.87519999999999998</c:v>
                </c:pt>
                <c:pt idx="167">
                  <c:v>0.87679999999999991</c:v>
                </c:pt>
                <c:pt idx="168">
                  <c:v>0.87719999999999998</c:v>
                </c:pt>
                <c:pt idx="169">
                  <c:v>0.87799999999999989</c:v>
                </c:pt>
                <c:pt idx="170">
                  <c:v>0.87959999999999994</c:v>
                </c:pt>
                <c:pt idx="171">
                  <c:v>0.8859999999999999</c:v>
                </c:pt>
                <c:pt idx="172">
                  <c:v>0.88679999999999992</c:v>
                </c:pt>
                <c:pt idx="173">
                  <c:v>0.88759999999999994</c:v>
                </c:pt>
                <c:pt idx="174">
                  <c:v>0.89079999999999993</c:v>
                </c:pt>
                <c:pt idx="175">
                  <c:v>0.89399999999999991</c:v>
                </c:pt>
                <c:pt idx="176">
                  <c:v>0.89479999999999993</c:v>
                </c:pt>
                <c:pt idx="177">
                  <c:v>0.89639999999999986</c:v>
                </c:pt>
                <c:pt idx="178">
                  <c:v>0.89799999999999991</c:v>
                </c:pt>
                <c:pt idx="179">
                  <c:v>0.89879999999999993</c:v>
                </c:pt>
                <c:pt idx="180">
                  <c:v>0.90199999999999991</c:v>
                </c:pt>
                <c:pt idx="181">
                  <c:v>0.90279999999999994</c:v>
                </c:pt>
                <c:pt idx="182">
                  <c:v>0.90439999999999987</c:v>
                </c:pt>
                <c:pt idx="183">
                  <c:v>0.90599999999999992</c:v>
                </c:pt>
                <c:pt idx="184">
                  <c:v>0.90639999999999987</c:v>
                </c:pt>
                <c:pt idx="185">
                  <c:v>0.9071999999999999</c:v>
                </c:pt>
                <c:pt idx="186">
                  <c:v>0.90879999999999994</c:v>
                </c:pt>
                <c:pt idx="187">
                  <c:v>0.91199999999999992</c:v>
                </c:pt>
                <c:pt idx="188">
                  <c:v>0.91279999999999983</c:v>
                </c:pt>
                <c:pt idx="189">
                  <c:v>0.9131999999999999</c:v>
                </c:pt>
                <c:pt idx="190">
                  <c:v>0.91959999999999997</c:v>
                </c:pt>
                <c:pt idx="191">
                  <c:v>0.92599999999999993</c:v>
                </c:pt>
                <c:pt idx="192">
                  <c:v>0.92759999999999998</c:v>
                </c:pt>
                <c:pt idx="193">
                  <c:v>0.92919999999999991</c:v>
                </c:pt>
                <c:pt idx="194">
                  <c:v>0.92999999999999994</c:v>
                </c:pt>
                <c:pt idx="195">
                  <c:v>0.93079999999999985</c:v>
                </c:pt>
                <c:pt idx="196">
                  <c:v>0.93399999999999994</c:v>
                </c:pt>
                <c:pt idx="197">
                  <c:v>0.93479999999999985</c:v>
                </c:pt>
                <c:pt idx="198">
                  <c:v>0.9363999999999999</c:v>
                </c:pt>
                <c:pt idx="199">
                  <c:v>0.93719999999999992</c:v>
                </c:pt>
                <c:pt idx="200">
                  <c:v>0.93879999999999986</c:v>
                </c:pt>
                <c:pt idx="201">
                  <c:v>0.94199999999999995</c:v>
                </c:pt>
                <c:pt idx="202">
                  <c:v>0.94519999999999993</c:v>
                </c:pt>
                <c:pt idx="203">
                  <c:v>0.94679999999999986</c:v>
                </c:pt>
                <c:pt idx="204">
                  <c:v>0.9476</c:v>
                </c:pt>
                <c:pt idx="205">
                  <c:v>0.94839999999999991</c:v>
                </c:pt>
                <c:pt idx="206">
                  <c:v>0.95</c:v>
                </c:pt>
                <c:pt idx="207">
                  <c:v>0.9516</c:v>
                </c:pt>
                <c:pt idx="208">
                  <c:v>0.95199999999999996</c:v>
                </c:pt>
                <c:pt idx="209">
                  <c:v>0.9536</c:v>
                </c:pt>
                <c:pt idx="210">
                  <c:v>0.95519999999999994</c:v>
                </c:pt>
                <c:pt idx="211">
                  <c:v>0.95599999999999996</c:v>
                </c:pt>
                <c:pt idx="212">
                  <c:v>0.95919999999999994</c:v>
                </c:pt>
                <c:pt idx="213">
                  <c:v>0.96239999999999992</c:v>
                </c:pt>
                <c:pt idx="214">
                  <c:v>0.96560000000000001</c:v>
                </c:pt>
                <c:pt idx="215">
                  <c:v>0.96599999999999997</c:v>
                </c:pt>
                <c:pt idx="216">
                  <c:v>0.96919999999999995</c:v>
                </c:pt>
                <c:pt idx="217">
                  <c:v>0.97079999999999989</c:v>
                </c:pt>
                <c:pt idx="218">
                  <c:v>0.97119999999999995</c:v>
                </c:pt>
                <c:pt idx="219">
                  <c:v>0.97199999999999998</c:v>
                </c:pt>
                <c:pt idx="220">
                  <c:v>0.97359999999999991</c:v>
                </c:pt>
                <c:pt idx="221">
                  <c:v>0.97519999999999996</c:v>
                </c:pt>
                <c:pt idx="222">
                  <c:v>0.97599999999999998</c:v>
                </c:pt>
                <c:pt idx="223">
                  <c:v>0.97679999999999989</c:v>
                </c:pt>
                <c:pt idx="224">
                  <c:v>0.97839999999999994</c:v>
                </c:pt>
                <c:pt idx="225">
                  <c:v>0.97919999999999996</c:v>
                </c:pt>
                <c:pt idx="226">
                  <c:v>0.98079999999999989</c:v>
                </c:pt>
                <c:pt idx="227">
                  <c:v>0.98399999999999999</c:v>
                </c:pt>
                <c:pt idx="228">
                  <c:v>0.9847999999999999</c:v>
                </c:pt>
                <c:pt idx="229">
                  <c:v>0.98639999999999994</c:v>
                </c:pt>
                <c:pt idx="230">
                  <c:v>0.9867999999999999</c:v>
                </c:pt>
                <c:pt idx="231">
                  <c:v>0.98839999999999995</c:v>
                </c:pt>
                <c:pt idx="232">
                  <c:v>0.98919999999999997</c:v>
                </c:pt>
                <c:pt idx="233">
                  <c:v>0.9907999999999999</c:v>
                </c:pt>
                <c:pt idx="234">
                  <c:v>0.99119999999999986</c:v>
                </c:pt>
                <c:pt idx="235">
                  <c:v>0.99199999999999999</c:v>
                </c:pt>
                <c:pt idx="236">
                  <c:v>0.9927999999999999</c:v>
                </c:pt>
                <c:pt idx="237">
                  <c:v>0.99359999999999993</c:v>
                </c:pt>
                <c:pt idx="238">
                  <c:v>0.99519999999999986</c:v>
                </c:pt>
                <c:pt idx="239">
                  <c:v>0.99679999999999991</c:v>
                </c:pt>
                <c:pt idx="240">
                  <c:v>0.99759999999999993</c:v>
                </c:pt>
                <c:pt idx="241">
                  <c:v>0.998</c:v>
                </c:pt>
                <c:pt idx="242">
                  <c:v>0.99879999999999991</c:v>
                </c:pt>
                <c:pt idx="243">
                  <c:v>0.99959999999999993</c:v>
                </c:pt>
                <c:pt idx="244">
                  <c:v>1</c:v>
                </c:pt>
              </c:numCache>
            </c:numRef>
          </c:yVal>
          <c:smooth val="0"/>
          <c:extLst>
            <c:ext xmlns:c16="http://schemas.microsoft.com/office/drawing/2014/chart" uri="{C3380CC4-5D6E-409C-BE32-E72D297353CC}">
              <c16:uniqueId val="{00000000-6A20-F849-8376-092C4B0AF4B9}"/>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76200</xdr:colOff>
          <xdr:row>3</xdr:row>
          <xdr:rowOff>177800</xdr:rowOff>
        </xdr:from>
        <xdr:to>
          <xdr:col>13</xdr:col>
          <xdr:colOff>558800</xdr:colOff>
          <xdr:row>9</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en-US" sz="2000" b="1" i="0" u="none" strike="noStrike" baseline="0">
                  <a:solidFill>
                    <a:srgbClr val="000000"/>
                  </a:solidFill>
                  <a:latin typeface="Apple Chancery" pitchFamily="4" charset="0"/>
                  <a:cs typeface="Apple Chancery" pitchFamily="4" charset="0"/>
                </a:rPr>
                <a:t>Evaluate Uncertainty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939800</xdr:colOff>
          <xdr:row>2</xdr:row>
          <xdr:rowOff>25400</xdr:rowOff>
        </xdr:from>
        <xdr:to>
          <xdr:col>2</xdr:col>
          <xdr:colOff>1308100</xdr:colOff>
          <xdr:row>4</xdr:row>
          <xdr:rowOff>139700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600" b="0" i="0" u="none" strike="noStrike" baseline="0">
                  <a:solidFill>
                    <a:srgbClr val="000000"/>
                  </a:solidFill>
                  <a:latin typeface="Apple Chancery" pitchFamily="4" charset="0"/>
                  <a:cs typeface="Apple Chancery" pitchFamily="4" charset="0"/>
                </a:rPr>
                <a:t>Update Tornado</a:t>
              </a:r>
            </a:p>
          </xdr:txBody>
        </xdr:sp>
        <xdr:clientData fPrintsWithSheet="0"/>
      </xdr:twoCellAnchor>
    </mc:Choice>
    <mc:Fallback/>
  </mc:AlternateContent>
  <xdr:twoCellAnchor>
    <xdr:from>
      <xdr:col>0</xdr:col>
      <xdr:colOff>488950</xdr:colOff>
      <xdr:row>5</xdr:row>
      <xdr:rowOff>152400</xdr:rowOff>
    </xdr:from>
    <xdr:to>
      <xdr:col>10</xdr:col>
      <xdr:colOff>787400</xdr:colOff>
      <xdr:row>46</xdr:row>
      <xdr:rowOff>101600</xdr:rowOff>
    </xdr:to>
    <xdr:graphicFrame macro="">
      <xdr:nvGraphicFramePr>
        <xdr:cNvPr id="2" name="TornadoChart">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47</xdr:row>
      <xdr:rowOff>165100</xdr:rowOff>
    </xdr:from>
    <xdr:to>
      <xdr:col>10</xdr:col>
      <xdr:colOff>812800</xdr:colOff>
      <xdr:row>67</xdr:row>
      <xdr:rowOff>101600</xdr:rowOff>
    </xdr:to>
    <xdr:graphicFrame macro="">
      <xdr:nvGraphicFramePr>
        <xdr:cNvPr id="5" name="CDF">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omik/Ulu%20Ventures%20Dropbox/Somik%20Raha/Templates/Truthy/TruthyWithMacro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sheetName val="Tornado"/>
      <sheetName val="Life Stage Assessments"/>
    </sheetNames>
    <sheetDataSet>
      <sheetData sheetId="0">
        <row r="16">
          <cell r="O16">
            <v>800</v>
          </cell>
        </row>
        <row r="17">
          <cell r="O17">
            <v>2000</v>
          </cell>
        </row>
        <row r="18">
          <cell r="O18">
            <v>20</v>
          </cell>
        </row>
        <row r="19">
          <cell r="O19">
            <v>100</v>
          </cell>
        </row>
        <row r="20">
          <cell r="O20">
            <v>0.8</v>
          </cell>
        </row>
        <row r="23">
          <cell r="O23">
            <v>4000</v>
          </cell>
        </row>
        <row r="24">
          <cell r="O24">
            <v>500</v>
          </cell>
        </row>
        <row r="25">
          <cell r="O25">
            <v>20</v>
          </cell>
        </row>
        <row r="26">
          <cell r="O26">
            <v>100</v>
          </cell>
        </row>
        <row r="27">
          <cell r="O27">
            <v>0.6</v>
          </cell>
        </row>
        <row r="30">
          <cell r="O30">
            <v>30000</v>
          </cell>
        </row>
        <row r="31">
          <cell r="O31">
            <v>20</v>
          </cell>
        </row>
        <row r="32">
          <cell r="O32">
            <v>20</v>
          </cell>
        </row>
        <row r="33">
          <cell r="O33">
            <v>100</v>
          </cell>
        </row>
        <row r="34">
          <cell r="O34">
            <v>0.4</v>
          </cell>
        </row>
        <row r="36">
          <cell r="O36">
            <v>2</v>
          </cell>
        </row>
        <row r="39">
          <cell r="O39">
            <v>0.5</v>
          </cell>
        </row>
        <row r="40">
          <cell r="O40">
            <v>5</v>
          </cell>
        </row>
        <row r="41">
          <cell r="O41">
            <v>1.2</v>
          </cell>
        </row>
        <row r="42">
          <cell r="O42">
            <v>0.75</v>
          </cell>
        </row>
        <row r="43">
          <cell r="O43">
            <v>0.6</v>
          </cell>
        </row>
        <row r="46">
          <cell r="O46">
            <v>0.1</v>
          </cell>
        </row>
        <row r="47">
          <cell r="O47">
            <v>0.3</v>
          </cell>
        </row>
        <row r="50">
          <cell r="O50">
            <v>0.2</v>
          </cell>
        </row>
        <row r="51">
          <cell r="O51">
            <v>0.1</v>
          </cell>
        </row>
        <row r="52">
          <cell r="O52">
            <v>0.02</v>
          </cell>
        </row>
        <row r="53">
          <cell r="O53">
            <v>0.16</v>
          </cell>
        </row>
        <row r="54">
          <cell r="O54">
            <v>0.02</v>
          </cell>
        </row>
        <row r="57">
          <cell r="O57">
            <v>5</v>
          </cell>
        </row>
        <row r="58">
          <cell r="O58">
            <v>0.5</v>
          </cell>
        </row>
        <row r="63">
          <cell r="H63">
            <v>1</v>
          </cell>
        </row>
        <row r="64">
          <cell r="H64">
            <v>0.30720000000000003</v>
          </cell>
        </row>
        <row r="65">
          <cell r="H65">
            <v>0.29399999999999998</v>
          </cell>
        </row>
        <row r="109">
          <cell r="E109">
            <v>4960</v>
          </cell>
        </row>
        <row r="111">
          <cell r="E111">
            <v>11200.8</v>
          </cell>
        </row>
      </sheetData>
      <sheetData sheetId="1">
        <row r="19">
          <cell r="R19">
            <v>4</v>
          </cell>
        </row>
      </sheetData>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6A52C-86DD-9A49-BC3D-A96C89181B6C}">
  <dimension ref="B3:B6"/>
  <sheetViews>
    <sheetView tabSelected="1" workbookViewId="0">
      <selection activeCell="B3" sqref="B3:B6"/>
    </sheetView>
  </sheetViews>
  <sheetFormatPr baseColWidth="10" defaultRowHeight="14" x14ac:dyDescent="0.2"/>
  <cols>
    <col min="1" max="1" width="10.7109375" style="145"/>
    <col min="2" max="2" width="146.5703125" style="145" customWidth="1"/>
    <col min="3" max="16384" width="10.7109375" style="145"/>
  </cols>
  <sheetData>
    <row r="3" spans="2:2" ht="19" x14ac:dyDescent="0.2">
      <c r="B3" s="335" t="s">
        <v>221</v>
      </c>
    </row>
    <row r="4" spans="2:2" ht="57" x14ac:dyDescent="0.2">
      <c r="B4" s="335" t="s">
        <v>218</v>
      </c>
    </row>
    <row r="5" spans="2:2" ht="19" x14ac:dyDescent="0.2">
      <c r="B5" s="335" t="s">
        <v>219</v>
      </c>
    </row>
    <row r="6" spans="2:2" ht="76" x14ac:dyDescent="0.2">
      <c r="B6" s="335" t="s">
        <v>220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103"/>
  <sheetViews>
    <sheetView showGridLines="0" zoomScale="129" zoomScaleNormal="129" zoomScalePageLayoutView="110" workbookViewId="0">
      <pane xSplit="1" activePane="topRight"/>
      <selection activeCell="A6" sqref="A6:XFD6"/>
      <selection pane="topRight" activeCell="J11" sqref="J11"/>
    </sheetView>
  </sheetViews>
  <sheetFormatPr baseColWidth="10" defaultColWidth="8.7109375" defaultRowHeight="14" x14ac:dyDescent="0.2"/>
  <cols>
    <col min="1" max="1" width="5" style="11" customWidth="1"/>
    <col min="2" max="2" width="2.7109375" style="4" customWidth="1"/>
    <col min="3" max="3" width="31.85546875" customWidth="1"/>
    <col min="4" max="4" width="8.85546875" style="1" customWidth="1"/>
    <col min="5" max="5" width="9.7109375" style="1" customWidth="1"/>
    <col min="6" max="6" width="14.42578125" customWidth="1"/>
    <col min="7" max="9" width="8.140625" style="1" customWidth="1"/>
    <col min="10" max="10" width="9.5703125" style="22" customWidth="1"/>
    <col min="11" max="14" width="8.140625" customWidth="1"/>
    <col min="15" max="15" width="10.28515625" customWidth="1"/>
    <col min="16" max="17" width="8.140625" customWidth="1"/>
    <col min="18" max="18" width="10.85546875" customWidth="1"/>
    <col min="19" max="19" width="9.5703125" bestFit="1" customWidth="1"/>
    <col min="21" max="21" width="17" customWidth="1"/>
    <col min="22" max="22" width="16.140625" customWidth="1"/>
    <col min="23" max="23" width="18.7109375" bestFit="1" customWidth="1"/>
  </cols>
  <sheetData>
    <row r="1" spans="1:18" s="7" customFormat="1" ht="16" x14ac:dyDescent="0.2">
      <c r="A1" s="59" t="s">
        <v>216</v>
      </c>
      <c r="B1" s="8"/>
      <c r="C1" s="9"/>
      <c r="D1" s="10"/>
      <c r="E1" s="10"/>
      <c r="F1" s="9"/>
      <c r="G1" s="10"/>
      <c r="H1" s="10"/>
      <c r="I1" s="10"/>
      <c r="J1" s="10"/>
      <c r="K1" s="10"/>
      <c r="L1" s="10"/>
      <c r="M1" s="10"/>
      <c r="N1" s="10" t="s">
        <v>23</v>
      </c>
    </row>
    <row r="2" spans="1:18" x14ac:dyDescent="0.2">
      <c r="A2" s="33"/>
      <c r="B2" s="31"/>
      <c r="C2" s="24"/>
      <c r="D2" s="22"/>
      <c r="E2" s="22"/>
      <c r="F2" s="24"/>
      <c r="G2" s="22"/>
      <c r="H2" s="22"/>
      <c r="I2" s="22"/>
      <c r="K2" s="24"/>
      <c r="L2" s="24"/>
      <c r="P2" s="108" t="s">
        <v>61</v>
      </c>
    </row>
    <row r="3" spans="1:18" s="16" customFormat="1" ht="16" x14ac:dyDescent="0.2">
      <c r="A3" s="44" t="s">
        <v>42</v>
      </c>
      <c r="C3" s="42"/>
      <c r="D3" s="42"/>
      <c r="E3" s="42"/>
      <c r="F3" s="43"/>
      <c r="G3" s="42"/>
      <c r="H3" s="137"/>
      <c r="I3" s="19"/>
      <c r="J3" s="100"/>
      <c r="K3" s="99"/>
      <c r="L3" s="99"/>
      <c r="M3" s="45"/>
      <c r="N3" s="45"/>
      <c r="P3" s="280" t="s">
        <v>163</v>
      </c>
    </row>
    <row r="4" spans="1:18" s="5" customFormat="1" ht="18" customHeight="1" thickBot="1" x14ac:dyDescent="0.25">
      <c r="A4" s="38"/>
      <c r="B4" s="66" t="s">
        <v>8</v>
      </c>
      <c r="C4" s="4"/>
      <c r="D4" s="31"/>
      <c r="E4" s="4"/>
      <c r="F4" s="149" t="s">
        <v>9</v>
      </c>
      <c r="G4" s="132" t="s">
        <v>106</v>
      </c>
      <c r="H4" s="150" t="s">
        <v>114</v>
      </c>
      <c r="I4" s="151" t="s">
        <v>115</v>
      </c>
      <c r="J4" s="152" t="s">
        <v>116</v>
      </c>
      <c r="K4" s="133"/>
      <c r="L4" s="138"/>
      <c r="M4" s="17"/>
      <c r="N4" s="17"/>
      <c r="P4" s="57" t="s">
        <v>87</v>
      </c>
    </row>
    <row r="5" spans="1:18" ht="15" thickTop="1" x14ac:dyDescent="0.2">
      <c r="A5" s="22"/>
      <c r="B5" s="239" t="s">
        <v>155</v>
      </c>
      <c r="C5" s="186"/>
      <c r="D5" s="187" t="s">
        <v>58</v>
      </c>
      <c r="E5" s="188"/>
      <c r="F5" s="189">
        <f>Q69</f>
        <v>11.799551453866666</v>
      </c>
      <c r="G5" s="184">
        <v>15.025941536182863</v>
      </c>
      <c r="H5" s="153">
        <v>2.9225910272000006</v>
      </c>
      <c r="I5" s="154">
        <v>10.95251525632</v>
      </c>
      <c r="J5" s="155">
        <v>31.559397321386669</v>
      </c>
      <c r="K5" s="138"/>
      <c r="L5" s="138"/>
      <c r="M5" s="17"/>
      <c r="N5" s="17"/>
      <c r="P5" s="281">
        <v>42035</v>
      </c>
    </row>
    <row r="6" spans="1:18" x14ac:dyDescent="0.2">
      <c r="A6" s="22"/>
      <c r="B6" s="228" t="s">
        <v>156</v>
      </c>
      <c r="C6" s="3"/>
      <c r="D6" s="229" t="s">
        <v>86</v>
      </c>
      <c r="E6" s="2"/>
      <c r="F6" s="230">
        <f>SweetspotTAM</f>
        <v>5360</v>
      </c>
      <c r="G6" s="232">
        <v>5640</v>
      </c>
      <c r="H6" s="233">
        <v>1600</v>
      </c>
      <c r="I6" s="234">
        <v>5360</v>
      </c>
      <c r="J6" s="235">
        <v>10240</v>
      </c>
      <c r="K6" s="138"/>
      <c r="L6" s="138"/>
      <c r="M6" s="17"/>
      <c r="N6" s="17"/>
    </row>
    <row r="7" spans="1:18" x14ac:dyDescent="0.2">
      <c r="A7" s="22"/>
      <c r="B7" s="55" t="s">
        <v>104</v>
      </c>
      <c r="C7" s="3"/>
      <c r="D7" s="23" t="s">
        <v>2</v>
      </c>
      <c r="E7" s="2"/>
      <c r="F7" s="190">
        <f>Q94</f>
        <v>23.511472810666667</v>
      </c>
      <c r="G7" s="185">
        <v>29.843651063436177</v>
      </c>
      <c r="H7" s="156">
        <v>8.8599944045714292</v>
      </c>
      <c r="I7" s="157">
        <v>23.511472810666667</v>
      </c>
      <c r="J7" s="158">
        <v>61.070313280853348</v>
      </c>
      <c r="K7" s="138"/>
      <c r="L7" s="138"/>
      <c r="M7" s="17"/>
      <c r="N7" s="17"/>
    </row>
    <row r="8" spans="1:18" ht="12.75" customHeight="1" x14ac:dyDescent="0.2">
      <c r="A8" s="22"/>
      <c r="B8" s="134" t="s">
        <v>105</v>
      </c>
      <c r="C8" s="3"/>
      <c r="D8" s="23" t="s">
        <v>86</v>
      </c>
      <c r="E8" s="2"/>
      <c r="F8" s="231">
        <f>E56</f>
        <v>11081</v>
      </c>
      <c r="G8" s="236">
        <v>11566.25</v>
      </c>
      <c r="H8" s="237">
        <v>6581</v>
      </c>
      <c r="I8" s="238">
        <v>11081</v>
      </c>
      <c r="J8" s="235">
        <v>17522</v>
      </c>
      <c r="K8" s="138"/>
      <c r="L8" s="138"/>
      <c r="M8" s="48"/>
      <c r="N8" s="48"/>
    </row>
    <row r="9" spans="1:18" ht="15" thickBot="1" x14ac:dyDescent="0.25">
      <c r="A9" s="20"/>
      <c r="B9" s="191" t="s">
        <v>132</v>
      </c>
      <c r="C9" s="65"/>
      <c r="D9" s="183" t="s">
        <v>2</v>
      </c>
      <c r="E9" s="12"/>
      <c r="F9" s="195">
        <f>Q70</f>
        <v>28.807498666666657</v>
      </c>
      <c r="G9" s="196">
        <v>36.684427578571402</v>
      </c>
      <c r="H9" s="197">
        <v>7.1352319999999994</v>
      </c>
      <c r="I9" s="198">
        <v>26.739539199999992</v>
      </c>
      <c r="J9" s="199">
        <v>77.049309866666647</v>
      </c>
      <c r="K9" s="138"/>
      <c r="L9" s="138"/>
      <c r="M9" s="17"/>
      <c r="N9" s="17"/>
    </row>
    <row r="10" spans="1:18" ht="15" thickTop="1" x14ac:dyDescent="0.2">
      <c r="A10" s="20"/>
      <c r="B10" s="48"/>
      <c r="C10" s="3"/>
      <c r="D10" s="23"/>
      <c r="E10" s="2"/>
      <c r="F10" s="139"/>
      <c r="G10"/>
      <c r="H10" s="107"/>
      <c r="I10" s="19"/>
      <c r="J10" s="135"/>
      <c r="K10" s="138"/>
      <c r="L10" s="138"/>
      <c r="M10" s="17"/>
      <c r="N10" s="17"/>
    </row>
    <row r="11" spans="1:18" x14ac:dyDescent="0.2">
      <c r="A11" s="33"/>
      <c r="B11" s="17"/>
      <c r="C11" s="17"/>
      <c r="D11" s="48"/>
      <c r="E11" s="20"/>
      <c r="F11" s="48"/>
      <c r="G11" s="46"/>
      <c r="H11" s="107"/>
      <c r="I11" s="19"/>
      <c r="J11" s="135"/>
      <c r="K11" s="138"/>
      <c r="L11" s="138"/>
      <c r="P11" s="24"/>
    </row>
    <row r="12" spans="1:18" s="7" customFormat="1" ht="16" x14ac:dyDescent="0.2">
      <c r="A12" s="41" t="s">
        <v>28</v>
      </c>
      <c r="B12" s="49"/>
      <c r="C12" s="50"/>
      <c r="D12" s="25"/>
      <c r="E12" s="50"/>
      <c r="F12" s="27">
        <v>1</v>
      </c>
      <c r="G12" s="27">
        <v>2</v>
      </c>
      <c r="H12" s="27">
        <v>3</v>
      </c>
      <c r="I12" s="27">
        <v>4</v>
      </c>
      <c r="J12" s="25"/>
      <c r="K12" s="50"/>
      <c r="L12" s="50"/>
      <c r="M12" s="56"/>
      <c r="N12" s="56"/>
      <c r="O12" s="6" t="s">
        <v>9</v>
      </c>
    </row>
    <row r="13" spans="1:18" s="4" customFormat="1" x14ac:dyDescent="0.2">
      <c r="A13" s="33"/>
      <c r="B13" s="51"/>
      <c r="C13" s="51" t="s">
        <v>8</v>
      </c>
      <c r="D13" s="27" t="s">
        <v>10</v>
      </c>
      <c r="E13" s="27" t="s">
        <v>13</v>
      </c>
      <c r="F13" s="27" t="s">
        <v>14</v>
      </c>
      <c r="G13" s="27" t="s">
        <v>15</v>
      </c>
      <c r="H13" s="27" t="s">
        <v>16</v>
      </c>
      <c r="I13" s="27" t="s">
        <v>34</v>
      </c>
      <c r="J13" s="51" t="s">
        <v>35</v>
      </c>
      <c r="K13" s="31"/>
      <c r="L13" s="31"/>
      <c r="M13" s="45" t="s">
        <v>20</v>
      </c>
      <c r="N13" s="45"/>
      <c r="O13" s="13" t="s">
        <v>12</v>
      </c>
      <c r="P13" s="13" t="s">
        <v>11</v>
      </c>
    </row>
    <row r="14" spans="1:18" ht="12" customHeight="1" x14ac:dyDescent="0.2">
      <c r="A14" s="33"/>
      <c r="B14" s="267"/>
      <c r="C14" s="268"/>
      <c r="D14" s="187"/>
      <c r="E14" s="269"/>
      <c r="F14" s="270"/>
      <c r="G14" s="270"/>
      <c r="H14" s="271"/>
      <c r="I14" s="272"/>
      <c r="J14" s="273"/>
      <c r="K14" s="268"/>
      <c r="L14" s="274"/>
      <c r="M14" s="17"/>
      <c r="N14" s="17"/>
      <c r="O14" s="323"/>
      <c r="P14" s="324"/>
      <c r="Q14" s="325"/>
      <c r="R14" s="5"/>
    </row>
    <row r="15" spans="1:18" ht="12" customHeight="1" x14ac:dyDescent="0.2">
      <c r="A15" s="33"/>
      <c r="B15" s="34" t="s">
        <v>7</v>
      </c>
      <c r="C15" s="17"/>
      <c r="D15" s="23"/>
      <c r="E15" s="67"/>
      <c r="F15" s="28"/>
      <c r="G15" s="28"/>
      <c r="H15" s="68"/>
      <c r="I15" s="23"/>
      <c r="J15" s="55"/>
      <c r="K15" s="17"/>
      <c r="L15" s="36"/>
      <c r="M15" s="17"/>
      <c r="N15" s="17"/>
      <c r="O15" s="69"/>
      <c r="P15" s="95"/>
      <c r="Q15" s="96"/>
      <c r="R15" s="5"/>
    </row>
    <row r="16" spans="1:18" ht="12" customHeight="1" x14ac:dyDescent="0.2">
      <c r="A16" s="33"/>
      <c r="B16" s="34"/>
      <c r="C16" s="202" t="s">
        <v>158</v>
      </c>
      <c r="D16" s="229" t="s">
        <v>18</v>
      </c>
      <c r="E16" s="67">
        <v>2</v>
      </c>
      <c r="F16" s="246">
        <v>1600</v>
      </c>
      <c r="G16" s="246">
        <v>5360</v>
      </c>
      <c r="H16" s="263">
        <v>10240</v>
      </c>
      <c r="I16" s="23"/>
      <c r="J16" s="55"/>
      <c r="K16" s="17"/>
      <c r="L16" s="36"/>
      <c r="M16" s="17"/>
      <c r="N16" s="17"/>
      <c r="O16" s="264">
        <v>5360</v>
      </c>
      <c r="P16" s="95" t="s">
        <v>159</v>
      </c>
      <c r="Q16" s="96"/>
      <c r="R16" s="5"/>
    </row>
    <row r="17" spans="1:18" ht="12" customHeight="1" x14ac:dyDescent="0.2">
      <c r="A17" s="33"/>
      <c r="B17" s="34"/>
      <c r="C17" s="202" t="s">
        <v>85</v>
      </c>
      <c r="D17" s="229" t="s">
        <v>18</v>
      </c>
      <c r="E17" s="67">
        <v>2</v>
      </c>
      <c r="F17" s="246">
        <v>6581</v>
      </c>
      <c r="G17" s="246">
        <v>11081</v>
      </c>
      <c r="H17" s="263">
        <v>17522</v>
      </c>
      <c r="I17" s="23"/>
      <c r="J17" s="55"/>
      <c r="K17" s="17"/>
      <c r="L17" s="36"/>
      <c r="M17" s="17"/>
      <c r="N17" s="17"/>
      <c r="O17" s="264">
        <v>11081</v>
      </c>
      <c r="P17" s="95" t="s">
        <v>160</v>
      </c>
      <c r="Q17" s="96"/>
      <c r="R17" s="5"/>
    </row>
    <row r="18" spans="1:18" ht="12" customHeight="1" x14ac:dyDescent="0.2">
      <c r="A18" s="33"/>
      <c r="B18" s="60"/>
      <c r="C18" s="17"/>
      <c r="D18" s="23"/>
      <c r="E18" s="53"/>
      <c r="F18" s="3"/>
      <c r="G18" s="3"/>
      <c r="H18" s="62"/>
      <c r="I18" s="30"/>
      <c r="J18" s="55"/>
      <c r="K18" s="17"/>
      <c r="L18" s="36"/>
      <c r="M18" s="17"/>
      <c r="N18" s="17"/>
      <c r="O18" s="40"/>
      <c r="P18" s="95"/>
      <c r="Q18" s="96"/>
      <c r="R18" s="5"/>
    </row>
    <row r="19" spans="1:18" ht="12" customHeight="1" x14ac:dyDescent="0.2">
      <c r="A19" s="33"/>
      <c r="B19" s="60" t="s">
        <v>36</v>
      </c>
      <c r="C19" s="2"/>
      <c r="D19" s="3"/>
      <c r="E19" s="53"/>
      <c r="F19" s="3"/>
      <c r="G19" s="3"/>
      <c r="H19" s="62"/>
      <c r="I19" s="30"/>
      <c r="J19" s="55"/>
      <c r="K19" s="17"/>
      <c r="L19" s="36"/>
      <c r="M19" s="17"/>
      <c r="N19" s="17"/>
      <c r="O19" s="58"/>
      <c r="P19" s="95"/>
      <c r="Q19" s="96"/>
      <c r="R19" s="5"/>
    </row>
    <row r="20" spans="1:18" ht="12" customHeight="1" x14ac:dyDescent="0.2">
      <c r="A20" s="33"/>
      <c r="B20" s="60"/>
      <c r="C20" s="2" t="s">
        <v>81</v>
      </c>
      <c r="D20" s="61" t="s">
        <v>18</v>
      </c>
      <c r="E20" s="53">
        <v>2</v>
      </c>
      <c r="F20" s="3"/>
      <c r="G20" s="3">
        <v>0.5</v>
      </c>
      <c r="H20" s="62"/>
      <c r="I20" s="30"/>
      <c r="J20" s="55"/>
      <c r="K20" s="17"/>
      <c r="L20" s="36"/>
      <c r="M20" s="17"/>
      <c r="N20" s="17"/>
      <c r="O20" s="58">
        <v>0.5</v>
      </c>
      <c r="P20" s="95" t="s">
        <v>1</v>
      </c>
      <c r="Q20" s="96"/>
      <c r="R20" s="5"/>
    </row>
    <row r="21" spans="1:18" ht="12" customHeight="1" x14ac:dyDescent="0.2">
      <c r="A21" s="33"/>
      <c r="B21" s="60"/>
      <c r="C21" s="2" t="s">
        <v>82</v>
      </c>
      <c r="D21" s="3" t="s">
        <v>18</v>
      </c>
      <c r="E21" s="53">
        <v>2</v>
      </c>
      <c r="F21" s="3">
        <v>3</v>
      </c>
      <c r="G21" s="3">
        <v>4</v>
      </c>
      <c r="H21" s="62">
        <v>5</v>
      </c>
      <c r="I21" s="136"/>
      <c r="J21" s="55"/>
      <c r="K21" s="17"/>
      <c r="L21" s="36"/>
      <c r="M21" s="17"/>
      <c r="N21" s="17"/>
      <c r="O21" s="40">
        <v>4</v>
      </c>
      <c r="P21" s="95" t="s">
        <v>21</v>
      </c>
      <c r="Q21" s="96"/>
      <c r="R21" s="5"/>
    </row>
    <row r="22" spans="1:18" ht="12" customHeight="1" x14ac:dyDescent="0.2">
      <c r="A22" s="33"/>
      <c r="B22" s="60"/>
      <c r="C22" s="17" t="s">
        <v>83</v>
      </c>
      <c r="D22" s="3" t="s">
        <v>18</v>
      </c>
      <c r="E22" s="53">
        <v>2</v>
      </c>
      <c r="F22" s="3">
        <v>2</v>
      </c>
      <c r="G22" s="3">
        <v>2</v>
      </c>
      <c r="H22" s="62">
        <v>2</v>
      </c>
      <c r="I22" s="30"/>
      <c r="J22" s="55"/>
      <c r="K22" s="17"/>
      <c r="L22" s="36"/>
      <c r="M22" s="17"/>
      <c r="N22" s="17"/>
      <c r="O22" s="58">
        <v>2</v>
      </c>
      <c r="P22" s="95" t="s">
        <v>22</v>
      </c>
      <c r="Q22" s="96"/>
      <c r="R22" s="5"/>
    </row>
    <row r="23" spans="1:18" ht="12" customHeight="1" x14ac:dyDescent="0.2">
      <c r="A23" s="33"/>
      <c r="B23" s="60"/>
      <c r="C23" s="17" t="s">
        <v>25</v>
      </c>
      <c r="D23" s="3" t="s">
        <v>19</v>
      </c>
      <c r="E23" s="53">
        <v>2</v>
      </c>
      <c r="F23" s="63">
        <v>0.6</v>
      </c>
      <c r="G23" s="63">
        <v>0.8</v>
      </c>
      <c r="H23" s="64">
        <v>0.9</v>
      </c>
      <c r="I23" s="30"/>
      <c r="J23" s="55" t="s">
        <v>95</v>
      </c>
      <c r="K23" s="17"/>
      <c r="L23" s="36"/>
      <c r="M23" s="17"/>
      <c r="N23" s="17"/>
      <c r="O23" s="75">
        <v>0.8</v>
      </c>
      <c r="P23" s="95" t="s">
        <v>25</v>
      </c>
      <c r="Q23" s="96"/>
      <c r="R23" s="5"/>
    </row>
    <row r="24" spans="1:18" ht="12" customHeight="1" x14ac:dyDescent="0.2">
      <c r="A24" s="33"/>
      <c r="B24" s="60"/>
      <c r="C24" s="17" t="s">
        <v>47</v>
      </c>
      <c r="D24" s="3" t="s">
        <v>19</v>
      </c>
      <c r="E24" s="53">
        <v>2</v>
      </c>
      <c r="F24" s="63">
        <v>0.4</v>
      </c>
      <c r="G24" s="63">
        <v>0.6</v>
      </c>
      <c r="H24" s="64">
        <v>0.7</v>
      </c>
      <c r="I24" s="30"/>
      <c r="J24" s="55"/>
      <c r="K24" s="17"/>
      <c r="L24" s="36"/>
      <c r="M24" s="17"/>
      <c r="N24" s="17"/>
      <c r="O24" s="75">
        <v>0.6</v>
      </c>
      <c r="P24" s="95" t="s">
        <v>48</v>
      </c>
      <c r="Q24" s="96"/>
      <c r="R24" s="5"/>
    </row>
    <row r="25" spans="1:18" ht="12" customHeight="1" x14ac:dyDescent="0.2">
      <c r="A25" s="33"/>
      <c r="B25" s="60"/>
      <c r="C25" s="2"/>
      <c r="D25" s="3"/>
      <c r="E25" s="53"/>
      <c r="F25" s="3"/>
      <c r="G25" s="3"/>
      <c r="H25" s="62"/>
      <c r="I25" s="30"/>
      <c r="J25" s="55"/>
      <c r="K25" s="17"/>
      <c r="L25" s="36"/>
      <c r="M25" s="17"/>
      <c r="N25" s="17"/>
      <c r="O25" s="40"/>
      <c r="P25" s="95"/>
      <c r="Q25" s="96"/>
      <c r="R25" s="5"/>
    </row>
    <row r="26" spans="1:18" ht="12" customHeight="1" x14ac:dyDescent="0.2">
      <c r="A26" s="33"/>
      <c r="B26" s="60" t="s">
        <v>26</v>
      </c>
      <c r="C26" s="2"/>
      <c r="D26" s="3"/>
      <c r="E26" s="53"/>
      <c r="F26" s="3"/>
      <c r="G26" s="3"/>
      <c r="H26" s="62"/>
      <c r="I26" s="30"/>
      <c r="J26" s="55"/>
      <c r="K26" s="17"/>
      <c r="L26" s="36"/>
      <c r="M26" s="17"/>
      <c r="N26" s="17"/>
      <c r="O26" s="40"/>
      <c r="P26" s="95"/>
      <c r="Q26" s="96"/>
      <c r="R26" s="5"/>
    </row>
    <row r="27" spans="1:18" ht="12" customHeight="1" x14ac:dyDescent="0.2">
      <c r="A27" s="33"/>
      <c r="B27" s="60"/>
      <c r="C27" s="17" t="s">
        <v>69</v>
      </c>
      <c r="D27" s="3" t="s">
        <v>19</v>
      </c>
      <c r="E27" s="53">
        <v>2</v>
      </c>
      <c r="F27" s="63"/>
      <c r="G27" s="142">
        <v>0.1</v>
      </c>
      <c r="H27" s="64"/>
      <c r="I27" s="30"/>
      <c r="J27" s="55" t="s">
        <v>96</v>
      </c>
      <c r="K27" s="17"/>
      <c r="L27" s="36"/>
      <c r="M27" s="17"/>
      <c r="N27" s="17"/>
      <c r="O27" s="75">
        <v>0.1</v>
      </c>
      <c r="P27" s="95" t="s">
        <v>70</v>
      </c>
      <c r="Q27" s="96"/>
      <c r="R27" s="5"/>
    </row>
    <row r="28" spans="1:18" ht="12" customHeight="1" x14ac:dyDescent="0.2">
      <c r="A28" s="33"/>
      <c r="B28" s="60"/>
      <c r="C28" s="17" t="s">
        <v>71</v>
      </c>
      <c r="D28" s="3" t="s">
        <v>19</v>
      </c>
      <c r="E28" s="53">
        <v>2</v>
      </c>
      <c r="F28" s="63"/>
      <c r="G28" s="63">
        <v>0.3</v>
      </c>
      <c r="H28" s="64"/>
      <c r="I28" s="30"/>
      <c r="J28" s="55" t="s">
        <v>97</v>
      </c>
      <c r="K28" s="17"/>
      <c r="L28" s="36"/>
      <c r="M28" s="17"/>
      <c r="N28" s="17"/>
      <c r="O28" s="75">
        <v>0.3</v>
      </c>
      <c r="P28" s="95" t="s">
        <v>72</v>
      </c>
      <c r="Q28" s="96"/>
      <c r="R28" s="5"/>
    </row>
    <row r="29" spans="1:18" ht="12" customHeight="1" x14ac:dyDescent="0.2">
      <c r="A29" s="33"/>
      <c r="B29" s="60"/>
      <c r="C29" s="2"/>
      <c r="D29" s="3"/>
      <c r="E29" s="53"/>
      <c r="F29" s="63"/>
      <c r="G29" s="63"/>
      <c r="H29" s="64"/>
      <c r="I29" s="30"/>
      <c r="J29" s="55"/>
      <c r="K29" s="17"/>
      <c r="L29" s="36"/>
      <c r="M29" s="17"/>
      <c r="N29" s="17"/>
      <c r="O29" s="75"/>
      <c r="P29" s="95"/>
      <c r="Q29" s="96"/>
      <c r="R29" s="5"/>
    </row>
    <row r="30" spans="1:18" ht="12" customHeight="1" x14ac:dyDescent="0.2">
      <c r="A30" s="33"/>
      <c r="B30" s="60" t="s">
        <v>73</v>
      </c>
      <c r="C30" s="2"/>
      <c r="D30" s="3"/>
      <c r="E30" s="53"/>
      <c r="F30" s="63"/>
      <c r="G30" s="63"/>
      <c r="H30" s="64"/>
      <c r="I30" s="30"/>
      <c r="J30" s="55"/>
      <c r="K30" s="17"/>
      <c r="L30" s="36"/>
      <c r="M30" s="17"/>
      <c r="N30" s="17"/>
      <c r="O30" s="75"/>
      <c r="P30" s="95"/>
      <c r="Q30" s="96"/>
      <c r="R30" s="5"/>
    </row>
    <row r="31" spans="1:18" ht="12" customHeight="1" x14ac:dyDescent="0.2">
      <c r="A31" s="33"/>
      <c r="B31" s="60"/>
      <c r="C31" s="17" t="s">
        <v>74</v>
      </c>
      <c r="D31" s="3" t="s">
        <v>19</v>
      </c>
      <c r="E31" s="53">
        <v>2</v>
      </c>
      <c r="F31" s="63">
        <v>0.3</v>
      </c>
      <c r="G31" s="63">
        <v>0.3</v>
      </c>
      <c r="H31" s="64">
        <v>0.3</v>
      </c>
      <c r="I31" s="30"/>
      <c r="J31" s="55" t="s">
        <v>98</v>
      </c>
      <c r="K31" s="17"/>
      <c r="L31" s="36"/>
      <c r="M31" s="17"/>
      <c r="N31" s="17"/>
      <c r="O31" s="75">
        <v>0.3</v>
      </c>
      <c r="P31" s="95" t="s">
        <v>75</v>
      </c>
      <c r="Q31" s="96"/>
      <c r="R31" s="5"/>
    </row>
    <row r="32" spans="1:18" ht="12" customHeight="1" x14ac:dyDescent="0.2">
      <c r="A32" s="33"/>
      <c r="B32" s="60"/>
      <c r="C32" s="17" t="s">
        <v>76</v>
      </c>
      <c r="D32" s="3" t="s">
        <v>19</v>
      </c>
      <c r="E32" s="53">
        <v>2</v>
      </c>
      <c r="F32" s="63">
        <v>0.1</v>
      </c>
      <c r="G32" s="63">
        <v>0.2</v>
      </c>
      <c r="H32" s="64">
        <v>0.4</v>
      </c>
      <c r="I32" s="30"/>
      <c r="J32" s="55" t="s">
        <v>99</v>
      </c>
      <c r="K32" s="17"/>
      <c r="L32" s="36"/>
      <c r="M32" s="17"/>
      <c r="N32" s="17"/>
      <c r="O32" s="75">
        <v>0.2</v>
      </c>
      <c r="P32" s="95" t="s">
        <v>77</v>
      </c>
      <c r="Q32" s="96"/>
      <c r="R32" s="5"/>
    </row>
    <row r="33" spans="1:18" ht="12" customHeight="1" x14ac:dyDescent="0.2">
      <c r="A33" s="33"/>
      <c r="B33" s="60"/>
      <c r="C33" s="17" t="s">
        <v>78</v>
      </c>
      <c r="D33" s="3" t="s">
        <v>19</v>
      </c>
      <c r="E33" s="53">
        <v>2</v>
      </c>
      <c r="F33" s="63">
        <v>0.01</v>
      </c>
      <c r="G33" s="63">
        <v>0.02</v>
      </c>
      <c r="H33" s="64">
        <v>0.04</v>
      </c>
      <c r="I33" s="30"/>
      <c r="J33" s="55" t="s">
        <v>100</v>
      </c>
      <c r="K33" s="124"/>
      <c r="L33" s="36"/>
      <c r="M33" s="17"/>
      <c r="N33" s="17"/>
      <c r="O33" s="75">
        <v>0.02</v>
      </c>
      <c r="P33" s="95" t="s">
        <v>79</v>
      </c>
      <c r="Q33" s="96"/>
      <c r="R33" s="5"/>
    </row>
    <row r="34" spans="1:18" ht="12" customHeight="1" x14ac:dyDescent="0.2">
      <c r="A34" s="33"/>
      <c r="B34" s="60"/>
      <c r="C34" s="17" t="s">
        <v>94</v>
      </c>
      <c r="D34" s="3" t="s">
        <v>19</v>
      </c>
      <c r="E34" s="53">
        <v>2</v>
      </c>
      <c r="F34" s="63">
        <v>0.16</v>
      </c>
      <c r="G34" s="63">
        <v>0.16</v>
      </c>
      <c r="H34" s="64">
        <v>0.16</v>
      </c>
      <c r="I34" s="30"/>
      <c r="J34" s="55" t="s">
        <v>101</v>
      </c>
      <c r="K34" s="17"/>
      <c r="L34" s="36"/>
      <c r="M34" s="17"/>
      <c r="N34" s="17"/>
      <c r="O34" s="75">
        <v>0.16</v>
      </c>
      <c r="P34" s="95" t="s">
        <v>91</v>
      </c>
      <c r="Q34" s="96"/>
      <c r="R34" s="5"/>
    </row>
    <row r="35" spans="1:18" ht="12" customHeight="1" x14ac:dyDescent="0.2">
      <c r="A35" s="33"/>
      <c r="B35" s="60"/>
      <c r="C35" s="17" t="s">
        <v>92</v>
      </c>
      <c r="D35" s="3" t="s">
        <v>19</v>
      </c>
      <c r="E35" s="53">
        <v>2</v>
      </c>
      <c r="F35" s="63">
        <v>0.02</v>
      </c>
      <c r="G35" s="63">
        <v>0.02</v>
      </c>
      <c r="H35" s="64">
        <v>0.02</v>
      </c>
      <c r="I35" s="30"/>
      <c r="J35" s="55" t="s">
        <v>101</v>
      </c>
      <c r="K35" s="17"/>
      <c r="L35" s="36"/>
      <c r="M35" s="17"/>
      <c r="N35" s="17"/>
      <c r="O35" s="75">
        <v>0.02</v>
      </c>
      <c r="P35" s="95" t="s">
        <v>93</v>
      </c>
      <c r="Q35" s="96"/>
      <c r="R35" s="5"/>
    </row>
    <row r="36" spans="1:18" ht="12" customHeight="1" x14ac:dyDescent="0.2">
      <c r="A36" s="33"/>
      <c r="B36" s="60"/>
      <c r="C36" s="2"/>
      <c r="D36" s="3"/>
      <c r="E36" s="53"/>
      <c r="F36" s="3"/>
      <c r="G36" s="3"/>
      <c r="H36" s="62"/>
      <c r="I36" s="30"/>
      <c r="J36" s="55"/>
      <c r="K36" s="17"/>
      <c r="L36" s="36"/>
      <c r="M36" s="17"/>
      <c r="N36" s="17"/>
      <c r="O36" s="40"/>
      <c r="P36" s="95"/>
      <c r="Q36" s="96"/>
      <c r="R36" s="5"/>
    </row>
    <row r="37" spans="1:18" x14ac:dyDescent="0.2">
      <c r="A37" s="33"/>
      <c r="B37" s="60" t="s">
        <v>27</v>
      </c>
      <c r="C37" s="2"/>
      <c r="D37" s="3"/>
      <c r="E37" s="53"/>
      <c r="F37" s="3"/>
      <c r="G37" s="3"/>
      <c r="H37" s="62"/>
      <c r="I37" s="30"/>
      <c r="J37" s="55"/>
      <c r="K37" s="17"/>
      <c r="L37" s="36"/>
      <c r="M37" s="17"/>
      <c r="N37" s="17"/>
      <c r="O37" s="40"/>
      <c r="P37" s="95"/>
      <c r="Q37" s="96"/>
    </row>
    <row r="38" spans="1:18" x14ac:dyDescent="0.2">
      <c r="A38" s="33"/>
      <c r="B38" s="60"/>
      <c r="C38" s="17" t="s">
        <v>59</v>
      </c>
      <c r="D38" s="3" t="s">
        <v>2</v>
      </c>
      <c r="E38" s="53">
        <v>2</v>
      </c>
      <c r="F38" s="3">
        <v>3</v>
      </c>
      <c r="G38" s="3">
        <v>5</v>
      </c>
      <c r="H38" s="62">
        <v>7</v>
      </c>
      <c r="I38" s="30"/>
      <c r="J38" s="35" t="s">
        <v>102</v>
      </c>
      <c r="K38" s="17"/>
      <c r="L38" s="36"/>
      <c r="M38" s="17"/>
      <c r="N38" s="17"/>
      <c r="O38" s="40">
        <v>5</v>
      </c>
      <c r="P38" s="95" t="s">
        <v>60</v>
      </c>
      <c r="Q38" s="96"/>
    </row>
    <row r="39" spans="1:18" x14ac:dyDescent="0.2">
      <c r="A39" s="33"/>
      <c r="B39" s="60"/>
      <c r="C39" s="17" t="s">
        <v>53</v>
      </c>
      <c r="D39" s="3" t="s">
        <v>19</v>
      </c>
      <c r="E39" s="53">
        <v>2</v>
      </c>
      <c r="F39" s="63">
        <v>0.3</v>
      </c>
      <c r="G39" s="63">
        <v>0.5</v>
      </c>
      <c r="H39" s="64">
        <v>0.8</v>
      </c>
      <c r="I39" s="30"/>
      <c r="J39" s="104"/>
      <c r="K39" s="17"/>
      <c r="L39" s="36"/>
      <c r="M39" s="17"/>
      <c r="N39" s="17"/>
      <c r="O39" s="97">
        <v>0.5</v>
      </c>
      <c r="P39" s="95" t="s">
        <v>50</v>
      </c>
      <c r="Q39" s="96"/>
      <c r="R39" s="5"/>
    </row>
    <row r="40" spans="1:18" x14ac:dyDescent="0.2">
      <c r="A40" s="33"/>
      <c r="B40" s="60"/>
      <c r="C40" s="17"/>
      <c r="D40" s="3"/>
      <c r="E40" s="53"/>
      <c r="F40" s="63"/>
      <c r="G40" s="63"/>
      <c r="H40" s="64"/>
      <c r="I40" s="30"/>
      <c r="J40" s="104"/>
      <c r="K40" s="17"/>
      <c r="L40" s="36"/>
      <c r="M40" s="17"/>
      <c r="N40" s="17"/>
      <c r="O40" s="97"/>
      <c r="P40" s="95"/>
      <c r="Q40" s="96"/>
      <c r="R40" s="5"/>
    </row>
    <row r="41" spans="1:18" x14ac:dyDescent="0.2">
      <c r="A41" s="33"/>
      <c r="B41" s="60" t="s">
        <v>151</v>
      </c>
      <c r="C41" s="17"/>
      <c r="D41" s="3"/>
      <c r="E41" s="53"/>
      <c r="F41" s="63"/>
      <c r="G41" s="63"/>
      <c r="H41" s="64"/>
      <c r="I41" s="30"/>
      <c r="J41" s="104"/>
      <c r="K41" s="17"/>
      <c r="L41" s="36"/>
      <c r="M41" s="17"/>
      <c r="N41" s="17"/>
      <c r="O41" s="97"/>
      <c r="P41" s="95"/>
      <c r="Q41" s="96"/>
      <c r="R41" s="5"/>
    </row>
    <row r="42" spans="1:18" x14ac:dyDescent="0.2">
      <c r="A42" s="33"/>
      <c r="B42" s="60"/>
      <c r="C42" s="202" t="s">
        <v>152</v>
      </c>
      <c r="D42" s="19" t="s">
        <v>153</v>
      </c>
      <c r="E42" s="53">
        <v>2</v>
      </c>
      <c r="F42" s="63"/>
      <c r="G42" s="204">
        <v>2024</v>
      </c>
      <c r="H42" s="64"/>
      <c r="I42" s="30"/>
      <c r="J42" s="104"/>
      <c r="K42" s="17"/>
      <c r="L42" s="36"/>
      <c r="M42" s="17"/>
      <c r="N42" s="17"/>
      <c r="O42" s="205">
        <v>2024</v>
      </c>
      <c r="P42" s="95" t="s">
        <v>154</v>
      </c>
      <c r="Q42" s="96"/>
      <c r="R42" s="5"/>
    </row>
    <row r="43" spans="1:18" x14ac:dyDescent="0.2">
      <c r="A43" s="33"/>
      <c r="B43" s="275"/>
      <c r="C43" s="203"/>
      <c r="D43" s="65"/>
      <c r="E43" s="276"/>
      <c r="F43" s="119"/>
      <c r="G43" s="119"/>
      <c r="H43" s="277"/>
      <c r="I43" s="278"/>
      <c r="J43" s="279"/>
      <c r="K43" s="52"/>
      <c r="L43" s="47"/>
      <c r="M43" s="17"/>
      <c r="N43" s="17"/>
      <c r="O43" s="326"/>
      <c r="P43" s="327"/>
      <c r="Q43" s="328"/>
      <c r="R43" s="5"/>
    </row>
    <row r="44" spans="1:18" x14ac:dyDescent="0.2">
      <c r="A44" s="33"/>
      <c r="B44" s="37"/>
      <c r="C44" s="2"/>
      <c r="D44" s="3"/>
      <c r="E44" s="39"/>
      <c r="F44" s="14"/>
      <c r="G44" s="14"/>
      <c r="H44" s="23"/>
      <c r="I44" s="28"/>
      <c r="J44" s="28"/>
      <c r="K44" s="18"/>
      <c r="O44" s="19"/>
      <c r="P44" s="5"/>
      <c r="Q44" s="5"/>
      <c r="R44" s="5"/>
    </row>
    <row r="45" spans="1:18" x14ac:dyDescent="0.2">
      <c r="A45" s="33"/>
      <c r="B45" s="37" t="s">
        <v>66</v>
      </c>
      <c r="C45" s="2"/>
      <c r="D45" s="3"/>
      <c r="E45" s="39"/>
      <c r="F45" s="14"/>
      <c r="G45" s="14"/>
      <c r="H45" s="23"/>
      <c r="I45" s="28"/>
      <c r="J45" s="28"/>
      <c r="K45" s="18"/>
      <c r="O45" s="19"/>
      <c r="P45" s="5"/>
      <c r="Q45" s="5"/>
      <c r="R45" s="5"/>
    </row>
    <row r="46" spans="1:18" x14ac:dyDescent="0.2">
      <c r="A46" s="33"/>
      <c r="C46" s="2"/>
      <c r="D46" s="3" t="s">
        <v>62</v>
      </c>
      <c r="E46" s="110" t="s">
        <v>63</v>
      </c>
      <c r="F46" s="111" t="s">
        <v>64</v>
      </c>
      <c r="G46" s="111" t="s">
        <v>65</v>
      </c>
      <c r="H46" s="23" t="s">
        <v>67</v>
      </c>
      <c r="I46" s="28" t="s">
        <v>11</v>
      </c>
      <c r="J46" s="28"/>
      <c r="K46" s="18"/>
      <c r="O46" s="19"/>
      <c r="P46" s="5"/>
      <c r="Q46" s="5"/>
      <c r="R46" s="5"/>
    </row>
    <row r="47" spans="1:18" x14ac:dyDescent="0.2">
      <c r="A47" s="33"/>
      <c r="B47" s="37"/>
      <c r="C47" s="112" t="s">
        <v>4</v>
      </c>
      <c r="D47" s="113">
        <v>1</v>
      </c>
      <c r="E47" s="113">
        <v>1</v>
      </c>
      <c r="F47" s="113">
        <v>1</v>
      </c>
      <c r="G47" s="113">
        <v>1</v>
      </c>
      <c r="H47" s="114">
        <f>D47*E47*F47*G47</f>
        <v>1</v>
      </c>
      <c r="I47" s="115" t="s">
        <v>40</v>
      </c>
      <c r="J47" s="29"/>
      <c r="K47" s="18"/>
      <c r="O47" s="19"/>
      <c r="P47" s="5"/>
      <c r="Q47" s="5"/>
      <c r="R47" s="5"/>
    </row>
    <row r="48" spans="1:18" x14ac:dyDescent="0.2">
      <c r="A48" s="33"/>
      <c r="B48" s="37"/>
      <c r="C48" s="77" t="s">
        <v>0</v>
      </c>
      <c r="D48" s="63">
        <v>0.8</v>
      </c>
      <c r="E48" s="63">
        <v>0.8</v>
      </c>
      <c r="F48" s="116">
        <v>0.8</v>
      </c>
      <c r="G48" s="116">
        <v>0.8</v>
      </c>
      <c r="H48" s="117">
        <f t="shared" ref="H48:H49" si="0">D48*E48*F48*G48</f>
        <v>0.40960000000000013</v>
      </c>
      <c r="I48" s="14" t="s">
        <v>24</v>
      </c>
      <c r="J48" s="68"/>
      <c r="K48" s="18"/>
      <c r="L48" s="92"/>
      <c r="O48" s="19"/>
      <c r="P48" s="5"/>
      <c r="Q48" s="5"/>
      <c r="R48" s="5"/>
    </row>
    <row r="49" spans="1:23" x14ac:dyDescent="0.2">
      <c r="A49" s="33"/>
      <c r="B49" s="37"/>
      <c r="C49" s="118" t="s">
        <v>68</v>
      </c>
      <c r="D49" s="119">
        <v>0.7</v>
      </c>
      <c r="E49" s="119">
        <v>0.75</v>
      </c>
      <c r="F49" s="120">
        <v>0.7</v>
      </c>
      <c r="G49" s="120">
        <v>0.8</v>
      </c>
      <c r="H49" s="121">
        <f t="shared" si="0"/>
        <v>0.29399999999999998</v>
      </c>
      <c r="I49" s="122" t="s">
        <v>41</v>
      </c>
      <c r="J49" s="54"/>
      <c r="K49" s="18"/>
      <c r="L49" s="92"/>
      <c r="O49" s="19"/>
      <c r="P49" s="5"/>
      <c r="Q49" s="5"/>
      <c r="R49" s="5"/>
    </row>
    <row r="50" spans="1:23" x14ac:dyDescent="0.2">
      <c r="A50" s="33"/>
      <c r="E50"/>
      <c r="F50" s="1"/>
      <c r="H50" s="210"/>
      <c r="J50" s="24"/>
      <c r="M50" s="21"/>
      <c r="N50" s="21"/>
      <c r="O50" s="21"/>
      <c r="P50" s="32"/>
      <c r="Q50" s="32"/>
    </row>
    <row r="51" spans="1:23" ht="17" thickBot="1" x14ac:dyDescent="0.25">
      <c r="A51" s="15" t="s">
        <v>17</v>
      </c>
      <c r="E51"/>
      <c r="F51" s="1"/>
      <c r="J51" s="24"/>
      <c r="M51" s="21"/>
      <c r="N51" s="32"/>
      <c r="O51" s="5"/>
    </row>
    <row r="52" spans="1:23" ht="15" thickBot="1" x14ac:dyDescent="0.25">
      <c r="A52" s="33"/>
      <c r="B52" s="4" t="str">
        <f>CONCATENATE("Total Addressable Market ", projectedYear)</f>
        <v>Total Addressable Market 2024</v>
      </c>
      <c r="C52" s="4"/>
      <c r="D52" s="13"/>
      <c r="E52" s="74"/>
      <c r="F52" s="70"/>
      <c r="G52" s="70"/>
      <c r="J52" s="72"/>
      <c r="K52" s="73"/>
      <c r="L52" s="71"/>
      <c r="M52" s="71"/>
      <c r="N52" s="5"/>
      <c r="O52" s="5"/>
      <c r="U52" s="209" t="s">
        <v>139</v>
      </c>
      <c r="V52" s="250" t="s">
        <v>140</v>
      </c>
      <c r="W52" s="251" t="s">
        <v>141</v>
      </c>
    </row>
    <row r="53" spans="1:23" ht="15" thickBot="1" x14ac:dyDescent="0.25">
      <c r="F53" s="109"/>
      <c r="G53" s="72"/>
      <c r="J53" s="72"/>
      <c r="K53" s="73"/>
      <c r="L53" s="71"/>
      <c r="M53" s="93"/>
      <c r="O53" s="76" t="s">
        <v>57</v>
      </c>
      <c r="P53" s="78"/>
      <c r="Q53" s="76" t="s">
        <v>52</v>
      </c>
      <c r="U53" s="206" t="s">
        <v>138</v>
      </c>
      <c r="V53" s="246">
        <f>tam_sweetSpot</f>
        <v>5360</v>
      </c>
      <c r="W53" s="247">
        <v>1</v>
      </c>
    </row>
    <row r="54" spans="1:23" ht="15" thickBot="1" x14ac:dyDescent="0.25">
      <c r="C54" s="5" t="s">
        <v>157</v>
      </c>
      <c r="D54" s="1" t="s">
        <v>84</v>
      </c>
      <c r="E54" s="266">
        <f>tam_sweetSpot</f>
        <v>5360</v>
      </c>
      <c r="F54" s="140" t="s">
        <v>89</v>
      </c>
      <c r="G54" s="72"/>
      <c r="I54" s="105" t="s">
        <v>103</v>
      </c>
      <c r="J54" s="72"/>
      <c r="K54" s="73"/>
      <c r="L54" s="71"/>
      <c r="M54" s="76" t="s">
        <v>56</v>
      </c>
      <c r="N54" s="94" t="s">
        <v>55</v>
      </c>
      <c r="O54" s="76" t="s">
        <v>9</v>
      </c>
      <c r="P54" s="76" t="s">
        <v>80</v>
      </c>
      <c r="Q54" s="76" t="s">
        <v>80</v>
      </c>
      <c r="U54" s="207" t="s">
        <v>67</v>
      </c>
      <c r="V54" s="248">
        <f>tam_total</f>
        <v>11081</v>
      </c>
      <c r="W54" s="249">
        <v>0</v>
      </c>
    </row>
    <row r="55" spans="1:23" ht="15" thickBot="1" x14ac:dyDescent="0.25">
      <c r="C55" s="107"/>
      <c r="D55" s="111"/>
      <c r="E55" s="125"/>
      <c r="F55" s="71"/>
      <c r="G55" s="72"/>
      <c r="I55" s="72"/>
      <c r="J55" s="72"/>
      <c r="K55" s="73"/>
      <c r="L55" s="71"/>
      <c r="N55" s="71"/>
      <c r="O55" s="70"/>
      <c r="P55" s="102"/>
      <c r="S55" s="5"/>
    </row>
    <row r="56" spans="1:23" ht="15" thickBot="1" x14ac:dyDescent="0.25">
      <c r="C56" s="107" t="s">
        <v>85</v>
      </c>
      <c r="D56" s="1" t="s">
        <v>84</v>
      </c>
      <c r="E56" s="265">
        <f>tam_total</f>
        <v>11081</v>
      </c>
      <c r="F56" s="141" t="s">
        <v>90</v>
      </c>
      <c r="G56" s="72"/>
      <c r="J56" s="72"/>
      <c r="K56" s="73"/>
      <c r="L56" s="86" t="s">
        <v>43</v>
      </c>
      <c r="M56" s="126">
        <f>L57*K59*J61*I63</f>
        <v>1.2042240000000003E-2</v>
      </c>
      <c r="N56" s="71">
        <f>SweetspotTAM*KingMktShare</f>
        <v>1608</v>
      </c>
      <c r="O56" s="71">
        <f>N56*SalesMult</f>
        <v>8040</v>
      </c>
      <c r="P56" s="103">
        <f>IF(Investment=0,0,exitValue*ownershipAtExit/Investment)</f>
        <v>267.99999999999994</v>
      </c>
      <c r="Q56" s="98">
        <f>M56*P56</f>
        <v>3.22732032</v>
      </c>
      <c r="S56" s="143"/>
    </row>
    <row r="57" spans="1:23" x14ac:dyDescent="0.2">
      <c r="E57" s="123"/>
      <c r="F57" s="71"/>
      <c r="G57" s="72"/>
      <c r="I57" s="72"/>
      <c r="J57" s="72"/>
      <c r="K57" s="73"/>
      <c r="L57" s="262">
        <f>KingChance</f>
        <v>0.1</v>
      </c>
      <c r="M57" s="92"/>
      <c r="N57" s="71"/>
      <c r="O57" s="71"/>
      <c r="P57" s="103"/>
      <c r="U57" s="5" t="s">
        <v>142</v>
      </c>
      <c r="V57" s="132" t="s">
        <v>18</v>
      </c>
      <c r="W57" s="208">
        <f>SUMPRODUCT(V53:V54,W53:W54)</f>
        <v>5360</v>
      </c>
    </row>
    <row r="58" spans="1:23" x14ac:dyDescent="0.2">
      <c r="B58" s="4" t="s">
        <v>29</v>
      </c>
      <c r="D58"/>
      <c r="E58"/>
      <c r="F58" s="71"/>
      <c r="G58" s="72"/>
      <c r="I58" s="72"/>
      <c r="J58" s="72"/>
      <c r="K58" s="84" t="s">
        <v>6</v>
      </c>
      <c r="L58" s="87" t="s">
        <v>44</v>
      </c>
      <c r="M58" s="126">
        <f>I63*J61*K59*L59</f>
        <v>3.6126720000000008E-2</v>
      </c>
      <c r="N58" s="71">
        <f>SweetspotTAM*PrinceMktShare</f>
        <v>1072</v>
      </c>
      <c r="O58" s="71">
        <f>N58*SalesMult</f>
        <v>5360</v>
      </c>
      <c r="P58" s="103">
        <f>IF(Investment=0,0,exitValue*ownershipAtExit/Investment)</f>
        <v>178.66666666666663</v>
      </c>
      <c r="Q58" s="98">
        <f>M58*P58</f>
        <v>6.45464064</v>
      </c>
      <c r="S58" s="5"/>
      <c r="W58" s="208"/>
    </row>
    <row r="59" spans="1:23" x14ac:dyDescent="0.2">
      <c r="B59"/>
      <c r="C59" t="s">
        <v>30</v>
      </c>
      <c r="D59" s="1" t="s">
        <v>18</v>
      </c>
      <c r="E59" s="76">
        <f>Investment</f>
        <v>0.5</v>
      </c>
      <c r="F59" s="71"/>
      <c r="G59" s="72"/>
      <c r="I59" s="72"/>
      <c r="J59" s="72"/>
      <c r="K59" s="260">
        <f>MainstreamSuccess</f>
        <v>0.29399999999999998</v>
      </c>
      <c r="L59" s="262">
        <f>PrinceChance</f>
        <v>0.3</v>
      </c>
      <c r="M59" s="92"/>
      <c r="N59" s="71"/>
      <c r="O59" s="71"/>
      <c r="P59" s="103"/>
      <c r="Q59" s="4"/>
      <c r="S59" s="144"/>
      <c r="U59" s="5" t="s">
        <v>85</v>
      </c>
      <c r="V59" s="132" t="s">
        <v>18</v>
      </c>
      <c r="W59" s="208">
        <f>SUM(V53:V54)</f>
        <v>16441</v>
      </c>
    </row>
    <row r="60" spans="1:23" x14ac:dyDescent="0.2">
      <c r="B60"/>
      <c r="C60" t="s">
        <v>31</v>
      </c>
      <c r="D60" s="1" t="s">
        <v>18</v>
      </c>
      <c r="E60" s="76">
        <f>InitialRoundSize</f>
        <v>2</v>
      </c>
      <c r="F60" s="71"/>
      <c r="G60" s="72"/>
      <c r="I60" s="72"/>
      <c r="J60" s="81" t="s">
        <v>0</v>
      </c>
      <c r="K60" s="83"/>
      <c r="L60" s="87" t="s">
        <v>51</v>
      </c>
      <c r="M60" s="126">
        <f>I63*J61*K59*L61</f>
        <v>7.2253440000000016E-2</v>
      </c>
      <c r="N60" s="71">
        <f>SweetspotTAM*SerfMktShare</f>
        <v>107.2</v>
      </c>
      <c r="O60" s="71">
        <f>N60*SalesMult</f>
        <v>536</v>
      </c>
      <c r="P60" s="103">
        <f>IF(Investment=0,0,exitValue*ownershipAtExit/Investment)</f>
        <v>17.866666666666664</v>
      </c>
      <c r="Q60" s="98">
        <f>M60*P60</f>
        <v>1.290928128</v>
      </c>
    </row>
    <row r="61" spans="1:23" x14ac:dyDescent="0.2">
      <c r="B61"/>
      <c r="C61" t="s">
        <v>37</v>
      </c>
      <c r="D61" s="1" t="s">
        <v>18</v>
      </c>
      <c r="E61" s="127">
        <f>PreMoneyValue</f>
        <v>4</v>
      </c>
      <c r="F61" s="71"/>
      <c r="G61" s="72"/>
      <c r="I61" s="72"/>
      <c r="J61" s="258">
        <f>CrossChasm</f>
        <v>0.40960000000000013</v>
      </c>
      <c r="K61" s="83"/>
      <c r="L61" s="261">
        <f>1-L59-L57</f>
        <v>0.6</v>
      </c>
      <c r="M61" s="92"/>
      <c r="N61" s="71"/>
      <c r="O61" s="71"/>
      <c r="P61" s="102"/>
      <c r="Q61" s="4"/>
    </row>
    <row r="62" spans="1:23" x14ac:dyDescent="0.2">
      <c r="B62"/>
      <c r="C62" t="s">
        <v>32</v>
      </c>
      <c r="D62" s="1" t="s">
        <v>18</v>
      </c>
      <c r="E62" s="76">
        <f>E60+E61</f>
        <v>6</v>
      </c>
      <c r="F62" s="4"/>
      <c r="G62" s="72"/>
      <c r="I62" s="90" t="s">
        <v>4</v>
      </c>
      <c r="J62" s="79"/>
      <c r="K62" s="85" t="s">
        <v>5</v>
      </c>
      <c r="L62" s="88"/>
      <c r="M62" s="92">
        <f>I63*J61*K63</f>
        <v>0.28917760000000009</v>
      </c>
      <c r="N62" s="71">
        <f>SweetspotTAM*NicheSize*NicheMarketShare</f>
        <v>17.152000000000001</v>
      </c>
      <c r="O62" s="71">
        <f>N62*SalesMult*NicheMultDisc</f>
        <v>42.88</v>
      </c>
      <c r="P62" s="103">
        <f>IF(Investment=0,0,exitValue*NicheOwnershipAtExit/Investment)</f>
        <v>2.8586666666666667</v>
      </c>
      <c r="Q62" s="98">
        <f>M62*P62</f>
        <v>0.82666236586666697</v>
      </c>
    </row>
    <row r="63" spans="1:23" x14ac:dyDescent="0.2">
      <c r="C63" s="5"/>
      <c r="D63" s="6"/>
      <c r="E63" s="128"/>
      <c r="F63" s="4"/>
      <c r="G63" s="72"/>
      <c r="I63" s="256">
        <f>EarlySuccess</f>
        <v>1</v>
      </c>
      <c r="J63" s="80"/>
      <c r="K63" s="259">
        <f>1-MainstreamSuccess</f>
        <v>0.70599999999999996</v>
      </c>
      <c r="L63" s="71"/>
      <c r="M63" s="92"/>
      <c r="N63" s="71"/>
      <c r="O63" s="71"/>
      <c r="P63" s="102"/>
      <c r="Q63" s="4"/>
    </row>
    <row r="64" spans="1:23" x14ac:dyDescent="0.2">
      <c r="B64"/>
      <c r="C64" t="s">
        <v>33</v>
      </c>
      <c r="D64" s="1" t="s">
        <v>19</v>
      </c>
      <c r="E64" s="129">
        <f>IF(E62=0,0,E59/E62)</f>
        <v>8.3333333333333329E-2</v>
      </c>
      <c r="F64" s="4"/>
      <c r="G64" s="72"/>
      <c r="I64" s="79"/>
      <c r="J64" s="82" t="s">
        <v>54</v>
      </c>
      <c r="K64" s="89"/>
      <c r="L64" s="88"/>
      <c r="M64" s="92">
        <f>I63*J65</f>
        <v>0.59039999999999981</v>
      </c>
      <c r="N64" s="71">
        <v>0</v>
      </c>
      <c r="O64" s="71">
        <v>0</v>
      </c>
      <c r="P64" s="102">
        <v>0</v>
      </c>
      <c r="Q64" s="98">
        <f>M64*P64</f>
        <v>0</v>
      </c>
    </row>
    <row r="65" spans="2:22" x14ac:dyDescent="0.2">
      <c r="B65"/>
      <c r="C65" t="s">
        <v>38</v>
      </c>
      <c r="D65" s="1" t="s">
        <v>19</v>
      </c>
      <c r="E65" s="130">
        <f>Dilution</f>
        <v>0.8</v>
      </c>
      <c r="F65" s="71"/>
      <c r="G65" s="72"/>
      <c r="I65" s="91"/>
      <c r="J65" s="257">
        <f>1-CrossChasm</f>
        <v>0.59039999999999981</v>
      </c>
      <c r="K65" s="73"/>
      <c r="L65" s="71"/>
      <c r="M65" s="92"/>
      <c r="N65" s="71"/>
      <c r="O65" s="71"/>
      <c r="P65" s="102"/>
      <c r="Q65" s="4"/>
    </row>
    <row r="66" spans="2:22" x14ac:dyDescent="0.2">
      <c r="B66"/>
      <c r="C66" t="s">
        <v>39</v>
      </c>
      <c r="D66" s="1" t="s">
        <v>19</v>
      </c>
      <c r="E66" s="129">
        <f>E64*(1-E65)</f>
        <v>1.6666666666666663E-2</v>
      </c>
      <c r="F66" s="71"/>
      <c r="G66" s="72"/>
      <c r="I66" s="79"/>
      <c r="J66" s="72"/>
      <c r="K66" s="73"/>
      <c r="L66" s="71"/>
      <c r="M66" s="92"/>
      <c r="N66" s="71"/>
      <c r="O66" s="71"/>
      <c r="P66" s="102"/>
      <c r="Q66" s="4"/>
    </row>
    <row r="67" spans="2:22" x14ac:dyDescent="0.2">
      <c r="C67" t="s">
        <v>49</v>
      </c>
      <c r="D67" s="6"/>
      <c r="E67" s="131">
        <f>E64*(1-NicheDilution)</f>
        <v>3.3333333333333333E-2</v>
      </c>
      <c r="F67" s="255"/>
      <c r="G67" s="72"/>
      <c r="I67" s="82" t="s">
        <v>3</v>
      </c>
      <c r="J67" s="81"/>
      <c r="K67" s="89"/>
      <c r="L67" s="88"/>
      <c r="M67" s="92">
        <f>I68</f>
        <v>0</v>
      </c>
      <c r="N67" s="71">
        <v>0</v>
      </c>
      <c r="O67" s="71">
        <v>0</v>
      </c>
      <c r="P67" s="102">
        <v>0</v>
      </c>
      <c r="Q67" s="98">
        <f>M67*P67</f>
        <v>0</v>
      </c>
    </row>
    <row r="68" spans="2:22" x14ac:dyDescent="0.2">
      <c r="C68" s="5"/>
      <c r="D68" s="6"/>
      <c r="E68" s="132"/>
      <c r="G68" s="72"/>
      <c r="I68" s="257">
        <f>1-EarlySuccess</f>
        <v>0</v>
      </c>
      <c r="J68" s="72"/>
      <c r="K68" s="73"/>
      <c r="L68" s="71"/>
      <c r="M68" s="71"/>
      <c r="N68" s="70"/>
      <c r="O68" s="70"/>
      <c r="P68" s="70"/>
      <c r="Q68" s="4"/>
    </row>
    <row r="69" spans="2:22" x14ac:dyDescent="0.2">
      <c r="C69" t="s">
        <v>45</v>
      </c>
      <c r="D69" s="1" t="s">
        <v>46</v>
      </c>
      <c r="E69" s="106">
        <f>SweetspotTAM*NicheSize</f>
        <v>857.6</v>
      </c>
      <c r="G69" s="72"/>
      <c r="I69" s="72"/>
      <c r="J69" s="72"/>
      <c r="K69" s="73"/>
      <c r="L69" s="71"/>
      <c r="M69" s="192">
        <f>SUM(M56:M67)</f>
        <v>1</v>
      </c>
      <c r="N69" s="193"/>
      <c r="O69" s="193"/>
      <c r="P69" s="188"/>
      <c r="Q69" s="194">
        <f t="array" ref="Q69">SUM(M56:M67*P56:P67)</f>
        <v>11.799551453866666</v>
      </c>
      <c r="U69" s="221" t="s">
        <v>146</v>
      </c>
      <c r="V69" s="222">
        <f>0</f>
        <v>0</v>
      </c>
    </row>
    <row r="70" spans="2:22" x14ac:dyDescent="0.2">
      <c r="G70" s="72"/>
      <c r="I70" s="99"/>
      <c r="J70" s="99"/>
      <c r="K70" s="100"/>
      <c r="L70" s="101"/>
      <c r="M70" s="145" t="s">
        <v>133</v>
      </c>
      <c r="N70" s="4"/>
      <c r="Q70" s="98">
        <f>IF(SUM(M56:M62)=0,0,Q69/SUM(M56:M62))</f>
        <v>28.807498666666657</v>
      </c>
      <c r="U70" s="223" t="s">
        <v>147</v>
      </c>
      <c r="V70" s="224">
        <f>I63*J65</f>
        <v>0.59039999999999981</v>
      </c>
    </row>
    <row r="71" spans="2:22" x14ac:dyDescent="0.2">
      <c r="H71" s="3"/>
      <c r="I71" s="99"/>
      <c r="J71" s="99"/>
      <c r="K71" s="100"/>
      <c r="L71" s="101"/>
      <c r="M71" s="145" t="s">
        <v>135</v>
      </c>
      <c r="N71" s="70"/>
      <c r="O71" s="70"/>
      <c r="P71" s="70"/>
      <c r="Q71" s="252">
        <f>IF(SUM(M56:M60)=0,0,SUM(Q56:Q60)/SUM(M56:M60))</f>
        <v>91.119999999999976</v>
      </c>
      <c r="U71" s="223" t="s">
        <v>148</v>
      </c>
      <c r="V71" s="225">
        <f>0</f>
        <v>0</v>
      </c>
    </row>
    <row r="72" spans="2:22" x14ac:dyDescent="0.2">
      <c r="H72" s="107"/>
      <c r="I72" s="99"/>
      <c r="J72" s="99"/>
      <c r="K72" s="100"/>
      <c r="L72" s="101"/>
      <c r="M72" s="200" t="s">
        <v>136</v>
      </c>
      <c r="N72" s="145"/>
      <c r="O72" s="145"/>
      <c r="P72" s="201"/>
      <c r="Q72" s="253">
        <f>SUM(M56:M62)</f>
        <v>0.40960000000000013</v>
      </c>
      <c r="U72" s="226" t="s">
        <v>149</v>
      </c>
      <c r="V72" s="227">
        <f>M67</f>
        <v>0</v>
      </c>
    </row>
    <row r="73" spans="2:22" x14ac:dyDescent="0.2">
      <c r="H73" s="107"/>
      <c r="I73" s="99"/>
      <c r="J73" s="99"/>
      <c r="K73" s="100"/>
      <c r="L73" s="101"/>
      <c r="M73" s="200" t="s">
        <v>137</v>
      </c>
      <c r="N73" s="145"/>
      <c r="O73" s="145"/>
      <c r="P73" s="201"/>
      <c r="Q73" s="253">
        <f>SUM(M56:M60)</f>
        <v>0.12042240000000003</v>
      </c>
    </row>
    <row r="74" spans="2:22" x14ac:dyDescent="0.2">
      <c r="H74" s="19"/>
      <c r="I74" s="99"/>
      <c r="J74" s="99"/>
      <c r="K74" s="100"/>
      <c r="L74" s="101"/>
      <c r="M74" s="159" t="s">
        <v>145</v>
      </c>
      <c r="N74" s="70"/>
      <c r="O74" s="70"/>
      <c r="P74" s="70"/>
      <c r="Q74" s="254">
        <f>pFailCrossChasm</f>
        <v>0.59039999999999981</v>
      </c>
    </row>
    <row r="75" spans="2:22" x14ac:dyDescent="0.2">
      <c r="H75" s="107"/>
      <c r="I75" s="19"/>
      <c r="J75" s="135"/>
      <c r="K75" s="138"/>
      <c r="L75" s="138"/>
      <c r="M75" s="220" t="s">
        <v>150</v>
      </c>
      <c r="N75" s="5"/>
      <c r="O75" s="5"/>
      <c r="P75" s="5"/>
      <c r="Q75" s="92">
        <f>pFailEarlyStage</f>
        <v>0</v>
      </c>
    </row>
    <row r="76" spans="2:22" x14ac:dyDescent="0.2">
      <c r="G76" s="72"/>
      <c r="H76" s="19"/>
      <c r="I76" s="19"/>
      <c r="J76" s="135"/>
      <c r="K76" s="138"/>
      <c r="L76" s="138"/>
      <c r="M76" s="220"/>
      <c r="N76" s="5"/>
      <c r="O76" s="5"/>
      <c r="P76" s="5"/>
      <c r="Q76" s="92"/>
    </row>
    <row r="77" spans="2:22" x14ac:dyDescent="0.2">
      <c r="G77" s="72"/>
      <c r="H77" s="19"/>
      <c r="I77" s="19"/>
      <c r="J77" s="135"/>
      <c r="K77" s="138"/>
      <c r="L77" s="138"/>
      <c r="M77" s="220"/>
      <c r="N77" s="5"/>
      <c r="O77" s="5"/>
      <c r="P77" s="5"/>
      <c r="Q77" s="92"/>
    </row>
    <row r="78" spans="2:22" x14ac:dyDescent="0.2">
      <c r="G78" s="72"/>
      <c r="H78" s="19"/>
      <c r="J78" s="72"/>
      <c r="K78" s="73"/>
      <c r="L78" s="71"/>
      <c r="M78" s="93"/>
      <c r="O78" s="76" t="s">
        <v>57</v>
      </c>
      <c r="P78" s="78"/>
      <c r="Q78" s="76" t="s">
        <v>52</v>
      </c>
    </row>
    <row r="79" spans="2:22" x14ac:dyDescent="0.2">
      <c r="G79" s="72"/>
      <c r="H79" s="19"/>
      <c r="I79" s="105" t="s">
        <v>88</v>
      </c>
      <c r="J79" s="72"/>
      <c r="K79" s="73"/>
      <c r="L79" s="71"/>
      <c r="M79" s="76" t="s">
        <v>56</v>
      </c>
      <c r="N79" s="94" t="s">
        <v>55</v>
      </c>
      <c r="O79" s="76" t="s">
        <v>9</v>
      </c>
      <c r="P79" s="76" t="s">
        <v>80</v>
      </c>
      <c r="Q79" s="76" t="s">
        <v>80</v>
      </c>
    </row>
    <row r="80" spans="2:22" x14ac:dyDescent="0.2">
      <c r="H80" s="19"/>
      <c r="I80" s="72"/>
      <c r="J80" s="72"/>
      <c r="K80" s="73"/>
      <c r="L80" s="71"/>
      <c r="N80" s="71"/>
      <c r="O80" s="70"/>
      <c r="P80" s="102"/>
    </row>
    <row r="81" spans="8:17" x14ac:dyDescent="0.2">
      <c r="H81" s="19"/>
      <c r="J81" s="72"/>
      <c r="K81" s="73"/>
      <c r="L81" s="86" t="s">
        <v>43</v>
      </c>
      <c r="M81" s="126">
        <f>L82*K84*J86*I88</f>
        <v>1.2042240000000003E-2</v>
      </c>
      <c r="N81" s="71">
        <f>TotalTAM*KingMktShare</f>
        <v>3324.2999999999997</v>
      </c>
      <c r="O81" s="71">
        <f>N81*SalesMult</f>
        <v>16621.5</v>
      </c>
      <c r="P81" s="103">
        <f>IF(Investment=0,0,O81*ownershipAtExit/Investment)</f>
        <v>554.04999999999984</v>
      </c>
      <c r="Q81" s="98">
        <f>M81*P81</f>
        <v>6.6720030719999999</v>
      </c>
    </row>
    <row r="82" spans="8:17" x14ac:dyDescent="0.2">
      <c r="H82" s="19"/>
      <c r="I82" s="72"/>
      <c r="J82" s="72"/>
      <c r="K82" s="73"/>
      <c r="L82" s="262">
        <f>KingChance</f>
        <v>0.1</v>
      </c>
      <c r="M82" s="92"/>
      <c r="N82" s="71"/>
      <c r="O82" s="71"/>
      <c r="P82" s="103"/>
    </row>
    <row r="83" spans="8:17" x14ac:dyDescent="0.2">
      <c r="H83" s="19"/>
      <c r="I83" s="72"/>
      <c r="J83" s="72"/>
      <c r="K83" s="84" t="s">
        <v>6</v>
      </c>
      <c r="L83" s="87" t="s">
        <v>44</v>
      </c>
      <c r="M83" s="126">
        <f>I88*J86*K84*L84</f>
        <v>3.6126720000000008E-2</v>
      </c>
      <c r="N83" s="71">
        <f>TotalTAM*PrinceMktShare</f>
        <v>2216.2000000000003</v>
      </c>
      <c r="O83" s="71">
        <f>N83*SalesMult</f>
        <v>11081.000000000002</v>
      </c>
      <c r="P83" s="103">
        <f>IF(Investment=0,0,O83*ownershipAtExit/Investment)</f>
        <v>369.36666666666662</v>
      </c>
      <c r="Q83" s="98">
        <f>M83*P83</f>
        <v>13.344006144000002</v>
      </c>
    </row>
    <row r="84" spans="8:17" x14ac:dyDescent="0.2">
      <c r="H84" s="6"/>
      <c r="I84" s="72"/>
      <c r="J84" s="72"/>
      <c r="K84" s="260">
        <f>MainstreamSuccess</f>
        <v>0.29399999999999998</v>
      </c>
      <c r="L84" s="262">
        <f>PrinceChance</f>
        <v>0.3</v>
      </c>
      <c r="M84" s="92"/>
      <c r="N84" s="71"/>
      <c r="O84" s="71"/>
      <c r="P84" s="103"/>
      <c r="Q84" s="4"/>
    </row>
    <row r="85" spans="8:17" x14ac:dyDescent="0.2">
      <c r="H85" s="6"/>
      <c r="I85" s="72"/>
      <c r="J85" s="81" t="s">
        <v>0</v>
      </c>
      <c r="K85" s="83"/>
      <c r="L85" s="87" t="s">
        <v>51</v>
      </c>
      <c r="M85" s="126">
        <f>I88*J86*K84*L86</f>
        <v>7.2253440000000016E-2</v>
      </c>
      <c r="N85" s="71">
        <f>TotalTAM*SerfMktShare</f>
        <v>221.62</v>
      </c>
      <c r="O85" s="71">
        <f>N85*SalesMult</f>
        <v>1108.0999999999999</v>
      </c>
      <c r="P85" s="103">
        <f>IF(Investment=0,0,O85*ownershipAtExit/Investment)</f>
        <v>36.936666666666653</v>
      </c>
      <c r="Q85" s="98">
        <f>M85*P85</f>
        <v>2.6688012287999996</v>
      </c>
    </row>
    <row r="86" spans="8:17" x14ac:dyDescent="0.2">
      <c r="H86" s="6"/>
      <c r="I86" s="72"/>
      <c r="J86" s="258">
        <f>CrossChasm</f>
        <v>0.40960000000000013</v>
      </c>
      <c r="K86" s="83"/>
      <c r="L86" s="261">
        <f>1-L84-L82</f>
        <v>0.6</v>
      </c>
      <c r="M86" s="92"/>
      <c r="N86" s="71"/>
      <c r="O86" s="71"/>
      <c r="P86" s="102"/>
      <c r="Q86" s="4"/>
    </row>
    <row r="87" spans="8:17" x14ac:dyDescent="0.2">
      <c r="H87" s="6"/>
      <c r="I87" s="90" t="s">
        <v>4</v>
      </c>
      <c r="J87" s="79"/>
      <c r="K87" s="85" t="s">
        <v>5</v>
      </c>
      <c r="L87" s="88"/>
      <c r="M87" s="92">
        <f>I88*J86*K88</f>
        <v>0.28917760000000009</v>
      </c>
      <c r="N87" s="71">
        <f>SweetspotTAM*NicheSize*NicheMarketShare</f>
        <v>17.152000000000001</v>
      </c>
      <c r="O87" s="71">
        <f>N87*SalesMult*NicheMultDisc</f>
        <v>42.88</v>
      </c>
      <c r="P87" s="103">
        <f>IF(Investment=0,0,NicheOwnershipAtExit*O87/Investment)</f>
        <v>2.8586666666666667</v>
      </c>
      <c r="Q87" s="98">
        <f>M87*P87</f>
        <v>0.82666236586666697</v>
      </c>
    </row>
    <row r="88" spans="8:17" x14ac:dyDescent="0.2">
      <c r="H88" s="6"/>
      <c r="I88" s="256">
        <f>EarlySuccess</f>
        <v>1</v>
      </c>
      <c r="J88" s="80"/>
      <c r="K88" s="259">
        <f>1-MainstreamSuccess</f>
        <v>0.70599999999999996</v>
      </c>
      <c r="L88" s="71"/>
      <c r="M88" s="92"/>
      <c r="N88" s="71"/>
      <c r="O88" s="71"/>
      <c r="P88" s="102"/>
      <c r="Q88" s="4"/>
    </row>
    <row r="89" spans="8:17" x14ac:dyDescent="0.2">
      <c r="H89" s="6"/>
      <c r="I89" s="79"/>
      <c r="J89" s="82" t="s">
        <v>54</v>
      </c>
      <c r="K89" s="89"/>
      <c r="L89" s="88"/>
      <c r="M89" s="92">
        <f>I88*J90</f>
        <v>0.59039999999999981</v>
      </c>
      <c r="N89" s="71">
        <v>0</v>
      </c>
      <c r="O89" s="71">
        <v>0</v>
      </c>
      <c r="P89" s="102">
        <v>0</v>
      </c>
      <c r="Q89" s="98">
        <f>M89*P89</f>
        <v>0</v>
      </c>
    </row>
    <row r="90" spans="8:17" x14ac:dyDescent="0.2">
      <c r="H90" s="6"/>
      <c r="I90" s="91"/>
      <c r="J90" s="257">
        <f>1-CrossChasm</f>
        <v>0.59039999999999981</v>
      </c>
      <c r="K90" s="73"/>
      <c r="L90" s="71"/>
      <c r="M90" s="92"/>
      <c r="N90" s="71"/>
      <c r="O90" s="71"/>
      <c r="P90" s="102"/>
      <c r="Q90" s="4"/>
    </row>
    <row r="91" spans="8:17" x14ac:dyDescent="0.2">
      <c r="H91" s="6"/>
      <c r="I91" s="79"/>
      <c r="J91" s="72"/>
      <c r="K91" s="73"/>
      <c r="L91" s="71"/>
      <c r="M91" s="92"/>
      <c r="N91" s="71"/>
      <c r="O91" s="71"/>
      <c r="P91" s="102"/>
      <c r="Q91" s="4"/>
    </row>
    <row r="92" spans="8:17" x14ac:dyDescent="0.2">
      <c r="H92" s="6"/>
      <c r="I92" s="82" t="s">
        <v>3</v>
      </c>
      <c r="J92" s="81"/>
      <c r="K92" s="89"/>
      <c r="L92" s="88"/>
      <c r="M92" s="92">
        <f>I93</f>
        <v>0</v>
      </c>
      <c r="N92" s="71">
        <v>0</v>
      </c>
      <c r="O92" s="71">
        <v>0</v>
      </c>
      <c r="P92" s="102">
        <v>0</v>
      </c>
      <c r="Q92" s="98">
        <f>M92*P92</f>
        <v>0</v>
      </c>
    </row>
    <row r="93" spans="8:17" x14ac:dyDescent="0.2">
      <c r="I93" s="257">
        <f>1-EarlySuccess</f>
        <v>0</v>
      </c>
      <c r="J93" s="72"/>
      <c r="K93" s="73"/>
      <c r="L93" s="71"/>
      <c r="M93" s="71"/>
      <c r="N93" s="70"/>
      <c r="O93" s="70"/>
      <c r="P93" s="70"/>
      <c r="Q93" s="4"/>
    </row>
    <row r="94" spans="8:17" x14ac:dyDescent="0.2">
      <c r="I94" s="72"/>
      <c r="J94" s="72"/>
      <c r="K94" s="73"/>
      <c r="L94" s="71"/>
      <c r="M94" s="192">
        <f>SUM(M81:M92)</f>
        <v>1</v>
      </c>
      <c r="N94" s="193"/>
      <c r="O94" s="193"/>
      <c r="P94" s="188"/>
      <c r="Q94" s="194">
        <f t="array" ref="Q94">SUM(M81:M92*P81:P92)</f>
        <v>23.511472810666667</v>
      </c>
    </row>
    <row r="95" spans="8:17" x14ac:dyDescent="0.2">
      <c r="I95" s="6"/>
      <c r="J95" s="26"/>
      <c r="K95" s="5"/>
      <c r="L95" s="5"/>
      <c r="M95" s="145" t="s">
        <v>133</v>
      </c>
      <c r="N95" s="4"/>
      <c r="Q95" s="98">
        <f>IF(SUM(M81:M87)=0,0,Q94/SUM(M81:M87))</f>
        <v>57.401056666666648</v>
      </c>
    </row>
    <row r="96" spans="8:17" x14ac:dyDescent="0.2">
      <c r="I96" s="6"/>
      <c r="J96" s="26"/>
      <c r="K96" s="5"/>
      <c r="L96" s="5"/>
      <c r="M96" s="145" t="s">
        <v>135</v>
      </c>
      <c r="N96" s="70"/>
      <c r="O96" s="70"/>
      <c r="P96" s="70"/>
      <c r="Q96" s="252">
        <f>IF(SUM(M81:M85)=0,0,Q94/SUM(M81:M85))</f>
        <v>195.24168934240359</v>
      </c>
    </row>
    <row r="97" spans="9:17" x14ac:dyDescent="0.2">
      <c r="I97" s="6"/>
      <c r="J97" s="26"/>
      <c r="K97" s="5"/>
      <c r="L97" s="5"/>
      <c r="M97" s="200" t="s">
        <v>136</v>
      </c>
      <c r="N97" s="145"/>
      <c r="O97" s="145"/>
      <c r="P97" s="201"/>
      <c r="Q97" s="253">
        <f>SUM(M81:M87)</f>
        <v>0.40960000000000013</v>
      </c>
    </row>
    <row r="98" spans="9:17" x14ac:dyDescent="0.2">
      <c r="J98" s="26"/>
      <c r="K98" s="5"/>
      <c r="L98" s="5"/>
      <c r="M98" s="200" t="s">
        <v>137</v>
      </c>
      <c r="N98" s="145"/>
      <c r="O98" s="145"/>
      <c r="P98" s="201"/>
      <c r="Q98" s="253">
        <f>SUM(M81:M85)</f>
        <v>0.12042240000000003</v>
      </c>
    </row>
    <row r="99" spans="9:17" x14ac:dyDescent="0.2">
      <c r="J99" s="26"/>
      <c r="K99" s="5"/>
      <c r="L99" s="5"/>
      <c r="M99" s="159" t="s">
        <v>145</v>
      </c>
      <c r="N99" s="70"/>
      <c r="O99" s="70"/>
      <c r="P99" s="70"/>
      <c r="Q99" s="254">
        <f>pFailCrossChasm</f>
        <v>0.59039999999999981</v>
      </c>
    </row>
    <row r="100" spans="9:17" x14ac:dyDescent="0.2">
      <c r="J100" s="26"/>
      <c r="K100" s="5"/>
      <c r="L100" s="5"/>
      <c r="M100" s="220" t="s">
        <v>150</v>
      </c>
      <c r="N100" s="5"/>
      <c r="O100" s="5"/>
      <c r="P100" s="5"/>
      <c r="Q100" s="92">
        <f>pFailEarlyStage</f>
        <v>0</v>
      </c>
    </row>
    <row r="101" spans="9:17" x14ac:dyDescent="0.2">
      <c r="J101" s="26"/>
      <c r="K101" s="5"/>
      <c r="L101" s="5"/>
      <c r="M101" s="5"/>
      <c r="N101" s="5"/>
      <c r="O101" s="5"/>
      <c r="P101" s="5"/>
    </row>
    <row r="102" spans="9:17" x14ac:dyDescent="0.2">
      <c r="J102" s="26"/>
      <c r="K102" s="5"/>
      <c r="L102" s="5"/>
      <c r="M102" s="5"/>
      <c r="N102" s="5"/>
      <c r="O102" s="5"/>
      <c r="P102" s="5"/>
    </row>
    <row r="103" spans="9:17" x14ac:dyDescent="0.2">
      <c r="J103" s="26"/>
      <c r="K103" s="5"/>
      <c r="L103" s="5"/>
      <c r="M103" s="5"/>
      <c r="N103" s="5"/>
      <c r="O103" s="5"/>
      <c r="P103" s="5"/>
    </row>
  </sheetData>
  <dataConsolidate/>
  <phoneticPr fontId="0" type="noConversion"/>
  <conditionalFormatting sqref="G50:G51 G18:G25 G36:G44">
    <cfRule type="expression" dxfId="25" priority="0" stopIfTrue="1">
      <formula>IF($E18=2, TRUE, FALSE)</formula>
    </cfRule>
  </conditionalFormatting>
  <conditionalFormatting sqref="F50:F51 F18:F25 F36:F44">
    <cfRule type="expression" dxfId="24" priority="446" stopIfTrue="1">
      <formula>IF($E18=1, TRUE, FALSE)</formula>
    </cfRule>
  </conditionalFormatting>
  <conditionalFormatting sqref="H50:H51 H18:H25 H36:H44">
    <cfRule type="expression" dxfId="23" priority="447" stopIfTrue="1">
      <formula>IF($E18=3, TRUE, FALSE)</formula>
    </cfRule>
  </conditionalFormatting>
  <conditionalFormatting sqref="I50:I52 I18:I25 I36:I44">
    <cfRule type="expression" dxfId="22" priority="448" stopIfTrue="1">
      <formula>IF($E18=4, TRUE, FALSE)</formula>
    </cfRule>
  </conditionalFormatting>
  <conditionalFormatting sqref="B11:C11">
    <cfRule type="expression" dxfId="21" priority="449" stopIfTrue="1">
      <formula>IF(Alternative=$B11, TRUE, FALSE)</formula>
    </cfRule>
  </conditionalFormatting>
  <conditionalFormatting sqref="G45:G46">
    <cfRule type="expression" dxfId="20" priority="292" stopIfTrue="1">
      <formula>IF($E45=2, TRUE, FALSE)</formula>
    </cfRule>
  </conditionalFormatting>
  <conditionalFormatting sqref="F45:F46">
    <cfRule type="expression" dxfId="19" priority="289" stopIfTrue="1">
      <formula>IF($E45=1, TRUE, FALSE)</formula>
    </cfRule>
  </conditionalFormatting>
  <conditionalFormatting sqref="H45:H49">
    <cfRule type="expression" dxfId="18" priority="290" stopIfTrue="1">
      <formula>IF($E45=3, TRUE, FALSE)</formula>
    </cfRule>
  </conditionalFormatting>
  <conditionalFormatting sqref="I45:I46">
    <cfRule type="expression" dxfId="17" priority="291" stopIfTrue="1">
      <formula>IF($E45=4, TRUE, FALSE)</formula>
    </cfRule>
  </conditionalFormatting>
  <conditionalFormatting sqref="G26:G33">
    <cfRule type="expression" dxfId="16" priority="288" stopIfTrue="1">
      <formula>IF($E26=2, TRUE, FALSE)</formula>
    </cfRule>
  </conditionalFormatting>
  <conditionalFormatting sqref="F26:F33">
    <cfRule type="expression" dxfId="15" priority="285" stopIfTrue="1">
      <formula>IF($E26=1, TRUE, FALSE)</formula>
    </cfRule>
  </conditionalFormatting>
  <conditionalFormatting sqref="H26:H33">
    <cfRule type="expression" dxfId="14" priority="286" stopIfTrue="1">
      <formula>IF($E26=3, TRUE, FALSE)</formula>
    </cfRule>
  </conditionalFormatting>
  <conditionalFormatting sqref="I26:I33">
    <cfRule type="expression" dxfId="13" priority="287" stopIfTrue="1">
      <formula>IF($E26=4, TRUE, FALSE)</formula>
    </cfRule>
  </conditionalFormatting>
  <conditionalFormatting sqref="G47:G49">
    <cfRule type="expression" dxfId="12" priority="30" stopIfTrue="1">
      <formula>IF($G47=2, TRUE, FALSE)</formula>
    </cfRule>
  </conditionalFormatting>
  <conditionalFormatting sqref="F48:F49">
    <cfRule type="expression" dxfId="11" priority="29" stopIfTrue="1">
      <formula>IF($G48=1, TRUE, FALSE)</formula>
    </cfRule>
  </conditionalFormatting>
  <conditionalFormatting sqref="G34:G35">
    <cfRule type="expression" dxfId="10" priority="28" stopIfTrue="1">
      <formula>IF($E34=2, TRUE, FALSE)</formula>
    </cfRule>
  </conditionalFormatting>
  <conditionalFormatting sqref="F34:F35">
    <cfRule type="expression" dxfId="9" priority="25" stopIfTrue="1">
      <formula>IF($E34=1, TRUE, FALSE)</formula>
    </cfRule>
  </conditionalFormatting>
  <conditionalFormatting sqref="H34:H35">
    <cfRule type="expression" dxfId="8" priority="26" stopIfTrue="1">
      <formula>IF($E34=3, TRUE, FALSE)</formula>
    </cfRule>
  </conditionalFormatting>
  <conditionalFormatting sqref="I34:I35">
    <cfRule type="expression" dxfId="7" priority="27" stopIfTrue="1">
      <formula>IF($E34=4, TRUE, FALSE)</formula>
    </cfRule>
  </conditionalFormatting>
  <conditionalFormatting sqref="G16:G17">
    <cfRule type="expression" dxfId="6" priority="3" stopIfTrue="1">
      <formula>IF($E16=2, TRUE, FALSE)</formula>
    </cfRule>
  </conditionalFormatting>
  <conditionalFormatting sqref="F16:F17">
    <cfRule type="expression" dxfId="5" priority="1" stopIfTrue="1">
      <formula>IF($E16=1, TRUE, FALSE)</formula>
    </cfRule>
  </conditionalFormatting>
  <conditionalFormatting sqref="H16:H17">
    <cfRule type="expression" dxfId="4" priority="2" stopIfTrue="1">
      <formula>IF($E16=3, TRUE, FALSE)</formula>
    </cfRule>
  </conditionalFormatting>
  <printOptions gridLinesSet="0"/>
  <pageMargins left="0.5" right="0.5" top="0.5" bottom="0.75" header="0.5" footer="0.5"/>
  <pageSetup orientation="portrait" horizontalDpi="4294967292" verticalDpi="4294967292"/>
  <headerFooter>
    <oddFooter>&amp;L&amp;D&amp;R&amp;P</oddFooter>
  </headerFooter>
  <colBreaks count="2" manualBreakCount="2">
    <brk id="7" max="1048575" man="1"/>
    <brk id="14" max="1048575" man="1"/>
  </colBreaks>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valuateModel">
                <anchor moveWithCells="1" sizeWithCells="1">
                  <from>
                    <xdr:col>10</xdr:col>
                    <xdr:colOff>76200</xdr:colOff>
                    <xdr:row>3</xdr:row>
                    <xdr:rowOff>177800</xdr:rowOff>
                  </from>
                  <to>
                    <xdr:col>13</xdr:col>
                    <xdr:colOff>558800</xdr:colOff>
                    <xdr:row>9</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F8FAB-73A1-7C4D-BFB0-798D34689E4B}">
  <sheetPr codeName="Sheet4"/>
  <dimension ref="B1:FC247"/>
  <sheetViews>
    <sheetView workbookViewId="0">
      <selection activeCell="U5" sqref="U5"/>
    </sheetView>
  </sheetViews>
  <sheetFormatPr baseColWidth="10" defaultRowHeight="14" x14ac:dyDescent="0.2"/>
  <cols>
    <col min="1" max="2" width="10.7109375" style="145"/>
    <col min="3" max="3" width="14.85546875" style="145" bestFit="1" customWidth="1"/>
    <col min="4" max="18" width="10.7109375" style="145"/>
    <col min="19" max="19" width="14.85546875" style="145" bestFit="1" customWidth="1"/>
    <col min="20" max="20" width="10.7109375" style="145"/>
    <col min="21" max="21" width="16.42578125" style="146" bestFit="1" customWidth="1"/>
    <col min="22" max="22" width="10.7109375" style="147"/>
    <col min="23" max="23" width="10.7109375" style="146"/>
    <col min="24" max="24" width="10.7109375" style="147"/>
    <col min="25" max="25" width="10.7109375" style="148"/>
    <col min="26" max="27" width="10.7109375" style="147"/>
    <col min="28" max="28" width="10.7109375" style="148"/>
    <col min="29" max="29" width="10.7109375" style="147"/>
    <col min="30" max="31" width="10.7109375" style="148"/>
    <col min="32" max="32" width="12.5703125" style="148" bestFit="1" customWidth="1"/>
    <col min="33" max="33" width="10.7109375" style="148"/>
    <col min="34" max="34" width="10.7109375" style="145"/>
    <col min="35" max="35" width="16.42578125" style="146" bestFit="1" customWidth="1"/>
    <col min="36" max="36" width="10.7109375" style="147"/>
    <col min="37" max="37" width="10.7109375" style="146"/>
    <col min="38" max="38" width="10.7109375" style="147"/>
    <col min="39" max="39" width="10.7109375" style="148"/>
    <col min="40" max="41" width="10.7109375" style="147"/>
    <col min="42" max="42" width="10.7109375" style="148"/>
    <col min="43" max="43" width="10.7109375" style="147"/>
    <col min="44" max="45" width="10.7109375" style="148"/>
    <col min="46" max="46" width="12.5703125" style="148" bestFit="1" customWidth="1"/>
    <col min="47" max="47" width="10.7109375" style="148"/>
    <col min="48" max="48" width="10.7109375" style="145"/>
    <col min="49" max="49" width="16.42578125" style="146" bestFit="1" customWidth="1"/>
    <col min="50" max="50" width="10.7109375" style="147"/>
    <col min="51" max="51" width="10.7109375" style="146"/>
    <col min="52" max="52" width="10.7109375" style="147"/>
    <col min="53" max="53" width="10.7109375" style="148"/>
    <col min="54" max="55" width="10.7109375" style="147"/>
    <col min="56" max="56" width="10.7109375" style="148"/>
    <col min="57" max="57" width="10.7109375" style="147"/>
    <col min="58" max="59" width="10.7109375" style="148"/>
    <col min="60" max="60" width="12.5703125" style="148" bestFit="1" customWidth="1"/>
    <col min="61" max="61" width="10.7109375" style="148"/>
    <col min="62" max="62" width="10.7109375" style="145"/>
    <col min="63" max="63" width="16.42578125" style="146" bestFit="1" customWidth="1"/>
    <col min="64" max="64" width="10.7109375" style="147"/>
    <col min="65" max="65" width="10.7109375" style="146"/>
    <col min="66" max="66" width="10.7109375" style="147"/>
    <col min="67" max="67" width="10.7109375" style="148"/>
    <col min="68" max="69" width="10.7109375" style="147"/>
    <col min="70" max="70" width="10.7109375" style="148"/>
    <col min="71" max="71" width="10.7109375" style="147"/>
    <col min="72" max="73" width="10.7109375" style="148"/>
    <col min="74" max="74" width="12.5703125" style="148" bestFit="1" customWidth="1"/>
    <col min="75" max="75" width="10.7109375" style="148"/>
    <col min="76" max="76" width="10.7109375" style="145"/>
    <col min="77" max="77" width="16.42578125" style="146" bestFit="1" customWidth="1"/>
    <col min="78" max="78" width="10.7109375" style="147"/>
    <col min="79" max="79" width="10.7109375" style="146"/>
    <col min="80" max="80" width="10.7109375" style="147"/>
    <col min="81" max="81" width="10.7109375" style="148"/>
    <col min="82" max="83" width="10.7109375" style="147"/>
    <col min="84" max="84" width="10.7109375" style="148"/>
    <col min="85" max="85" width="10.7109375" style="147"/>
    <col min="86" max="87" width="10.7109375" style="148"/>
    <col min="88" max="88" width="12.5703125" style="148" bestFit="1" customWidth="1"/>
    <col min="89" max="89" width="10.7109375" style="148"/>
    <col min="90" max="90" width="10.7109375" style="145"/>
    <col min="91" max="91" width="16.42578125" style="146" bestFit="1" customWidth="1"/>
    <col min="92" max="92" width="10.7109375" style="147"/>
    <col min="93" max="93" width="10.7109375" style="146"/>
    <col min="94" max="94" width="10.7109375" style="147"/>
    <col min="95" max="95" width="10.7109375" style="148"/>
    <col min="96" max="97" width="10.7109375" style="147"/>
    <col min="98" max="98" width="10.7109375" style="148"/>
    <col min="99" max="99" width="10.7109375" style="147"/>
    <col min="100" max="101" width="10.7109375" style="148"/>
    <col min="102" max="102" width="12.5703125" style="148" bestFit="1" customWidth="1"/>
    <col min="103" max="103" width="10.7109375" style="148"/>
    <col min="104" max="104" width="10.7109375" style="145"/>
    <col min="105" max="105" width="16.42578125" style="146" bestFit="1" customWidth="1"/>
    <col min="106" max="106" width="10.7109375" style="147"/>
    <col min="107" max="107" width="10.7109375" style="146"/>
    <col min="108" max="108" width="10.7109375" style="147"/>
    <col min="109" max="109" width="10.7109375" style="148"/>
    <col min="110" max="111" width="10.7109375" style="147"/>
    <col min="112" max="112" width="10.7109375" style="148"/>
    <col min="113" max="113" width="10.7109375" style="147"/>
    <col min="114" max="115" width="10.7109375" style="148"/>
    <col min="116" max="116" width="12.5703125" style="148" bestFit="1" customWidth="1"/>
    <col min="117" max="117" width="10.7109375" style="148"/>
    <col min="118" max="118" width="10.7109375" style="145"/>
    <col min="119" max="119" width="16.42578125" style="146" bestFit="1" customWidth="1"/>
    <col min="120" max="120" width="10.7109375" style="147"/>
    <col min="121" max="121" width="10.7109375" style="146"/>
    <col min="122" max="122" width="10.7109375" style="147"/>
    <col min="123" max="123" width="10.7109375" style="148"/>
    <col min="124" max="125" width="10.7109375" style="147"/>
    <col min="126" max="126" width="10.7109375" style="148"/>
    <col min="127" max="127" width="10.7109375" style="147"/>
    <col min="128" max="129" width="10.7109375" style="148"/>
    <col min="130" max="130" width="12.5703125" style="148" bestFit="1" customWidth="1"/>
    <col min="131" max="131" width="10.7109375" style="148"/>
    <col min="132" max="132" width="10.7109375" style="145"/>
    <col min="133" max="133" width="16.42578125" style="146" bestFit="1" customWidth="1"/>
    <col min="134" max="134" width="10.7109375" style="147"/>
    <col min="135" max="135" width="10.7109375" style="146"/>
    <col min="136" max="136" width="10.7109375" style="147"/>
    <col min="137" max="137" width="10.7109375" style="148"/>
    <col min="138" max="139" width="10.7109375" style="147"/>
    <col min="140" max="140" width="10.7109375" style="148"/>
    <col min="141" max="141" width="10.7109375" style="147"/>
    <col min="142" max="143" width="10.7109375" style="148"/>
    <col min="144" max="144" width="12.5703125" style="148" bestFit="1" customWidth="1"/>
    <col min="145" max="145" width="10.7109375" style="148"/>
    <col min="146" max="146" width="10.7109375" style="145"/>
    <col min="147" max="147" width="16.42578125" style="146" bestFit="1" customWidth="1"/>
    <col min="148" max="148" width="10.7109375" style="147"/>
    <col min="149" max="149" width="10.7109375" style="146"/>
    <col min="150" max="150" width="10.7109375" style="147"/>
    <col min="151" max="151" width="10.7109375" style="148"/>
    <col min="152" max="153" width="10.7109375" style="147"/>
    <col min="154" max="154" width="10.7109375" style="148"/>
    <col min="155" max="155" width="10.7109375" style="147"/>
    <col min="156" max="157" width="10.7109375" style="148"/>
    <col min="158" max="158" width="12.5703125" style="148" bestFit="1" customWidth="1"/>
    <col min="159" max="159" width="10.7109375" style="148"/>
    <col min="160" max="16384" width="10.7109375" style="145"/>
  </cols>
  <sheetData>
    <row r="1" spans="2:159" s="147" customFormat="1" ht="15" thickBot="1" x14ac:dyDescent="0.25"/>
    <row r="2" spans="2:159" ht="20" thickBot="1" x14ac:dyDescent="0.3">
      <c r="B2" s="174" t="s">
        <v>127</v>
      </c>
      <c r="C2" s="175" t="s">
        <v>155</v>
      </c>
      <c r="S2" s="170" t="s">
        <v>126</v>
      </c>
      <c r="T2" s="159"/>
      <c r="U2" s="329" t="s">
        <v>161</v>
      </c>
      <c r="V2" s="330"/>
      <c r="W2" s="330"/>
      <c r="X2" s="330"/>
      <c r="Y2" s="330"/>
      <c r="Z2" s="330"/>
      <c r="AA2" s="330"/>
      <c r="AB2" s="330"/>
      <c r="AC2" s="330"/>
      <c r="AD2" s="330"/>
      <c r="AE2" s="330"/>
      <c r="AF2" s="330"/>
      <c r="AG2" s="331"/>
      <c r="AI2" s="329" t="s">
        <v>162</v>
      </c>
      <c r="AJ2" s="330"/>
      <c r="AK2" s="330"/>
      <c r="AL2" s="330"/>
      <c r="AM2" s="330"/>
      <c r="AN2" s="330"/>
      <c r="AO2" s="330"/>
      <c r="AP2" s="330"/>
      <c r="AQ2" s="330"/>
      <c r="AR2" s="330"/>
      <c r="AS2" s="330"/>
      <c r="AT2" s="330"/>
      <c r="AU2" s="331"/>
      <c r="AW2" s="329" t="s">
        <v>129</v>
      </c>
      <c r="AX2" s="330"/>
      <c r="AY2" s="330"/>
      <c r="AZ2" s="330"/>
      <c r="BA2" s="330"/>
      <c r="BB2" s="330"/>
      <c r="BC2" s="330"/>
      <c r="BD2" s="330"/>
      <c r="BE2" s="330"/>
      <c r="BF2" s="330"/>
      <c r="BG2" s="330"/>
      <c r="BH2" s="330"/>
      <c r="BI2" s="331"/>
      <c r="BK2" s="329" t="s">
        <v>130</v>
      </c>
      <c r="BL2" s="330"/>
      <c r="BM2" s="330"/>
      <c r="BN2" s="330"/>
      <c r="BO2" s="330"/>
      <c r="BP2" s="330"/>
      <c r="BQ2" s="330"/>
      <c r="BR2" s="330"/>
      <c r="BS2" s="330"/>
      <c r="BT2" s="330"/>
      <c r="BU2" s="330"/>
      <c r="BV2" s="330"/>
      <c r="BW2" s="331"/>
      <c r="BY2" s="329" t="s">
        <v>134</v>
      </c>
      <c r="BZ2" s="330"/>
      <c r="CA2" s="330"/>
      <c r="CB2" s="330"/>
      <c r="CC2" s="330"/>
      <c r="CD2" s="330"/>
      <c r="CE2" s="330"/>
      <c r="CF2" s="330"/>
      <c r="CG2" s="330"/>
      <c r="CH2" s="330"/>
      <c r="CI2" s="330"/>
      <c r="CJ2" s="330"/>
      <c r="CK2" s="331"/>
      <c r="CM2" s="329" t="s">
        <v>121</v>
      </c>
      <c r="CN2" s="330"/>
      <c r="CO2" s="330"/>
      <c r="CP2" s="330"/>
      <c r="CQ2" s="330"/>
      <c r="CR2" s="330"/>
      <c r="CS2" s="330"/>
      <c r="CT2" s="330"/>
      <c r="CU2" s="330"/>
      <c r="CV2" s="330"/>
      <c r="CW2" s="330"/>
      <c r="CX2" s="330"/>
      <c r="CY2" s="331"/>
      <c r="DA2" s="329" t="s">
        <v>122</v>
      </c>
      <c r="DB2" s="330"/>
      <c r="DC2" s="330"/>
      <c r="DD2" s="330"/>
      <c r="DE2" s="330"/>
      <c r="DF2" s="330"/>
      <c r="DG2" s="330"/>
      <c r="DH2" s="330"/>
      <c r="DI2" s="330"/>
      <c r="DJ2" s="330"/>
      <c r="DK2" s="330"/>
      <c r="DL2" s="330"/>
      <c r="DM2" s="331"/>
      <c r="DO2" s="329" t="s">
        <v>123</v>
      </c>
      <c r="DP2" s="330"/>
      <c r="DQ2" s="330"/>
      <c r="DR2" s="330"/>
      <c r="DS2" s="330"/>
      <c r="DT2" s="330"/>
      <c r="DU2" s="330"/>
      <c r="DV2" s="330"/>
      <c r="DW2" s="330"/>
      <c r="DX2" s="330"/>
      <c r="DY2" s="330"/>
      <c r="DZ2" s="330"/>
      <c r="EA2" s="331"/>
      <c r="EC2" s="329" t="s">
        <v>124</v>
      </c>
      <c r="ED2" s="330"/>
      <c r="EE2" s="330"/>
      <c r="EF2" s="330"/>
      <c r="EG2" s="330"/>
      <c r="EH2" s="330"/>
      <c r="EI2" s="330"/>
      <c r="EJ2" s="330"/>
      <c r="EK2" s="330"/>
      <c r="EL2" s="330"/>
      <c r="EM2" s="330"/>
      <c r="EN2" s="330"/>
      <c r="EO2" s="331"/>
      <c r="EQ2" s="329" t="s">
        <v>125</v>
      </c>
      <c r="ER2" s="330"/>
      <c r="ES2" s="330"/>
      <c r="ET2" s="330"/>
      <c r="EU2" s="330"/>
      <c r="EV2" s="330"/>
      <c r="EW2" s="330"/>
      <c r="EX2" s="330"/>
      <c r="EY2" s="330"/>
      <c r="EZ2" s="330"/>
      <c r="FA2" s="330"/>
      <c r="FB2" s="330"/>
      <c r="FC2" s="331"/>
    </row>
    <row r="3" spans="2:159" x14ac:dyDescent="0.2">
      <c r="R3" s="178">
        <v>1</v>
      </c>
      <c r="S3" s="173" t="s">
        <v>155</v>
      </c>
      <c r="U3" s="166"/>
      <c r="V3" s="168"/>
      <c r="W3" s="166"/>
      <c r="X3" s="167" t="s">
        <v>107</v>
      </c>
      <c r="Y3" s="167"/>
      <c r="Z3" s="166"/>
      <c r="AA3" s="167" t="s">
        <v>108</v>
      </c>
      <c r="AB3" s="168"/>
      <c r="AC3" s="167"/>
      <c r="AD3" s="167"/>
      <c r="AE3" s="332" t="s">
        <v>120</v>
      </c>
      <c r="AF3" s="333"/>
      <c r="AG3" s="334"/>
      <c r="AI3" s="166"/>
      <c r="AJ3" s="168"/>
      <c r="AK3" s="166"/>
      <c r="AL3" s="167" t="s">
        <v>107</v>
      </c>
      <c r="AM3" s="167"/>
      <c r="AN3" s="166"/>
      <c r="AO3" s="167" t="s">
        <v>108</v>
      </c>
      <c r="AP3" s="168"/>
      <c r="AQ3" s="167"/>
      <c r="AR3" s="167"/>
      <c r="AS3" s="332" t="s">
        <v>120</v>
      </c>
      <c r="AT3" s="333"/>
      <c r="AU3" s="334"/>
      <c r="AW3" s="166"/>
      <c r="AX3" s="168"/>
      <c r="AY3" s="166"/>
      <c r="AZ3" s="167" t="s">
        <v>107</v>
      </c>
      <c r="BA3" s="167"/>
      <c r="BB3" s="166"/>
      <c r="BC3" s="167" t="s">
        <v>108</v>
      </c>
      <c r="BD3" s="168"/>
      <c r="BE3" s="167"/>
      <c r="BF3" s="167"/>
      <c r="BG3" s="332" t="s">
        <v>120</v>
      </c>
      <c r="BH3" s="333"/>
      <c r="BI3" s="334"/>
      <c r="BK3" s="166"/>
      <c r="BL3" s="168"/>
      <c r="BM3" s="166"/>
      <c r="BN3" s="167" t="s">
        <v>107</v>
      </c>
      <c r="BO3" s="167"/>
      <c r="BP3" s="166"/>
      <c r="BQ3" s="167" t="s">
        <v>108</v>
      </c>
      <c r="BR3" s="168"/>
      <c r="BS3" s="167"/>
      <c r="BT3" s="167"/>
      <c r="BU3" s="332" t="s">
        <v>120</v>
      </c>
      <c r="BV3" s="333"/>
      <c r="BW3" s="334"/>
      <c r="BY3" s="166"/>
      <c r="BZ3" s="168"/>
      <c r="CA3" s="166"/>
      <c r="CB3" s="167" t="s">
        <v>107</v>
      </c>
      <c r="CC3" s="167"/>
      <c r="CD3" s="166"/>
      <c r="CE3" s="167" t="s">
        <v>108</v>
      </c>
      <c r="CF3" s="168"/>
      <c r="CG3" s="167"/>
      <c r="CH3" s="167"/>
      <c r="CI3" s="332" t="s">
        <v>120</v>
      </c>
      <c r="CJ3" s="333"/>
      <c r="CK3" s="334"/>
      <c r="CM3" s="166"/>
      <c r="CN3" s="168"/>
      <c r="CO3" s="166"/>
      <c r="CP3" s="167" t="s">
        <v>107</v>
      </c>
      <c r="CQ3" s="167"/>
      <c r="CR3" s="166"/>
      <c r="CS3" s="167" t="s">
        <v>108</v>
      </c>
      <c r="CT3" s="168"/>
      <c r="CU3" s="167"/>
      <c r="CV3" s="167"/>
      <c r="CW3" s="332" t="s">
        <v>120</v>
      </c>
      <c r="CX3" s="333"/>
      <c r="CY3" s="334"/>
      <c r="DA3" s="166"/>
      <c r="DB3" s="168"/>
      <c r="DC3" s="166"/>
      <c r="DD3" s="167" t="s">
        <v>107</v>
      </c>
      <c r="DE3" s="167"/>
      <c r="DF3" s="166"/>
      <c r="DG3" s="167" t="s">
        <v>108</v>
      </c>
      <c r="DH3" s="168"/>
      <c r="DI3" s="167"/>
      <c r="DJ3" s="167"/>
      <c r="DK3" s="332" t="s">
        <v>120</v>
      </c>
      <c r="DL3" s="333"/>
      <c r="DM3" s="334"/>
      <c r="DO3" s="166"/>
      <c r="DP3" s="168"/>
      <c r="DQ3" s="166"/>
      <c r="DR3" s="167" t="s">
        <v>107</v>
      </c>
      <c r="DS3" s="167"/>
      <c r="DT3" s="166"/>
      <c r="DU3" s="167" t="s">
        <v>108</v>
      </c>
      <c r="DV3" s="168"/>
      <c r="DW3" s="167"/>
      <c r="DX3" s="167"/>
      <c r="DY3" s="332" t="s">
        <v>120</v>
      </c>
      <c r="DZ3" s="333"/>
      <c r="EA3" s="334"/>
      <c r="EC3" s="166"/>
      <c r="ED3" s="168"/>
      <c r="EE3" s="166"/>
      <c r="EF3" s="167" t="s">
        <v>107</v>
      </c>
      <c r="EG3" s="167"/>
      <c r="EH3" s="166"/>
      <c r="EI3" s="167" t="s">
        <v>108</v>
      </c>
      <c r="EJ3" s="168"/>
      <c r="EK3" s="167"/>
      <c r="EL3" s="167"/>
      <c r="EM3" s="332" t="s">
        <v>120</v>
      </c>
      <c r="EN3" s="333"/>
      <c r="EO3" s="334"/>
      <c r="EQ3" s="166"/>
      <c r="ER3" s="168"/>
      <c r="ES3" s="166"/>
      <c r="ET3" s="167" t="s">
        <v>107</v>
      </c>
      <c r="EU3" s="167"/>
      <c r="EV3" s="166"/>
      <c r="EW3" s="167" t="s">
        <v>108</v>
      </c>
      <c r="EX3" s="168"/>
      <c r="EY3" s="167"/>
      <c r="EZ3" s="167"/>
      <c r="FA3" s="332" t="s">
        <v>120</v>
      </c>
      <c r="FB3" s="333"/>
      <c r="FC3" s="334"/>
    </row>
    <row r="4" spans="2:159" x14ac:dyDescent="0.2">
      <c r="R4" s="178">
        <v>2</v>
      </c>
      <c r="S4" s="171" t="s">
        <v>156</v>
      </c>
      <c r="U4" s="164"/>
      <c r="V4" s="163"/>
      <c r="W4" s="160"/>
      <c r="X4" s="161"/>
      <c r="Y4" s="162"/>
      <c r="Z4" s="161"/>
      <c r="AA4" s="161"/>
      <c r="AB4" s="162"/>
      <c r="AC4" s="161"/>
      <c r="AD4" s="162"/>
      <c r="AE4" s="165" t="s">
        <v>118</v>
      </c>
      <c r="AF4" s="162" t="s">
        <v>119</v>
      </c>
      <c r="AG4" s="162" t="s">
        <v>9</v>
      </c>
      <c r="AI4" s="164"/>
      <c r="AJ4" s="163"/>
      <c r="AK4" s="160"/>
      <c r="AL4" s="161"/>
      <c r="AM4" s="162"/>
      <c r="AN4" s="161"/>
      <c r="AO4" s="161"/>
      <c r="AP4" s="162"/>
      <c r="AQ4" s="161"/>
      <c r="AR4" s="162"/>
      <c r="AS4" s="165" t="s">
        <v>118</v>
      </c>
      <c r="AT4" s="162" t="s">
        <v>119</v>
      </c>
      <c r="AU4" s="162" t="s">
        <v>9</v>
      </c>
      <c r="AW4" s="164"/>
      <c r="AX4" s="163"/>
      <c r="AY4" s="160"/>
      <c r="AZ4" s="161"/>
      <c r="BA4" s="162"/>
      <c r="BB4" s="161"/>
      <c r="BC4" s="161"/>
      <c r="BD4" s="162"/>
      <c r="BE4" s="161"/>
      <c r="BF4" s="162"/>
      <c r="BG4" s="165" t="s">
        <v>118</v>
      </c>
      <c r="BH4" s="162" t="s">
        <v>119</v>
      </c>
      <c r="BI4" s="162" t="s">
        <v>9</v>
      </c>
      <c r="BK4" s="164"/>
      <c r="BL4" s="163"/>
      <c r="BM4" s="160"/>
      <c r="BN4" s="161"/>
      <c r="BO4" s="162"/>
      <c r="BP4" s="161"/>
      <c r="BQ4" s="161"/>
      <c r="BR4" s="162"/>
      <c r="BS4" s="161"/>
      <c r="BT4" s="162"/>
      <c r="BU4" s="165" t="s">
        <v>118</v>
      </c>
      <c r="BV4" s="162" t="s">
        <v>119</v>
      </c>
      <c r="BW4" s="162" t="s">
        <v>9</v>
      </c>
      <c r="BY4" s="164"/>
      <c r="BZ4" s="163"/>
      <c r="CA4" s="160"/>
      <c r="CB4" s="161"/>
      <c r="CC4" s="162"/>
      <c r="CD4" s="161"/>
      <c r="CE4" s="161"/>
      <c r="CF4" s="162"/>
      <c r="CG4" s="161"/>
      <c r="CH4" s="162"/>
      <c r="CI4" s="165" t="s">
        <v>118</v>
      </c>
      <c r="CJ4" s="162" t="s">
        <v>119</v>
      </c>
      <c r="CK4" s="162" t="s">
        <v>9</v>
      </c>
      <c r="CM4" s="164" t="s">
        <v>109</v>
      </c>
      <c r="CN4" s="163" t="s">
        <v>110</v>
      </c>
      <c r="CO4" s="160" t="s">
        <v>14</v>
      </c>
      <c r="CP4" s="161" t="s">
        <v>111</v>
      </c>
      <c r="CQ4" s="162" t="s">
        <v>16</v>
      </c>
      <c r="CR4" s="161" t="s">
        <v>14</v>
      </c>
      <c r="CS4" s="161" t="s">
        <v>15</v>
      </c>
      <c r="CT4" s="162" t="s">
        <v>16</v>
      </c>
      <c r="CU4" s="161" t="s">
        <v>112</v>
      </c>
      <c r="CV4" s="162" t="s">
        <v>113</v>
      </c>
      <c r="CW4" s="165" t="s">
        <v>118</v>
      </c>
      <c r="CX4" s="162" t="s">
        <v>119</v>
      </c>
      <c r="CY4" s="162" t="s">
        <v>9</v>
      </c>
      <c r="DA4" s="164" t="s">
        <v>109</v>
      </c>
      <c r="DB4" s="163" t="s">
        <v>110</v>
      </c>
      <c r="DC4" s="160" t="s">
        <v>14</v>
      </c>
      <c r="DD4" s="161" t="s">
        <v>111</v>
      </c>
      <c r="DE4" s="162" t="s">
        <v>16</v>
      </c>
      <c r="DF4" s="161" t="s">
        <v>14</v>
      </c>
      <c r="DG4" s="161" t="s">
        <v>15</v>
      </c>
      <c r="DH4" s="162" t="s">
        <v>16</v>
      </c>
      <c r="DI4" s="161" t="s">
        <v>112</v>
      </c>
      <c r="DJ4" s="162" t="s">
        <v>113</v>
      </c>
      <c r="DK4" s="165" t="s">
        <v>118</v>
      </c>
      <c r="DL4" s="162" t="s">
        <v>119</v>
      </c>
      <c r="DM4" s="162" t="s">
        <v>9</v>
      </c>
      <c r="DO4" s="164" t="s">
        <v>109</v>
      </c>
      <c r="DP4" s="163" t="s">
        <v>110</v>
      </c>
      <c r="DQ4" s="160" t="s">
        <v>14</v>
      </c>
      <c r="DR4" s="161" t="s">
        <v>111</v>
      </c>
      <c r="DS4" s="162" t="s">
        <v>16</v>
      </c>
      <c r="DT4" s="161" t="s">
        <v>14</v>
      </c>
      <c r="DU4" s="161" t="s">
        <v>15</v>
      </c>
      <c r="DV4" s="162" t="s">
        <v>16</v>
      </c>
      <c r="DW4" s="161" t="s">
        <v>112</v>
      </c>
      <c r="DX4" s="162" t="s">
        <v>113</v>
      </c>
      <c r="DY4" s="165" t="s">
        <v>118</v>
      </c>
      <c r="DZ4" s="162" t="s">
        <v>119</v>
      </c>
      <c r="EA4" s="162" t="s">
        <v>9</v>
      </c>
      <c r="EC4" s="164" t="s">
        <v>109</v>
      </c>
      <c r="ED4" s="163" t="s">
        <v>110</v>
      </c>
      <c r="EE4" s="160" t="s">
        <v>14</v>
      </c>
      <c r="EF4" s="161" t="s">
        <v>111</v>
      </c>
      <c r="EG4" s="162" t="s">
        <v>16</v>
      </c>
      <c r="EH4" s="161" t="s">
        <v>14</v>
      </c>
      <c r="EI4" s="161" t="s">
        <v>15</v>
      </c>
      <c r="EJ4" s="162" t="s">
        <v>16</v>
      </c>
      <c r="EK4" s="161" t="s">
        <v>112</v>
      </c>
      <c r="EL4" s="162" t="s">
        <v>113</v>
      </c>
      <c r="EM4" s="165" t="s">
        <v>118</v>
      </c>
      <c r="EN4" s="162" t="s">
        <v>119</v>
      </c>
      <c r="EO4" s="162" t="s">
        <v>9</v>
      </c>
      <c r="EQ4" s="164" t="s">
        <v>109</v>
      </c>
      <c r="ER4" s="163" t="s">
        <v>110</v>
      </c>
      <c r="ES4" s="160" t="s">
        <v>14</v>
      </c>
      <c r="ET4" s="161" t="s">
        <v>111</v>
      </c>
      <c r="EU4" s="162" t="s">
        <v>16</v>
      </c>
      <c r="EV4" s="161" t="s">
        <v>14</v>
      </c>
      <c r="EW4" s="161" t="s">
        <v>15</v>
      </c>
      <c r="EX4" s="162" t="s">
        <v>16</v>
      </c>
      <c r="EY4" s="161" t="s">
        <v>112</v>
      </c>
      <c r="EZ4" s="162" t="s">
        <v>113</v>
      </c>
      <c r="FA4" s="165" t="s">
        <v>118</v>
      </c>
      <c r="FB4" s="162" t="s">
        <v>119</v>
      </c>
      <c r="FC4" s="162" t="s">
        <v>9</v>
      </c>
    </row>
    <row r="5" spans="2:159" x14ac:dyDescent="0.2">
      <c r="R5" s="178">
        <v>3</v>
      </c>
      <c r="S5" s="171" t="s">
        <v>104</v>
      </c>
      <c r="U5" s="169" t="s">
        <v>128</v>
      </c>
      <c r="V5" s="147" t="s">
        <v>2</v>
      </c>
      <c r="Z5" s="176">
        <v>2.9225910272000006</v>
      </c>
      <c r="AA5" s="176">
        <v>10.95251525632</v>
      </c>
      <c r="AB5" s="177">
        <v>31.559397321386669</v>
      </c>
      <c r="AE5" s="148">
        <v>9.765625E-4</v>
      </c>
      <c r="AF5" s="148">
        <v>9.765625E-4</v>
      </c>
      <c r="AG5" s="148">
        <v>0.72145024731428564</v>
      </c>
      <c r="AI5" s="169" t="s">
        <v>128</v>
      </c>
      <c r="AJ5" s="147" t="s">
        <v>86</v>
      </c>
      <c r="AN5" s="176">
        <v>1600</v>
      </c>
      <c r="AO5" s="176">
        <v>5360</v>
      </c>
      <c r="AP5" s="177">
        <v>10240</v>
      </c>
      <c r="AS5" s="148">
        <v>9.765625E-4</v>
      </c>
      <c r="AT5" s="148">
        <v>9.765625E-4</v>
      </c>
      <c r="AU5" s="148">
        <v>1600</v>
      </c>
      <c r="AW5" s="169" t="s">
        <v>128</v>
      </c>
      <c r="AX5" s="147" t="s">
        <v>2</v>
      </c>
      <c r="BB5" s="147">
        <v>8.8599944045714292</v>
      </c>
      <c r="BC5" s="147">
        <v>23.511472810666667</v>
      </c>
      <c r="BD5" s="148">
        <v>61.070313280853348</v>
      </c>
      <c r="BG5" s="148">
        <v>9.765625E-4</v>
      </c>
      <c r="BH5" s="148">
        <v>9.765625E-4</v>
      </c>
      <c r="BI5" s="148">
        <v>2.8705686440228568</v>
      </c>
      <c r="BK5" s="169" t="s">
        <v>128</v>
      </c>
      <c r="BL5" s="147" t="s">
        <v>86</v>
      </c>
      <c r="BP5" s="147">
        <v>6581</v>
      </c>
      <c r="BQ5" s="147">
        <v>11081</v>
      </c>
      <c r="BR5" s="148">
        <v>17522</v>
      </c>
      <c r="BU5" s="148">
        <v>9.765625E-4</v>
      </c>
      <c r="BV5" s="148">
        <v>9.765625E-4</v>
      </c>
      <c r="BW5" s="148">
        <v>6581</v>
      </c>
      <c r="BY5" s="169" t="s">
        <v>128</v>
      </c>
      <c r="BZ5" s="147" t="s">
        <v>2</v>
      </c>
      <c r="CD5" s="147">
        <v>7.1352319999999994</v>
      </c>
      <c r="CE5" s="147">
        <v>26.739539199999992</v>
      </c>
      <c r="CF5" s="148">
        <v>77.049309866666647</v>
      </c>
      <c r="CI5" s="148">
        <v>9.765625E-4</v>
      </c>
      <c r="CJ5" s="148">
        <v>9.765625E-4</v>
      </c>
      <c r="CK5" s="148">
        <v>1.7613531428571421</v>
      </c>
      <c r="CM5" s="169" t="s">
        <v>117</v>
      </c>
      <c r="DA5" s="169" t="s">
        <v>117</v>
      </c>
      <c r="DO5" s="169" t="s">
        <v>117</v>
      </c>
      <c r="EC5" s="169" t="s">
        <v>117</v>
      </c>
      <c r="EQ5" s="169" t="s">
        <v>117</v>
      </c>
    </row>
    <row r="6" spans="2:159" x14ac:dyDescent="0.2">
      <c r="R6" s="178">
        <v>4</v>
      </c>
      <c r="S6" s="171" t="s">
        <v>105</v>
      </c>
      <c r="U6" s="146" t="s">
        <v>74</v>
      </c>
      <c r="V6" s="147" t="s">
        <v>19</v>
      </c>
      <c r="W6" s="146">
        <v>0.3</v>
      </c>
      <c r="X6" s="147">
        <v>0.3</v>
      </c>
      <c r="Y6" s="148">
        <v>0.3</v>
      </c>
      <c r="Z6" s="147">
        <v>11.799551453866666</v>
      </c>
      <c r="AA6" s="147">
        <v>11.799551453866666</v>
      </c>
      <c r="AB6" s="148">
        <v>11.799551453866666</v>
      </c>
      <c r="AC6" s="147">
        <v>0</v>
      </c>
      <c r="AD6" s="148">
        <v>0</v>
      </c>
      <c r="AE6" s="148">
        <v>1.953125E-3</v>
      </c>
      <c r="AF6" s="148">
        <v>2.9296875E-3</v>
      </c>
      <c r="AG6" s="148">
        <v>0.84169195520000006</v>
      </c>
      <c r="AI6" s="146" t="s">
        <v>94</v>
      </c>
      <c r="AJ6" s="147" t="s">
        <v>19</v>
      </c>
      <c r="AK6" s="146">
        <v>0.16</v>
      </c>
      <c r="AL6" s="147">
        <v>0.16</v>
      </c>
      <c r="AM6" s="148">
        <v>0.16</v>
      </c>
      <c r="AN6" s="147">
        <v>5360</v>
      </c>
      <c r="AO6" s="147">
        <v>5360</v>
      </c>
      <c r="AP6" s="148">
        <v>5360</v>
      </c>
      <c r="AQ6" s="147">
        <v>0</v>
      </c>
      <c r="AR6" s="148">
        <v>0</v>
      </c>
      <c r="AS6" s="148">
        <v>1.953125E-3</v>
      </c>
      <c r="AT6" s="148">
        <v>2.9296875E-3</v>
      </c>
      <c r="AU6" s="148">
        <v>1600</v>
      </c>
      <c r="AW6" s="146" t="s">
        <v>74</v>
      </c>
      <c r="AX6" s="147" t="s">
        <v>19</v>
      </c>
      <c r="AY6" s="146">
        <v>0.3</v>
      </c>
      <c r="AZ6" s="147">
        <v>0.3</v>
      </c>
      <c r="BA6" s="148">
        <v>0.3</v>
      </c>
      <c r="BB6" s="147">
        <v>23.511472810666667</v>
      </c>
      <c r="BC6" s="147">
        <v>23.511472810666667</v>
      </c>
      <c r="BD6" s="148">
        <v>23.511472810666667</v>
      </c>
      <c r="BE6" s="147">
        <v>0</v>
      </c>
      <c r="BF6" s="148">
        <v>0</v>
      </c>
      <c r="BG6" s="148">
        <v>1.953125E-3</v>
      </c>
      <c r="BH6" s="148">
        <v>2.9296875E-3</v>
      </c>
      <c r="BI6" s="148">
        <v>3.3489967513600001</v>
      </c>
      <c r="BK6" s="146" t="s">
        <v>94</v>
      </c>
      <c r="BL6" s="147" t="s">
        <v>19</v>
      </c>
      <c r="BM6" s="146">
        <v>0.16</v>
      </c>
      <c r="BN6" s="147">
        <v>0.16</v>
      </c>
      <c r="BO6" s="148">
        <v>0.16</v>
      </c>
      <c r="BP6" s="147">
        <v>11081</v>
      </c>
      <c r="BQ6" s="147">
        <v>11081</v>
      </c>
      <c r="BR6" s="148">
        <v>11081</v>
      </c>
      <c r="BS6" s="147">
        <v>0</v>
      </c>
      <c r="BT6" s="148">
        <v>0</v>
      </c>
      <c r="BU6" s="148">
        <v>1.953125E-3</v>
      </c>
      <c r="BV6" s="148">
        <v>2.9296875E-3</v>
      </c>
      <c r="BW6" s="148">
        <v>6581</v>
      </c>
      <c r="BY6" s="146" t="s">
        <v>74</v>
      </c>
      <c r="BZ6" s="147" t="s">
        <v>19</v>
      </c>
      <c r="CA6" s="146">
        <v>0.3</v>
      </c>
      <c r="CB6" s="147">
        <v>0.3</v>
      </c>
      <c r="CC6" s="148">
        <v>0.3</v>
      </c>
      <c r="CD6" s="147">
        <v>28.807498666666657</v>
      </c>
      <c r="CE6" s="147">
        <v>28.807498666666657</v>
      </c>
      <c r="CF6" s="148">
        <v>28.807498666666657</v>
      </c>
      <c r="CG6" s="147">
        <v>0</v>
      </c>
      <c r="CH6" s="148">
        <v>0</v>
      </c>
      <c r="CI6" s="148">
        <v>1.953125E-3</v>
      </c>
      <c r="CJ6" s="148">
        <v>2.9296875E-3</v>
      </c>
      <c r="CK6" s="148">
        <v>2.0549119999999994</v>
      </c>
    </row>
    <row r="7" spans="2:159" x14ac:dyDescent="0.2">
      <c r="R7" s="178">
        <v>5</v>
      </c>
      <c r="S7" s="171" t="s">
        <v>132</v>
      </c>
      <c r="U7" s="146" t="s">
        <v>94</v>
      </c>
      <c r="V7" s="147" t="s">
        <v>19</v>
      </c>
      <c r="W7" s="146">
        <v>0.16</v>
      </c>
      <c r="X7" s="147">
        <v>0.16</v>
      </c>
      <c r="Y7" s="148">
        <v>0.16</v>
      </c>
      <c r="Z7" s="147">
        <v>11.799551453866666</v>
      </c>
      <c r="AA7" s="147">
        <v>11.799551453866666</v>
      </c>
      <c r="AB7" s="148">
        <v>11.799551453866666</v>
      </c>
      <c r="AC7" s="147">
        <v>0</v>
      </c>
      <c r="AD7" s="148">
        <v>0</v>
      </c>
      <c r="AE7" s="148">
        <v>1.953125E-3</v>
      </c>
      <c r="AF7" s="148">
        <v>4.8828125E-3</v>
      </c>
      <c r="AG7" s="148">
        <v>0.96917632731428571</v>
      </c>
      <c r="AI7" s="146" t="s">
        <v>78</v>
      </c>
      <c r="AJ7" s="147" t="s">
        <v>19</v>
      </c>
      <c r="AK7" s="146">
        <v>0.01</v>
      </c>
      <c r="AL7" s="147">
        <v>0.02</v>
      </c>
      <c r="AM7" s="148">
        <v>0.04</v>
      </c>
      <c r="AN7" s="147">
        <v>5360</v>
      </c>
      <c r="AO7" s="147">
        <v>5360</v>
      </c>
      <c r="AP7" s="148">
        <v>5360</v>
      </c>
      <c r="AQ7" s="147">
        <v>0</v>
      </c>
      <c r="AR7" s="148">
        <v>0</v>
      </c>
      <c r="AS7" s="148">
        <v>1.953125E-3</v>
      </c>
      <c r="AT7" s="148">
        <v>4.8828125E-3</v>
      </c>
      <c r="AU7" s="148">
        <v>1600</v>
      </c>
      <c r="AW7" s="146" t="s">
        <v>94</v>
      </c>
      <c r="AX7" s="147" t="s">
        <v>19</v>
      </c>
      <c r="AY7" s="146">
        <v>0.16</v>
      </c>
      <c r="AZ7" s="147">
        <v>0.16</v>
      </c>
      <c r="BA7" s="148">
        <v>0.16</v>
      </c>
      <c r="BB7" s="147">
        <v>23.511472810666667</v>
      </c>
      <c r="BC7" s="147">
        <v>23.511472810666667</v>
      </c>
      <c r="BD7" s="148">
        <v>23.511472810666667</v>
      </c>
      <c r="BE7" s="147">
        <v>0</v>
      </c>
      <c r="BF7" s="148">
        <v>0</v>
      </c>
      <c r="BG7" s="148">
        <v>1.953125E-3</v>
      </c>
      <c r="BH7" s="148">
        <v>4.8828125E-3</v>
      </c>
      <c r="BI7" s="148">
        <v>3.8894969768228571</v>
      </c>
      <c r="BK7" s="146" t="s">
        <v>78</v>
      </c>
      <c r="BL7" s="147" t="s">
        <v>19</v>
      </c>
      <c r="BM7" s="146">
        <v>0.01</v>
      </c>
      <c r="BN7" s="147">
        <v>0.02</v>
      </c>
      <c r="BO7" s="148">
        <v>0.04</v>
      </c>
      <c r="BP7" s="147">
        <v>11081</v>
      </c>
      <c r="BQ7" s="147">
        <v>11081</v>
      </c>
      <c r="BR7" s="148">
        <v>11081</v>
      </c>
      <c r="BS7" s="147">
        <v>0</v>
      </c>
      <c r="BT7" s="148">
        <v>0</v>
      </c>
      <c r="BU7" s="148">
        <v>1.953125E-3</v>
      </c>
      <c r="BV7" s="148">
        <v>4.8828125E-3</v>
      </c>
      <c r="BW7" s="148">
        <v>6581</v>
      </c>
      <c r="BY7" s="146" t="s">
        <v>94</v>
      </c>
      <c r="BZ7" s="147" t="s">
        <v>19</v>
      </c>
      <c r="CA7" s="146">
        <v>0.16</v>
      </c>
      <c r="CB7" s="147">
        <v>0.16</v>
      </c>
      <c r="CC7" s="148">
        <v>0.16</v>
      </c>
      <c r="CD7" s="147">
        <v>28.807498666666657</v>
      </c>
      <c r="CE7" s="147">
        <v>28.807498666666657</v>
      </c>
      <c r="CF7" s="148">
        <v>28.807498666666657</v>
      </c>
      <c r="CG7" s="147">
        <v>0</v>
      </c>
      <c r="CH7" s="148">
        <v>0</v>
      </c>
      <c r="CI7" s="148">
        <v>1.953125E-3</v>
      </c>
      <c r="CJ7" s="148">
        <v>4.8828125E-3</v>
      </c>
      <c r="CK7" s="148">
        <v>2.3661531428571423</v>
      </c>
    </row>
    <row r="8" spans="2:159" x14ac:dyDescent="0.2">
      <c r="R8" s="178">
        <v>6</v>
      </c>
      <c r="S8" s="171" t="str">
        <f t="shared" ref="S8:S12" si="0">"--Not Used--"</f>
        <v>--Not Used--</v>
      </c>
      <c r="U8" s="146" t="s">
        <v>92</v>
      </c>
      <c r="V8" s="147" t="s">
        <v>19</v>
      </c>
      <c r="W8" s="146">
        <v>0.02</v>
      </c>
      <c r="X8" s="147">
        <v>0.02</v>
      </c>
      <c r="Y8" s="148">
        <v>0.02</v>
      </c>
      <c r="Z8" s="147">
        <v>11.799551453866666</v>
      </c>
      <c r="AA8" s="147">
        <v>11.799551453866666</v>
      </c>
      <c r="AB8" s="148">
        <v>11.799551453866666</v>
      </c>
      <c r="AC8" s="147">
        <v>0</v>
      </c>
      <c r="AD8" s="148">
        <v>0</v>
      </c>
      <c r="AE8" s="148">
        <v>9.765625E-4</v>
      </c>
      <c r="AF8" s="148">
        <v>5.859375E-3</v>
      </c>
      <c r="AG8" s="148">
        <v>1.0100303462400002</v>
      </c>
      <c r="AI8" s="146" t="s">
        <v>76</v>
      </c>
      <c r="AJ8" s="147" t="s">
        <v>19</v>
      </c>
      <c r="AK8" s="146">
        <v>0.1</v>
      </c>
      <c r="AL8" s="147">
        <v>0.2</v>
      </c>
      <c r="AM8" s="148">
        <v>0.4</v>
      </c>
      <c r="AN8" s="147">
        <v>5360</v>
      </c>
      <c r="AO8" s="147">
        <v>5360</v>
      </c>
      <c r="AP8" s="148">
        <v>5360</v>
      </c>
      <c r="AQ8" s="147">
        <v>0</v>
      </c>
      <c r="AR8" s="148">
        <v>0</v>
      </c>
      <c r="AS8" s="148">
        <v>1.953125E-3</v>
      </c>
      <c r="AT8" s="148">
        <v>6.8359375E-3</v>
      </c>
      <c r="AU8" s="148">
        <v>1600</v>
      </c>
      <c r="AW8" s="146" t="s">
        <v>92</v>
      </c>
      <c r="AX8" s="147" t="s">
        <v>19</v>
      </c>
      <c r="AY8" s="146">
        <v>0.02</v>
      </c>
      <c r="AZ8" s="147">
        <v>0.02</v>
      </c>
      <c r="BA8" s="148">
        <v>0.02</v>
      </c>
      <c r="BB8" s="147">
        <v>23.511472810666667</v>
      </c>
      <c r="BC8" s="147">
        <v>23.511472810666667</v>
      </c>
      <c r="BD8" s="148">
        <v>23.511472810666667</v>
      </c>
      <c r="BE8" s="147">
        <v>0</v>
      </c>
      <c r="BF8" s="148">
        <v>0</v>
      </c>
      <c r="BG8" s="148">
        <v>9.765625E-4</v>
      </c>
      <c r="BH8" s="148">
        <v>5.859375E-3</v>
      </c>
      <c r="BI8" s="148">
        <v>4.0187961016320006</v>
      </c>
      <c r="BK8" s="146" t="s">
        <v>76</v>
      </c>
      <c r="BL8" s="147" t="s">
        <v>19</v>
      </c>
      <c r="BM8" s="146">
        <v>0.1</v>
      </c>
      <c r="BN8" s="147">
        <v>0.2</v>
      </c>
      <c r="BO8" s="148">
        <v>0.4</v>
      </c>
      <c r="BP8" s="147">
        <v>11081</v>
      </c>
      <c r="BQ8" s="147">
        <v>11081</v>
      </c>
      <c r="BR8" s="148">
        <v>11081</v>
      </c>
      <c r="BS8" s="147">
        <v>0</v>
      </c>
      <c r="BT8" s="148">
        <v>0</v>
      </c>
      <c r="BU8" s="148">
        <v>1.953125E-3</v>
      </c>
      <c r="BV8" s="148">
        <v>6.8359375E-3</v>
      </c>
      <c r="BW8" s="148">
        <v>6581</v>
      </c>
      <c r="BY8" s="146" t="s">
        <v>92</v>
      </c>
      <c r="BZ8" s="147" t="s">
        <v>19</v>
      </c>
      <c r="CA8" s="146">
        <v>0.02</v>
      </c>
      <c r="CB8" s="147">
        <v>0.02</v>
      </c>
      <c r="CC8" s="148">
        <v>0.02</v>
      </c>
      <c r="CD8" s="147">
        <v>28.807498666666657</v>
      </c>
      <c r="CE8" s="147">
        <v>28.807498666666657</v>
      </c>
      <c r="CF8" s="148">
        <v>28.807498666666657</v>
      </c>
      <c r="CG8" s="147">
        <v>0</v>
      </c>
      <c r="CH8" s="148">
        <v>0</v>
      </c>
      <c r="CI8" s="148">
        <v>9.765625E-4</v>
      </c>
      <c r="CJ8" s="148">
        <v>5.859375E-3</v>
      </c>
      <c r="CK8" s="148">
        <v>2.4658943999999998</v>
      </c>
    </row>
    <row r="9" spans="2:159" x14ac:dyDescent="0.2">
      <c r="R9" s="178">
        <v>7</v>
      </c>
      <c r="S9" s="171" t="str">
        <f t="shared" si="0"/>
        <v>--Not Used--</v>
      </c>
      <c r="U9" s="146" t="s">
        <v>83</v>
      </c>
      <c r="V9" s="147" t="s">
        <v>18</v>
      </c>
      <c r="W9" s="146">
        <v>2</v>
      </c>
      <c r="X9" s="147">
        <v>2</v>
      </c>
      <c r="Y9" s="148">
        <v>2</v>
      </c>
      <c r="Z9" s="147">
        <v>11.799551453866666</v>
      </c>
      <c r="AA9" s="147">
        <v>11.799551453866666</v>
      </c>
      <c r="AB9" s="148">
        <v>11.799551453866666</v>
      </c>
      <c r="AC9" s="147">
        <v>0</v>
      </c>
      <c r="AD9" s="148">
        <v>0</v>
      </c>
      <c r="AE9" s="148">
        <v>3.90625E-3</v>
      </c>
      <c r="AF9" s="148">
        <v>9.765625E-3</v>
      </c>
      <c r="AG9" s="148">
        <v>1.1307057152000002</v>
      </c>
      <c r="AI9" s="146" t="s">
        <v>53</v>
      </c>
      <c r="AJ9" s="147" t="s">
        <v>19</v>
      </c>
      <c r="AK9" s="146">
        <v>0.3</v>
      </c>
      <c r="AL9" s="147">
        <v>0.5</v>
      </c>
      <c r="AM9" s="148">
        <v>0.8</v>
      </c>
      <c r="AN9" s="147">
        <v>5360</v>
      </c>
      <c r="AO9" s="147">
        <v>5360</v>
      </c>
      <c r="AP9" s="148">
        <v>5360</v>
      </c>
      <c r="AQ9" s="147">
        <v>0</v>
      </c>
      <c r="AR9" s="148">
        <v>0</v>
      </c>
      <c r="AS9" s="148">
        <v>3.90625E-3</v>
      </c>
      <c r="AT9" s="148">
        <v>1.07421875E-2</v>
      </c>
      <c r="AU9" s="148">
        <v>1600</v>
      </c>
      <c r="AW9" s="146" t="s">
        <v>83</v>
      </c>
      <c r="AX9" s="147" t="s">
        <v>18</v>
      </c>
      <c r="AY9" s="146">
        <v>2</v>
      </c>
      <c r="AZ9" s="147">
        <v>2</v>
      </c>
      <c r="BA9" s="148">
        <v>2</v>
      </c>
      <c r="BB9" s="147">
        <v>23.511472810666667</v>
      </c>
      <c r="BC9" s="147">
        <v>23.511472810666667</v>
      </c>
      <c r="BD9" s="148">
        <v>23.511472810666667</v>
      </c>
      <c r="BE9" s="147">
        <v>0</v>
      </c>
      <c r="BF9" s="148">
        <v>0</v>
      </c>
      <c r="BG9" s="148">
        <v>3.90625E-3</v>
      </c>
      <c r="BH9" s="148">
        <v>9.765625E-3</v>
      </c>
      <c r="BI9" s="148">
        <v>4.5377464729600003</v>
      </c>
      <c r="BK9" s="146" t="s">
        <v>53</v>
      </c>
      <c r="BL9" s="147" t="s">
        <v>19</v>
      </c>
      <c r="BM9" s="146">
        <v>0.3</v>
      </c>
      <c r="BN9" s="147">
        <v>0.5</v>
      </c>
      <c r="BO9" s="148">
        <v>0.8</v>
      </c>
      <c r="BP9" s="147">
        <v>11081</v>
      </c>
      <c r="BQ9" s="147">
        <v>11081</v>
      </c>
      <c r="BR9" s="148">
        <v>11081</v>
      </c>
      <c r="BS9" s="147">
        <v>0</v>
      </c>
      <c r="BT9" s="148">
        <v>0</v>
      </c>
      <c r="BU9" s="148">
        <v>3.90625E-3</v>
      </c>
      <c r="BV9" s="148">
        <v>1.07421875E-2</v>
      </c>
      <c r="BW9" s="148">
        <v>6581</v>
      </c>
      <c r="BY9" s="146" t="s">
        <v>83</v>
      </c>
      <c r="BZ9" s="147" t="s">
        <v>18</v>
      </c>
      <c r="CA9" s="146">
        <v>2</v>
      </c>
      <c r="CB9" s="147">
        <v>2</v>
      </c>
      <c r="CC9" s="148">
        <v>2</v>
      </c>
      <c r="CD9" s="147">
        <v>28.807498666666657</v>
      </c>
      <c r="CE9" s="147">
        <v>28.807498666666657</v>
      </c>
      <c r="CF9" s="148">
        <v>28.807498666666657</v>
      </c>
      <c r="CG9" s="147">
        <v>0</v>
      </c>
      <c r="CH9" s="148">
        <v>0</v>
      </c>
      <c r="CI9" s="148">
        <v>3.90625E-3</v>
      </c>
      <c r="CJ9" s="148">
        <v>9.765625E-3</v>
      </c>
      <c r="CK9" s="148">
        <v>2.7605119999999994</v>
      </c>
    </row>
    <row r="10" spans="2:159" x14ac:dyDescent="0.2">
      <c r="R10" s="178">
        <v>8</v>
      </c>
      <c r="S10" s="171" t="str">
        <f t="shared" si="0"/>
        <v>--Not Used--</v>
      </c>
      <c r="U10" s="146" t="s">
        <v>85</v>
      </c>
      <c r="V10" s="147" t="s">
        <v>18</v>
      </c>
      <c r="W10" s="146">
        <v>6581</v>
      </c>
      <c r="X10" s="147">
        <v>11081</v>
      </c>
      <c r="Y10" s="148">
        <v>17522</v>
      </c>
      <c r="Z10" s="147">
        <v>11.799551453866666</v>
      </c>
      <c r="AA10" s="147">
        <v>11.799551453866666</v>
      </c>
      <c r="AB10" s="148">
        <v>11.799551453866666</v>
      </c>
      <c r="AC10" s="147">
        <v>0</v>
      </c>
      <c r="AD10" s="148">
        <v>0</v>
      </c>
      <c r="AE10" s="148">
        <v>1.953125E-3</v>
      </c>
      <c r="AF10" s="148">
        <v>1.171875E-2</v>
      </c>
      <c r="AG10" s="148">
        <v>1.2024170788571429</v>
      </c>
      <c r="AI10" s="146" t="s">
        <v>59</v>
      </c>
      <c r="AJ10" s="147" t="s">
        <v>2</v>
      </c>
      <c r="AK10" s="146">
        <v>3</v>
      </c>
      <c r="AL10" s="147">
        <v>5</v>
      </c>
      <c r="AM10" s="148">
        <v>7</v>
      </c>
      <c r="AN10" s="147">
        <v>5360</v>
      </c>
      <c r="AO10" s="147">
        <v>5360</v>
      </c>
      <c r="AP10" s="148">
        <v>5360</v>
      </c>
      <c r="AQ10" s="147">
        <v>0</v>
      </c>
      <c r="AR10" s="148">
        <v>0</v>
      </c>
      <c r="AS10" s="148">
        <v>1.953125E-3</v>
      </c>
      <c r="AT10" s="148">
        <v>1.26953125E-2</v>
      </c>
      <c r="AU10" s="148">
        <v>1600</v>
      </c>
      <c r="AW10" s="146" t="s">
        <v>47</v>
      </c>
      <c r="AX10" s="147" t="s">
        <v>19</v>
      </c>
      <c r="AY10" s="146">
        <v>0.4</v>
      </c>
      <c r="AZ10" s="147">
        <v>0.6</v>
      </c>
      <c r="BA10" s="148">
        <v>0.7</v>
      </c>
      <c r="BB10" s="147">
        <v>23.924803993600001</v>
      </c>
      <c r="BC10" s="147">
        <v>23.511472810666667</v>
      </c>
      <c r="BD10" s="148">
        <v>23.304807219200001</v>
      </c>
      <c r="BE10" s="147">
        <v>-0.61999677440000056</v>
      </c>
      <c r="BF10" s="148">
        <v>0.38439600026640519</v>
      </c>
      <c r="BG10" s="148">
        <v>1.953125E-3</v>
      </c>
      <c r="BH10" s="148">
        <v>1.171875E-2</v>
      </c>
      <c r="BI10" s="148">
        <v>4.5427196840228561</v>
      </c>
      <c r="BK10" s="146" t="s">
        <v>59</v>
      </c>
      <c r="BL10" s="147" t="s">
        <v>2</v>
      </c>
      <c r="BM10" s="146">
        <v>3</v>
      </c>
      <c r="BN10" s="147">
        <v>5</v>
      </c>
      <c r="BO10" s="148">
        <v>7</v>
      </c>
      <c r="BP10" s="147">
        <v>11081</v>
      </c>
      <c r="BQ10" s="147">
        <v>11081</v>
      </c>
      <c r="BR10" s="148">
        <v>11081</v>
      </c>
      <c r="BS10" s="147">
        <v>0</v>
      </c>
      <c r="BT10" s="148">
        <v>0</v>
      </c>
      <c r="BU10" s="148">
        <v>1.953125E-3</v>
      </c>
      <c r="BV10" s="148">
        <v>1.26953125E-2</v>
      </c>
      <c r="BW10" s="148">
        <v>6581</v>
      </c>
      <c r="BY10" s="146" t="s">
        <v>85</v>
      </c>
      <c r="BZ10" s="147" t="s">
        <v>18</v>
      </c>
      <c r="CA10" s="146">
        <v>6581</v>
      </c>
      <c r="CB10" s="147">
        <v>11081</v>
      </c>
      <c r="CC10" s="148">
        <v>17522</v>
      </c>
      <c r="CD10" s="147">
        <v>28.807498666666657</v>
      </c>
      <c r="CE10" s="147">
        <v>28.807498666666657</v>
      </c>
      <c r="CF10" s="148">
        <v>28.807498666666657</v>
      </c>
      <c r="CG10" s="147">
        <v>0</v>
      </c>
      <c r="CH10" s="148">
        <v>0</v>
      </c>
      <c r="CI10" s="148">
        <v>1.953125E-3</v>
      </c>
      <c r="CJ10" s="148">
        <v>1.171875E-2</v>
      </c>
      <c r="CK10" s="148">
        <v>2.9355885714285708</v>
      </c>
    </row>
    <row r="11" spans="2:159" x14ac:dyDescent="0.2">
      <c r="R11" s="178">
        <v>9</v>
      </c>
      <c r="S11" s="171" t="str">
        <f t="shared" si="0"/>
        <v>--Not Used--</v>
      </c>
      <c r="U11" s="146" t="s">
        <v>47</v>
      </c>
      <c r="V11" s="147" t="s">
        <v>19</v>
      </c>
      <c r="W11" s="146">
        <v>0.4</v>
      </c>
      <c r="X11" s="147">
        <v>0.6</v>
      </c>
      <c r="Y11" s="148">
        <v>0.7</v>
      </c>
      <c r="Z11" s="147">
        <v>12.2128826368</v>
      </c>
      <c r="AA11" s="147">
        <v>11.799551453866666</v>
      </c>
      <c r="AB11" s="148">
        <v>11.592885862399999</v>
      </c>
      <c r="AC11" s="147">
        <v>-0.61999677440000056</v>
      </c>
      <c r="AD11" s="148">
        <v>0.38439600026640519</v>
      </c>
      <c r="AE11" s="148">
        <v>1.953125E-3</v>
      </c>
      <c r="AF11" s="148">
        <v>1.3671875E-2</v>
      </c>
      <c r="AG11" s="148">
        <v>1.3159928393142857</v>
      </c>
      <c r="AI11" s="146" t="s">
        <v>92</v>
      </c>
      <c r="AJ11" s="147" t="s">
        <v>19</v>
      </c>
      <c r="AK11" s="146">
        <v>0.02</v>
      </c>
      <c r="AL11" s="147">
        <v>0.02</v>
      </c>
      <c r="AM11" s="148">
        <v>0.02</v>
      </c>
      <c r="AN11" s="147">
        <v>5360</v>
      </c>
      <c r="AO11" s="147">
        <v>5360</v>
      </c>
      <c r="AP11" s="148">
        <v>5360</v>
      </c>
      <c r="AQ11" s="147">
        <v>0</v>
      </c>
      <c r="AR11" s="148">
        <v>0</v>
      </c>
      <c r="AS11" s="148">
        <v>9.765625E-4</v>
      </c>
      <c r="AT11" s="148">
        <v>1.3671875E-2</v>
      </c>
      <c r="AU11" s="148">
        <v>1600</v>
      </c>
      <c r="AW11" s="146" t="s">
        <v>53</v>
      </c>
      <c r="AX11" s="147" t="s">
        <v>19</v>
      </c>
      <c r="AY11" s="146">
        <v>0.3</v>
      </c>
      <c r="AZ11" s="147">
        <v>0.5</v>
      </c>
      <c r="BA11" s="148">
        <v>0.8</v>
      </c>
      <c r="BB11" s="147">
        <v>23.180807864320002</v>
      </c>
      <c r="BC11" s="147">
        <v>23.511472810666667</v>
      </c>
      <c r="BD11" s="148">
        <v>24.007470230186666</v>
      </c>
      <c r="BE11" s="147">
        <v>0.82666236586666386</v>
      </c>
      <c r="BF11" s="148">
        <v>0.68337066714027006</v>
      </c>
      <c r="BG11" s="148">
        <v>1.953125E-3</v>
      </c>
      <c r="BH11" s="148">
        <v>1.3671875E-2</v>
      </c>
      <c r="BI11" s="148">
        <v>4.7842810733714289</v>
      </c>
      <c r="BK11" s="146" t="s">
        <v>92</v>
      </c>
      <c r="BL11" s="147" t="s">
        <v>19</v>
      </c>
      <c r="BM11" s="146">
        <v>0.02</v>
      </c>
      <c r="BN11" s="147">
        <v>0.02</v>
      </c>
      <c r="BO11" s="148">
        <v>0.02</v>
      </c>
      <c r="BP11" s="147">
        <v>11081</v>
      </c>
      <c r="BQ11" s="147">
        <v>11081</v>
      </c>
      <c r="BR11" s="148">
        <v>11081</v>
      </c>
      <c r="BS11" s="147">
        <v>0</v>
      </c>
      <c r="BT11" s="148">
        <v>0</v>
      </c>
      <c r="BU11" s="148">
        <v>9.765625E-4</v>
      </c>
      <c r="BV11" s="148">
        <v>1.3671875E-2</v>
      </c>
      <c r="BW11" s="148">
        <v>6581</v>
      </c>
      <c r="BY11" s="146" t="s">
        <v>47</v>
      </c>
      <c r="BZ11" s="147" t="s">
        <v>19</v>
      </c>
      <c r="CA11" s="146">
        <v>0.4</v>
      </c>
      <c r="CB11" s="147">
        <v>0.6</v>
      </c>
      <c r="CC11" s="148">
        <v>0.7</v>
      </c>
      <c r="CD11" s="147">
        <v>29.816607999999992</v>
      </c>
      <c r="CE11" s="147">
        <v>28.807498666666657</v>
      </c>
      <c r="CF11" s="148">
        <v>28.302943999999989</v>
      </c>
      <c r="CG11" s="147">
        <v>-1.5136640000000021</v>
      </c>
      <c r="CH11" s="148">
        <v>2.2911787048960064</v>
      </c>
      <c r="CI11" s="148">
        <v>1.953125E-3</v>
      </c>
      <c r="CJ11" s="148">
        <v>1.3671875E-2</v>
      </c>
      <c r="CK11" s="148">
        <v>3.2128731428571418</v>
      </c>
    </row>
    <row r="12" spans="2:159" ht="15" thickBot="1" x14ac:dyDescent="0.25">
      <c r="R12" s="178">
        <v>10</v>
      </c>
      <c r="S12" s="172" t="str">
        <f t="shared" si="0"/>
        <v>--Not Used--</v>
      </c>
      <c r="U12" s="146" t="s">
        <v>53</v>
      </c>
      <c r="V12" s="147" t="s">
        <v>19</v>
      </c>
      <c r="W12" s="146">
        <v>0.3</v>
      </c>
      <c r="X12" s="147">
        <v>0.5</v>
      </c>
      <c r="Y12" s="148">
        <v>0.8</v>
      </c>
      <c r="Z12" s="147">
        <v>11.468886507519999</v>
      </c>
      <c r="AA12" s="147">
        <v>11.799551453866666</v>
      </c>
      <c r="AB12" s="148">
        <v>12.295548873386666</v>
      </c>
      <c r="AC12" s="147">
        <v>0.82666236586666741</v>
      </c>
      <c r="AD12" s="148">
        <v>0.68337066714027594</v>
      </c>
      <c r="AE12" s="148">
        <v>1.953125E-3</v>
      </c>
      <c r="AF12" s="148">
        <v>1.5625E-2</v>
      </c>
      <c r="AG12" s="148">
        <v>1.3568468582400002</v>
      </c>
      <c r="AI12" s="146" t="s">
        <v>74</v>
      </c>
      <c r="AJ12" s="147" t="s">
        <v>19</v>
      </c>
      <c r="AK12" s="146">
        <v>0.3</v>
      </c>
      <c r="AL12" s="147">
        <v>0.3</v>
      </c>
      <c r="AM12" s="148">
        <v>0.3</v>
      </c>
      <c r="AN12" s="147">
        <v>5360</v>
      </c>
      <c r="AO12" s="147">
        <v>5360</v>
      </c>
      <c r="AP12" s="148">
        <v>5360</v>
      </c>
      <c r="AQ12" s="147">
        <v>0</v>
      </c>
      <c r="AR12" s="148">
        <v>0</v>
      </c>
      <c r="AS12" s="148">
        <v>3.90625E-3</v>
      </c>
      <c r="AT12" s="148">
        <v>1.7578125E-2</v>
      </c>
      <c r="AU12" s="148">
        <v>1600</v>
      </c>
      <c r="AW12" s="146" t="s">
        <v>158</v>
      </c>
      <c r="AX12" s="147" t="s">
        <v>18</v>
      </c>
      <c r="AY12" s="146">
        <v>1600</v>
      </c>
      <c r="AZ12" s="147">
        <v>5360</v>
      </c>
      <c r="BA12" s="148">
        <v>10240</v>
      </c>
      <c r="BB12" s="147">
        <v>22.931575330133334</v>
      </c>
      <c r="BC12" s="147">
        <v>23.511472810666667</v>
      </c>
      <c r="BD12" s="148">
        <v>24.264105710933332</v>
      </c>
      <c r="BE12" s="147">
        <v>1.332530380799998</v>
      </c>
      <c r="BF12" s="148">
        <v>1.7756372157549876</v>
      </c>
      <c r="BG12" s="148">
        <v>3.90625E-3</v>
      </c>
      <c r="BH12" s="148">
        <v>1.7578125E-2</v>
      </c>
      <c r="BI12" s="148">
        <v>5.2998396313599994</v>
      </c>
      <c r="BK12" s="146" t="s">
        <v>74</v>
      </c>
      <c r="BL12" s="147" t="s">
        <v>19</v>
      </c>
      <c r="BM12" s="146">
        <v>0.3</v>
      </c>
      <c r="BN12" s="147">
        <v>0.3</v>
      </c>
      <c r="BO12" s="148">
        <v>0.3</v>
      </c>
      <c r="BP12" s="147">
        <v>11081</v>
      </c>
      <c r="BQ12" s="147">
        <v>11081</v>
      </c>
      <c r="BR12" s="148">
        <v>11081</v>
      </c>
      <c r="BS12" s="147">
        <v>0</v>
      </c>
      <c r="BT12" s="148">
        <v>0</v>
      </c>
      <c r="BU12" s="148">
        <v>3.90625E-3</v>
      </c>
      <c r="BV12" s="148">
        <v>1.7578125E-2</v>
      </c>
      <c r="BW12" s="148">
        <v>6581</v>
      </c>
      <c r="BY12" s="146" t="s">
        <v>53</v>
      </c>
      <c r="BZ12" s="147" t="s">
        <v>19</v>
      </c>
      <c r="CA12" s="146">
        <v>0.3</v>
      </c>
      <c r="CB12" s="147">
        <v>0.5</v>
      </c>
      <c r="CC12" s="148">
        <v>0.8</v>
      </c>
      <c r="CD12" s="147">
        <v>28.000211199999988</v>
      </c>
      <c r="CE12" s="147">
        <v>28.807498666666657</v>
      </c>
      <c r="CF12" s="148">
        <v>30.018429866666658</v>
      </c>
      <c r="CG12" s="147">
        <v>2.0182186666666695</v>
      </c>
      <c r="CH12" s="148">
        <v>4.0732065864817892</v>
      </c>
      <c r="CI12" s="148">
        <v>1.953125E-3</v>
      </c>
      <c r="CJ12" s="148">
        <v>1.5625E-2</v>
      </c>
      <c r="CK12" s="148">
        <v>3.3126143999999993</v>
      </c>
    </row>
    <row r="13" spans="2:159" x14ac:dyDescent="0.2">
      <c r="U13" s="146" t="s">
        <v>78</v>
      </c>
      <c r="V13" s="147" t="s">
        <v>19</v>
      </c>
      <c r="W13" s="146">
        <v>0.01</v>
      </c>
      <c r="X13" s="147">
        <v>0.02</v>
      </c>
      <c r="Y13" s="148">
        <v>0.04</v>
      </c>
      <c r="Z13" s="147">
        <v>11.154087389866667</v>
      </c>
      <c r="AA13" s="147">
        <v>11.799551453866666</v>
      </c>
      <c r="AB13" s="148">
        <v>13.090479581866667</v>
      </c>
      <c r="AC13" s="147">
        <v>1.9363921919999996</v>
      </c>
      <c r="AD13" s="148">
        <v>3.7496147212385633</v>
      </c>
      <c r="AE13" s="148">
        <v>3.90625E-3</v>
      </c>
      <c r="AF13" s="148">
        <v>1.953125E-2</v>
      </c>
      <c r="AG13" s="148">
        <v>1.4028199253333336</v>
      </c>
      <c r="AI13" s="146" t="s">
        <v>82</v>
      </c>
      <c r="AJ13" s="147" t="s">
        <v>18</v>
      </c>
      <c r="AK13" s="146">
        <v>3</v>
      </c>
      <c r="AL13" s="147">
        <v>4</v>
      </c>
      <c r="AM13" s="148">
        <v>5</v>
      </c>
      <c r="AN13" s="147">
        <v>5360</v>
      </c>
      <c r="AO13" s="147">
        <v>5360</v>
      </c>
      <c r="AP13" s="148">
        <v>5360</v>
      </c>
      <c r="AQ13" s="147">
        <v>0</v>
      </c>
      <c r="AR13" s="148">
        <v>0</v>
      </c>
      <c r="AS13" s="148">
        <v>9.765625E-4</v>
      </c>
      <c r="AT13" s="148">
        <v>1.85546875E-2</v>
      </c>
      <c r="AU13" s="148">
        <v>1600</v>
      </c>
      <c r="AW13" s="146" t="s">
        <v>78</v>
      </c>
      <c r="AX13" s="147" t="s">
        <v>19</v>
      </c>
      <c r="AY13" s="146">
        <v>0.01</v>
      </c>
      <c r="AZ13" s="147">
        <v>0.02</v>
      </c>
      <c r="BA13" s="148">
        <v>0.04</v>
      </c>
      <c r="BB13" s="147">
        <v>22.177072196266668</v>
      </c>
      <c r="BC13" s="147">
        <v>23.511472810666667</v>
      </c>
      <c r="BD13" s="148">
        <v>26.180274039466667</v>
      </c>
      <c r="BE13" s="147">
        <v>4.0032018431999994</v>
      </c>
      <c r="BF13" s="148">
        <v>16.025624997399873</v>
      </c>
      <c r="BG13" s="148">
        <v>1.953125E-3</v>
      </c>
      <c r="BH13" s="148">
        <v>1.953125E-2</v>
      </c>
      <c r="BI13" s="148">
        <v>5.3159966427428564</v>
      </c>
      <c r="BK13" s="146" t="s">
        <v>82</v>
      </c>
      <c r="BL13" s="147" t="s">
        <v>18</v>
      </c>
      <c r="BM13" s="146">
        <v>3</v>
      </c>
      <c r="BN13" s="147">
        <v>4</v>
      </c>
      <c r="BO13" s="148">
        <v>5</v>
      </c>
      <c r="BP13" s="147">
        <v>11081</v>
      </c>
      <c r="BQ13" s="147">
        <v>11081</v>
      </c>
      <c r="BR13" s="148">
        <v>11081</v>
      </c>
      <c r="BS13" s="147">
        <v>0</v>
      </c>
      <c r="BT13" s="148">
        <v>0</v>
      </c>
      <c r="BU13" s="148">
        <v>9.765625E-4</v>
      </c>
      <c r="BV13" s="148">
        <v>1.85546875E-2</v>
      </c>
      <c r="BW13" s="148">
        <v>6581</v>
      </c>
      <c r="BY13" s="146" t="s">
        <v>78</v>
      </c>
      <c r="BZ13" s="147" t="s">
        <v>19</v>
      </c>
      <c r="CA13" s="146">
        <v>0.01</v>
      </c>
      <c r="CB13" s="147">
        <v>0.02</v>
      </c>
      <c r="CC13" s="148">
        <v>0.04</v>
      </c>
      <c r="CD13" s="147">
        <v>27.231658666666661</v>
      </c>
      <c r="CE13" s="147">
        <v>28.807498666666657</v>
      </c>
      <c r="CF13" s="148">
        <v>31.959178666666656</v>
      </c>
      <c r="CG13" s="147">
        <v>4.7275199999999948</v>
      </c>
      <c r="CH13" s="148">
        <v>22.34944535039995</v>
      </c>
      <c r="CI13" s="148">
        <v>3.90625E-3</v>
      </c>
      <c r="CJ13" s="148">
        <v>1.953125E-2</v>
      </c>
      <c r="CK13" s="148">
        <v>3.4248533333333326</v>
      </c>
    </row>
    <row r="14" spans="2:159" x14ac:dyDescent="0.2">
      <c r="U14" s="146" t="s">
        <v>82</v>
      </c>
      <c r="V14" s="147" t="s">
        <v>18</v>
      </c>
      <c r="W14" s="146">
        <v>3</v>
      </c>
      <c r="X14" s="147">
        <v>4</v>
      </c>
      <c r="Y14" s="148">
        <v>5</v>
      </c>
      <c r="Z14" s="147">
        <v>14.159461744640002</v>
      </c>
      <c r="AA14" s="147">
        <v>11.799551453866666</v>
      </c>
      <c r="AB14" s="148">
        <v>10.113901246171428</v>
      </c>
      <c r="AC14" s="147">
        <v>-4.0455604984685731</v>
      </c>
      <c r="AD14" s="148">
        <v>16.36655974676929</v>
      </c>
      <c r="AE14" s="148">
        <v>9.765625E-4</v>
      </c>
      <c r="AF14" s="148">
        <v>2.05078125E-2</v>
      </c>
      <c r="AG14" s="148">
        <v>1.4646284873142856</v>
      </c>
      <c r="AI14" s="146" t="s">
        <v>85</v>
      </c>
      <c r="AJ14" s="147" t="s">
        <v>18</v>
      </c>
      <c r="AK14" s="146">
        <v>6581</v>
      </c>
      <c r="AL14" s="147">
        <v>11081</v>
      </c>
      <c r="AM14" s="148">
        <v>17522</v>
      </c>
      <c r="AN14" s="147">
        <v>5360</v>
      </c>
      <c r="AO14" s="147">
        <v>5360</v>
      </c>
      <c r="AP14" s="148">
        <v>5360</v>
      </c>
      <c r="AQ14" s="147">
        <v>0</v>
      </c>
      <c r="AR14" s="148">
        <v>0</v>
      </c>
      <c r="AS14" s="148">
        <v>1.953125E-3</v>
      </c>
      <c r="AT14" s="148">
        <v>2.05078125E-2</v>
      </c>
      <c r="AU14" s="148">
        <v>1600</v>
      </c>
      <c r="AW14" s="146" t="s">
        <v>82</v>
      </c>
      <c r="AX14" s="147" t="s">
        <v>18</v>
      </c>
      <c r="AY14" s="146">
        <v>3</v>
      </c>
      <c r="AZ14" s="147">
        <v>4</v>
      </c>
      <c r="BA14" s="148">
        <v>5</v>
      </c>
      <c r="BB14" s="147">
        <v>28.213767372800003</v>
      </c>
      <c r="BC14" s="147">
        <v>23.511472810666667</v>
      </c>
      <c r="BD14" s="148">
        <v>20.152690980571428</v>
      </c>
      <c r="BE14" s="147">
        <v>-8.0610763922285749</v>
      </c>
      <c r="BF14" s="148">
        <v>64.980952601344853</v>
      </c>
      <c r="BG14" s="148">
        <v>1.953125E-3</v>
      </c>
      <c r="BH14" s="148">
        <v>2.1484375E-2</v>
      </c>
      <c r="BI14" s="148">
        <v>5.4452957675520004</v>
      </c>
      <c r="BK14" s="146" t="s">
        <v>158</v>
      </c>
      <c r="BL14" s="147" t="s">
        <v>18</v>
      </c>
      <c r="BM14" s="146">
        <v>1600</v>
      </c>
      <c r="BN14" s="147">
        <v>5360</v>
      </c>
      <c r="BO14" s="148">
        <v>10240</v>
      </c>
      <c r="BP14" s="147">
        <v>11081</v>
      </c>
      <c r="BQ14" s="147">
        <v>11081</v>
      </c>
      <c r="BR14" s="148">
        <v>11081</v>
      </c>
      <c r="BS14" s="147">
        <v>0</v>
      </c>
      <c r="BT14" s="148">
        <v>0</v>
      </c>
      <c r="BU14" s="148">
        <v>1.953125E-3</v>
      </c>
      <c r="BV14" s="148">
        <v>2.05078125E-2</v>
      </c>
      <c r="BW14" s="148">
        <v>6581</v>
      </c>
      <c r="BY14" s="146" t="s">
        <v>82</v>
      </c>
      <c r="BZ14" s="147" t="s">
        <v>18</v>
      </c>
      <c r="CA14" s="146">
        <v>3</v>
      </c>
      <c r="CB14" s="147">
        <v>4</v>
      </c>
      <c r="CC14" s="148">
        <v>5</v>
      </c>
      <c r="CD14" s="147">
        <v>34.568998399999991</v>
      </c>
      <c r="CE14" s="147">
        <v>28.807498666666657</v>
      </c>
      <c r="CF14" s="148">
        <v>24.692141714285707</v>
      </c>
      <c r="CG14" s="147">
        <v>-9.8768566857142837</v>
      </c>
      <c r="CH14" s="148">
        <v>97.552297990138939</v>
      </c>
      <c r="CI14" s="148">
        <v>9.765625E-4</v>
      </c>
      <c r="CJ14" s="148">
        <v>2.05078125E-2</v>
      </c>
      <c r="CK14" s="148">
        <v>3.5757531428571414</v>
      </c>
    </row>
    <row r="15" spans="2:159" x14ac:dyDescent="0.2">
      <c r="U15" s="146" t="s">
        <v>59</v>
      </c>
      <c r="V15" s="147" t="s">
        <v>2</v>
      </c>
      <c r="W15" s="146">
        <v>3</v>
      </c>
      <c r="X15" s="147">
        <v>5</v>
      </c>
      <c r="Y15" s="148">
        <v>7</v>
      </c>
      <c r="Z15" s="147">
        <v>7.0797308723199999</v>
      </c>
      <c r="AA15" s="147">
        <v>11.799551453866666</v>
      </c>
      <c r="AB15" s="148">
        <v>16.519372035413333</v>
      </c>
      <c r="AC15" s="147">
        <v>9.4396411630933343</v>
      </c>
      <c r="AD15" s="148">
        <v>89.106825287966075</v>
      </c>
      <c r="AE15" s="148">
        <v>3.90625E-3</v>
      </c>
      <c r="AF15" s="148">
        <v>2.44140625E-2</v>
      </c>
      <c r="AG15" s="148">
        <v>1.5353249792000001</v>
      </c>
      <c r="AI15" s="146" t="s">
        <v>83</v>
      </c>
      <c r="AJ15" s="147" t="s">
        <v>18</v>
      </c>
      <c r="AK15" s="146">
        <v>2</v>
      </c>
      <c r="AL15" s="147">
        <v>2</v>
      </c>
      <c r="AM15" s="148">
        <v>2</v>
      </c>
      <c r="AN15" s="147">
        <v>5360</v>
      </c>
      <c r="AO15" s="147">
        <v>5360</v>
      </c>
      <c r="AP15" s="148">
        <v>5360</v>
      </c>
      <c r="AQ15" s="147">
        <v>0</v>
      </c>
      <c r="AR15" s="148">
        <v>0</v>
      </c>
      <c r="AS15" s="148">
        <v>3.90625E-3</v>
      </c>
      <c r="AT15" s="148">
        <v>2.44140625E-2</v>
      </c>
      <c r="AU15" s="148">
        <v>1600</v>
      </c>
      <c r="AW15" s="146" t="s">
        <v>59</v>
      </c>
      <c r="AX15" s="147" t="s">
        <v>2</v>
      </c>
      <c r="AY15" s="146">
        <v>3</v>
      </c>
      <c r="AZ15" s="147">
        <v>5</v>
      </c>
      <c r="BA15" s="148">
        <v>7</v>
      </c>
      <c r="BB15" s="147">
        <v>14.1068836864</v>
      </c>
      <c r="BC15" s="147">
        <v>23.511472810666667</v>
      </c>
      <c r="BD15" s="148">
        <v>32.916061934933332</v>
      </c>
      <c r="BE15" s="147">
        <v>18.809178248533332</v>
      </c>
      <c r="BF15" s="148">
        <v>353.78518638509939</v>
      </c>
      <c r="BG15" s="148">
        <v>3.90625E-3</v>
      </c>
      <c r="BH15" s="148">
        <v>2.5390625E-2</v>
      </c>
      <c r="BI15" s="148">
        <v>5.5816612522666667</v>
      </c>
      <c r="BK15" s="146" t="s">
        <v>83</v>
      </c>
      <c r="BL15" s="147" t="s">
        <v>18</v>
      </c>
      <c r="BM15" s="146">
        <v>2</v>
      </c>
      <c r="BN15" s="147">
        <v>2</v>
      </c>
      <c r="BO15" s="148">
        <v>2</v>
      </c>
      <c r="BP15" s="147">
        <v>11081</v>
      </c>
      <c r="BQ15" s="147">
        <v>11081</v>
      </c>
      <c r="BR15" s="148">
        <v>11081</v>
      </c>
      <c r="BS15" s="147">
        <v>0</v>
      </c>
      <c r="BT15" s="148">
        <v>0</v>
      </c>
      <c r="BU15" s="148">
        <v>3.90625E-3</v>
      </c>
      <c r="BV15" s="148">
        <v>2.44140625E-2</v>
      </c>
      <c r="BW15" s="148">
        <v>6581</v>
      </c>
      <c r="BY15" s="146" t="s">
        <v>59</v>
      </c>
      <c r="BZ15" s="147" t="s">
        <v>2</v>
      </c>
      <c r="CA15" s="146">
        <v>3</v>
      </c>
      <c r="CB15" s="147">
        <v>5</v>
      </c>
      <c r="CC15" s="148">
        <v>7</v>
      </c>
      <c r="CD15" s="147">
        <v>17.284499199999996</v>
      </c>
      <c r="CE15" s="147">
        <v>28.807498666666657</v>
      </c>
      <c r="CF15" s="148">
        <v>40.330498133333322</v>
      </c>
      <c r="CG15" s="147">
        <v>23.045998933333326</v>
      </c>
      <c r="CH15" s="148">
        <v>531.11806683520081</v>
      </c>
      <c r="CI15" s="148">
        <v>3.90625E-3</v>
      </c>
      <c r="CJ15" s="148">
        <v>2.44140625E-2</v>
      </c>
      <c r="CK15" s="148">
        <v>3.7483519999999992</v>
      </c>
    </row>
    <row r="16" spans="2:159" x14ac:dyDescent="0.2">
      <c r="U16" s="146" t="s">
        <v>76</v>
      </c>
      <c r="V16" s="147" t="s">
        <v>19</v>
      </c>
      <c r="W16" s="146">
        <v>0.1</v>
      </c>
      <c r="X16" s="147">
        <v>0.2</v>
      </c>
      <c r="Y16" s="148">
        <v>0.4</v>
      </c>
      <c r="Z16" s="147">
        <v>8.5722311338666675</v>
      </c>
      <c r="AA16" s="147">
        <v>11.799551453866666</v>
      </c>
      <c r="AB16" s="148">
        <v>18.254192093866667</v>
      </c>
      <c r="AC16" s="147">
        <v>9.6819609599999996</v>
      </c>
      <c r="AD16" s="148">
        <v>93.74036803096412</v>
      </c>
      <c r="AE16" s="148">
        <v>3.90625E-3</v>
      </c>
      <c r="AF16" s="148">
        <v>2.83203125E-2</v>
      </c>
      <c r="AG16" s="148">
        <v>1.6152938788571429</v>
      </c>
      <c r="AI16" s="146" t="s">
        <v>47</v>
      </c>
      <c r="AJ16" s="147" t="s">
        <v>19</v>
      </c>
      <c r="AK16" s="146">
        <v>0.4</v>
      </c>
      <c r="AL16" s="147">
        <v>0.6</v>
      </c>
      <c r="AM16" s="148">
        <v>0.7</v>
      </c>
      <c r="AN16" s="147">
        <v>5360</v>
      </c>
      <c r="AO16" s="147">
        <v>5360</v>
      </c>
      <c r="AP16" s="148">
        <v>5360</v>
      </c>
      <c r="AQ16" s="147">
        <v>0</v>
      </c>
      <c r="AR16" s="148">
        <v>0</v>
      </c>
      <c r="AS16" s="148">
        <v>1.953125E-3</v>
      </c>
      <c r="AT16" s="148">
        <v>2.63671875E-2</v>
      </c>
      <c r="AU16" s="148">
        <v>1600</v>
      </c>
      <c r="AW16" s="146" t="s">
        <v>76</v>
      </c>
      <c r="AX16" s="147" t="s">
        <v>19</v>
      </c>
      <c r="AY16" s="146">
        <v>0.1</v>
      </c>
      <c r="AZ16" s="147">
        <v>0.2</v>
      </c>
      <c r="BA16" s="148">
        <v>0.4</v>
      </c>
      <c r="BB16" s="147">
        <v>16.839469738666669</v>
      </c>
      <c r="BC16" s="147">
        <v>23.511472810666667</v>
      </c>
      <c r="BD16" s="148">
        <v>36.855478954666673</v>
      </c>
      <c r="BE16" s="147">
        <v>20.016009216000004</v>
      </c>
      <c r="BF16" s="148">
        <v>400.64062493499711</v>
      </c>
      <c r="BG16" s="148">
        <v>9.765625E-4</v>
      </c>
      <c r="BH16" s="148">
        <v>2.63671875E-2</v>
      </c>
      <c r="BI16" s="148">
        <v>5.9273536424228572</v>
      </c>
      <c r="BK16" s="146" t="s">
        <v>47</v>
      </c>
      <c r="BL16" s="147" t="s">
        <v>19</v>
      </c>
      <c r="BM16" s="146">
        <v>0.4</v>
      </c>
      <c r="BN16" s="147">
        <v>0.6</v>
      </c>
      <c r="BO16" s="148">
        <v>0.7</v>
      </c>
      <c r="BP16" s="147">
        <v>11081</v>
      </c>
      <c r="BQ16" s="147">
        <v>11081</v>
      </c>
      <c r="BR16" s="148">
        <v>11081</v>
      </c>
      <c r="BS16" s="147">
        <v>0</v>
      </c>
      <c r="BT16" s="148">
        <v>0</v>
      </c>
      <c r="BU16" s="148">
        <v>1.953125E-3</v>
      </c>
      <c r="BV16" s="148">
        <v>2.63671875E-2</v>
      </c>
      <c r="BW16" s="148">
        <v>6581</v>
      </c>
      <c r="BY16" s="146" t="s">
        <v>76</v>
      </c>
      <c r="BZ16" s="147" t="s">
        <v>19</v>
      </c>
      <c r="CA16" s="146">
        <v>0.1</v>
      </c>
      <c r="CB16" s="147">
        <v>0.2</v>
      </c>
      <c r="CC16" s="148">
        <v>0.4</v>
      </c>
      <c r="CD16" s="147">
        <v>20.928298666666663</v>
      </c>
      <c r="CE16" s="147">
        <v>28.807498666666657</v>
      </c>
      <c r="CF16" s="148">
        <v>44.565898666666655</v>
      </c>
      <c r="CG16" s="147">
        <v>23.637599999999992</v>
      </c>
      <c r="CH16" s="148">
        <v>558.73613375999957</v>
      </c>
      <c r="CI16" s="148">
        <v>3.90625E-3</v>
      </c>
      <c r="CJ16" s="148">
        <v>2.83203125E-2</v>
      </c>
      <c r="CK16" s="148">
        <v>3.9435885714285703</v>
      </c>
    </row>
    <row r="17" spans="18:89" ht="15" thickBot="1" x14ac:dyDescent="0.25">
      <c r="U17" s="146" t="s">
        <v>25</v>
      </c>
      <c r="V17" s="147" t="s">
        <v>19</v>
      </c>
      <c r="W17" s="146">
        <v>0.6</v>
      </c>
      <c r="X17" s="147">
        <v>0.8</v>
      </c>
      <c r="Y17" s="148">
        <v>0.9</v>
      </c>
      <c r="Z17" s="147">
        <v>22.772440541866672</v>
      </c>
      <c r="AA17" s="147">
        <v>11.799551453866666</v>
      </c>
      <c r="AB17" s="148">
        <v>6.3131069098666668</v>
      </c>
      <c r="AC17" s="147">
        <v>-16.459333632000003</v>
      </c>
      <c r="AD17" s="148">
        <v>270.90966360948642</v>
      </c>
      <c r="AE17" s="148">
        <v>9.765625E-4</v>
      </c>
      <c r="AF17" s="148">
        <v>2.9296875E-2</v>
      </c>
      <c r="AG17" s="148">
        <v>1.6833839104000001</v>
      </c>
      <c r="AI17" s="146" t="s">
        <v>25</v>
      </c>
      <c r="AJ17" s="147" t="s">
        <v>19</v>
      </c>
      <c r="AK17" s="146">
        <v>0.6</v>
      </c>
      <c r="AL17" s="147">
        <v>0.8</v>
      </c>
      <c r="AM17" s="148">
        <v>0.9</v>
      </c>
      <c r="AN17" s="147">
        <v>5360</v>
      </c>
      <c r="AO17" s="147">
        <v>5360</v>
      </c>
      <c r="AP17" s="148">
        <v>5360</v>
      </c>
      <c r="AQ17" s="147">
        <v>0</v>
      </c>
      <c r="AR17" s="148">
        <v>0</v>
      </c>
      <c r="AS17" s="148">
        <v>7.8125E-3</v>
      </c>
      <c r="AT17" s="148">
        <v>3.41796875E-2</v>
      </c>
      <c r="AU17" s="148">
        <v>1600</v>
      </c>
      <c r="AW17" s="146" t="s">
        <v>85</v>
      </c>
      <c r="AX17" s="147" t="s">
        <v>18</v>
      </c>
      <c r="AY17" s="146">
        <v>6581</v>
      </c>
      <c r="AZ17" s="147">
        <v>11081</v>
      </c>
      <c r="BA17" s="148">
        <v>17522</v>
      </c>
      <c r="BB17" s="147">
        <v>14.299159210666668</v>
      </c>
      <c r="BC17" s="147">
        <v>23.511472810666667</v>
      </c>
      <c r="BD17" s="148">
        <v>36.69736434346666</v>
      </c>
      <c r="BE17" s="147">
        <v>22.398205132799994</v>
      </c>
      <c r="BF17" s="148">
        <v>501.67959317098797</v>
      </c>
      <c r="BG17" s="148">
        <v>3.90625E-3</v>
      </c>
      <c r="BH17" s="148">
        <v>3.02734375E-2</v>
      </c>
      <c r="BI17" s="148">
        <v>6.2019960832000001</v>
      </c>
      <c r="BK17" s="146" t="s">
        <v>25</v>
      </c>
      <c r="BL17" s="147" t="s">
        <v>19</v>
      </c>
      <c r="BM17" s="146">
        <v>0.6</v>
      </c>
      <c r="BN17" s="147">
        <v>0.8</v>
      </c>
      <c r="BO17" s="148">
        <v>0.9</v>
      </c>
      <c r="BP17" s="147">
        <v>11081</v>
      </c>
      <c r="BQ17" s="147">
        <v>11081</v>
      </c>
      <c r="BR17" s="148">
        <v>11081</v>
      </c>
      <c r="BS17" s="147">
        <v>0</v>
      </c>
      <c r="BT17" s="148">
        <v>0</v>
      </c>
      <c r="BU17" s="148">
        <v>7.8125E-3</v>
      </c>
      <c r="BV17" s="148">
        <v>3.41796875E-2</v>
      </c>
      <c r="BW17" s="148">
        <v>6581</v>
      </c>
      <c r="BY17" s="146" t="s">
        <v>25</v>
      </c>
      <c r="BZ17" s="147" t="s">
        <v>19</v>
      </c>
      <c r="CA17" s="146">
        <v>0.6</v>
      </c>
      <c r="CB17" s="147">
        <v>0.8</v>
      </c>
      <c r="CC17" s="148">
        <v>0.9</v>
      </c>
      <c r="CD17" s="147">
        <v>55.596778666666665</v>
      </c>
      <c r="CE17" s="147">
        <v>28.807498666666657</v>
      </c>
      <c r="CF17" s="148">
        <v>15.412858666666661</v>
      </c>
      <c r="CG17" s="147">
        <v>-40.183920000000001</v>
      </c>
      <c r="CH17" s="148">
        <v>1614.7474265664</v>
      </c>
      <c r="CI17" s="148">
        <v>9.765625E-4</v>
      </c>
      <c r="CJ17" s="148">
        <v>2.9296875E-2</v>
      </c>
      <c r="CK17" s="148">
        <v>4.1098239999999988</v>
      </c>
    </row>
    <row r="18" spans="18:89" x14ac:dyDescent="0.2">
      <c r="R18" s="179" t="s">
        <v>13</v>
      </c>
      <c r="S18" s="180" t="s">
        <v>131</v>
      </c>
      <c r="U18" s="146" t="s">
        <v>158</v>
      </c>
      <c r="V18" s="147" t="s">
        <v>18</v>
      </c>
      <c r="W18" s="146">
        <v>1600</v>
      </c>
      <c r="X18" s="147">
        <v>5360</v>
      </c>
      <c r="Y18" s="148">
        <v>10240</v>
      </c>
      <c r="Z18" s="147">
        <v>3.5222541653333335</v>
      </c>
      <c r="AA18" s="147">
        <v>11.799551453866666</v>
      </c>
      <c r="AB18" s="148">
        <v>22.542426658133333</v>
      </c>
      <c r="AC18" s="147">
        <v>19.0201724928</v>
      </c>
      <c r="AD18" s="148">
        <v>361.76696165586577</v>
      </c>
      <c r="AE18" s="148">
        <v>1.953125E-3</v>
      </c>
      <c r="AF18" s="148">
        <v>3.125E-2</v>
      </c>
      <c r="AG18" s="148">
        <v>1.6833839104000003</v>
      </c>
      <c r="AI18" s="146" t="s">
        <v>158</v>
      </c>
      <c r="AJ18" s="147" t="s">
        <v>18</v>
      </c>
      <c r="AK18" s="146">
        <v>1600</v>
      </c>
      <c r="AL18" s="147">
        <v>5360</v>
      </c>
      <c r="AM18" s="148">
        <v>10240</v>
      </c>
      <c r="AN18" s="147">
        <v>1600</v>
      </c>
      <c r="AO18" s="147">
        <v>5360</v>
      </c>
      <c r="AP18" s="148">
        <v>10240</v>
      </c>
      <c r="AQ18" s="147">
        <v>8640</v>
      </c>
      <c r="AR18" s="148">
        <v>74649600</v>
      </c>
      <c r="AS18" s="148">
        <v>7.8125E-3</v>
      </c>
      <c r="AT18" s="148">
        <v>4.19921875E-2</v>
      </c>
      <c r="AU18" s="148">
        <v>1600</v>
      </c>
      <c r="AW18" s="146" t="s">
        <v>25</v>
      </c>
      <c r="AX18" s="147" t="s">
        <v>19</v>
      </c>
      <c r="AY18" s="146">
        <v>0.6</v>
      </c>
      <c r="AZ18" s="147">
        <v>0.8</v>
      </c>
      <c r="BA18" s="148">
        <v>0.9</v>
      </c>
      <c r="BB18" s="147">
        <v>46.196283255466682</v>
      </c>
      <c r="BC18" s="147">
        <v>23.511472810666667</v>
      </c>
      <c r="BD18" s="148">
        <v>12.169067588266667</v>
      </c>
      <c r="BE18" s="147">
        <v>-34.027215667200011</v>
      </c>
      <c r="BF18" s="148">
        <v>1157.8514060621419</v>
      </c>
      <c r="BG18" s="148">
        <v>3.90625E-3</v>
      </c>
      <c r="BH18" s="148">
        <v>3.41796875E-2</v>
      </c>
      <c r="BI18" s="148">
        <v>6.2583776168228571</v>
      </c>
      <c r="BK18" s="146" t="s">
        <v>85</v>
      </c>
      <c r="BL18" s="147" t="s">
        <v>18</v>
      </c>
      <c r="BM18" s="146">
        <v>6581</v>
      </c>
      <c r="BN18" s="147">
        <v>11081</v>
      </c>
      <c r="BO18" s="148">
        <v>17522</v>
      </c>
      <c r="BP18" s="147">
        <v>6581</v>
      </c>
      <c r="BQ18" s="147">
        <v>11081</v>
      </c>
      <c r="BR18" s="148">
        <v>17522</v>
      </c>
      <c r="BS18" s="147">
        <v>10941</v>
      </c>
      <c r="BT18" s="148">
        <v>119705481</v>
      </c>
      <c r="BU18" s="148">
        <v>7.8125E-3</v>
      </c>
      <c r="BV18" s="148">
        <v>4.19921875E-2</v>
      </c>
      <c r="BW18" s="148">
        <v>6581</v>
      </c>
      <c r="BY18" s="146" t="s">
        <v>158</v>
      </c>
      <c r="BZ18" s="147" t="s">
        <v>18</v>
      </c>
      <c r="CA18" s="146">
        <v>1600</v>
      </c>
      <c r="CB18" s="147">
        <v>5360</v>
      </c>
      <c r="CC18" s="148">
        <v>10240</v>
      </c>
      <c r="CD18" s="147">
        <v>8.5992533333333316</v>
      </c>
      <c r="CE18" s="147">
        <v>28.807498666666657</v>
      </c>
      <c r="CF18" s="148">
        <v>55.035221333333318</v>
      </c>
      <c r="CG18" s="147">
        <v>46.435967999999988</v>
      </c>
      <c r="CH18" s="148">
        <v>2156.2991240970227</v>
      </c>
      <c r="CI18" s="148">
        <v>1.953125E-3</v>
      </c>
      <c r="CJ18" s="148">
        <v>3.125E-2</v>
      </c>
      <c r="CK18" s="148">
        <v>4.1098239999999997</v>
      </c>
    </row>
    <row r="19" spans="18:89" ht="15" thickBot="1" x14ac:dyDescent="0.25">
      <c r="R19" s="181">
        <f>MATCH(C2,S3:S12,FALSE)</f>
        <v>1</v>
      </c>
      <c r="S19" s="182" t="str">
        <f>CONCATENATE("Tornado_Output",Tornado_TableIndex)</f>
        <v>Tornado_Output1</v>
      </c>
      <c r="AE19" s="148">
        <v>1.953125E-3</v>
      </c>
      <c r="AF19" s="148">
        <v>3.3203125E-2</v>
      </c>
      <c r="AG19" s="148">
        <v>1.7087332352</v>
      </c>
      <c r="AS19" s="148">
        <v>3.90625E-3</v>
      </c>
      <c r="AT19" s="148">
        <v>4.58984375E-2</v>
      </c>
      <c r="AU19" s="148">
        <v>1600</v>
      </c>
      <c r="BG19" s="148">
        <v>1.953125E-3</v>
      </c>
      <c r="BH19" s="148">
        <v>3.61328125E-2</v>
      </c>
      <c r="BI19" s="148">
        <v>6.3598075576320001</v>
      </c>
      <c r="BU19" s="148">
        <v>3.90625E-3</v>
      </c>
      <c r="BV19" s="148">
        <v>4.58984375E-2</v>
      </c>
      <c r="BW19" s="148">
        <v>6581</v>
      </c>
      <c r="CI19" s="148">
        <v>1.953125E-3</v>
      </c>
      <c r="CJ19" s="148">
        <v>3.3203125E-2</v>
      </c>
      <c r="CK19" s="148">
        <v>4.1717119999999985</v>
      </c>
    </row>
    <row r="20" spans="18:89" x14ac:dyDescent="0.2">
      <c r="AE20" s="148">
        <v>3.90625E-3</v>
      </c>
      <c r="AF20" s="148">
        <v>3.7109375E-2</v>
      </c>
      <c r="AG20" s="148">
        <v>1.8114449993142858</v>
      </c>
      <c r="AS20" s="148">
        <v>7.8125E-3</v>
      </c>
      <c r="AT20" s="148">
        <v>5.37109375E-2</v>
      </c>
      <c r="AU20" s="148">
        <v>1600</v>
      </c>
      <c r="BG20" s="148">
        <v>3.90625E-3</v>
      </c>
      <c r="BH20" s="148">
        <v>4.00390625E-2</v>
      </c>
      <c r="BI20" s="148">
        <v>6.4824949613714287</v>
      </c>
      <c r="BU20" s="148">
        <v>7.8125E-3</v>
      </c>
      <c r="BV20" s="148">
        <v>5.37109375E-2</v>
      </c>
      <c r="BW20" s="148">
        <v>6581</v>
      </c>
      <c r="CI20" s="148">
        <v>3.90625E-3</v>
      </c>
      <c r="CJ20" s="148">
        <v>3.7109375E-2</v>
      </c>
      <c r="CK20" s="148">
        <v>4.4224731428571413</v>
      </c>
    </row>
    <row r="21" spans="18:89" x14ac:dyDescent="0.2">
      <c r="AE21" s="148">
        <v>1.953125E-3</v>
      </c>
      <c r="AF21" s="148">
        <v>3.90625E-2</v>
      </c>
      <c r="AG21" s="148">
        <v>1.8423899750400001</v>
      </c>
      <c r="AS21" s="148">
        <v>3.90625E-3</v>
      </c>
      <c r="AT21" s="148">
        <v>5.76171875E-2</v>
      </c>
      <c r="AU21" s="148">
        <v>1600</v>
      </c>
      <c r="BG21" s="148">
        <v>9.765625E-4</v>
      </c>
      <c r="BH21" s="148">
        <v>4.1015625E-2</v>
      </c>
      <c r="BI21" s="148">
        <v>6.6979935027199993</v>
      </c>
      <c r="BU21" s="148">
        <v>3.90625E-3</v>
      </c>
      <c r="BV21" s="148">
        <v>5.76171875E-2</v>
      </c>
      <c r="BW21" s="148">
        <v>6581</v>
      </c>
      <c r="CI21" s="148">
        <v>1.953125E-3</v>
      </c>
      <c r="CJ21" s="148">
        <v>3.90625E-2</v>
      </c>
      <c r="CK21" s="148">
        <v>4.4980223999999991</v>
      </c>
    </row>
    <row r="22" spans="18:89" x14ac:dyDescent="0.2">
      <c r="AE22" s="148">
        <v>7.8125E-3</v>
      </c>
      <c r="AF22" s="148">
        <v>4.6875E-2</v>
      </c>
      <c r="AG22" s="148">
        <v>1.8845095253333335</v>
      </c>
      <c r="AS22" s="148">
        <v>3.90625E-3</v>
      </c>
      <c r="AT22" s="148">
        <v>6.15234375E-2</v>
      </c>
      <c r="AU22" s="148">
        <v>1600</v>
      </c>
      <c r="BG22" s="148">
        <v>1.953125E-3</v>
      </c>
      <c r="BH22" s="148">
        <v>4.296875E-2</v>
      </c>
      <c r="BI22" s="148">
        <v>6.697993502720001</v>
      </c>
      <c r="BU22" s="148">
        <v>3.90625E-3</v>
      </c>
      <c r="BV22" s="148">
        <v>6.15234375E-2</v>
      </c>
      <c r="BW22" s="148">
        <v>6581</v>
      </c>
      <c r="CI22" s="148">
        <v>7.8125E-3</v>
      </c>
      <c r="CJ22" s="148">
        <v>4.6875E-2</v>
      </c>
      <c r="CK22" s="148">
        <v>4.6008533333333324</v>
      </c>
    </row>
    <row r="23" spans="18:89" x14ac:dyDescent="0.2">
      <c r="AE23" s="148">
        <v>1.953125E-3</v>
      </c>
      <c r="AF23" s="148">
        <v>4.8828125E-2</v>
      </c>
      <c r="AG23" s="148">
        <v>1.9639478954666669</v>
      </c>
      <c r="AS23" s="148">
        <v>3.90625E-3</v>
      </c>
      <c r="AT23" s="148">
        <v>6.54296875E-2</v>
      </c>
      <c r="AU23" s="148">
        <v>1600</v>
      </c>
      <c r="BG23" s="148">
        <v>1.953125E-3</v>
      </c>
      <c r="BH23" s="148">
        <v>4.4921875E-2</v>
      </c>
      <c r="BI23" s="148">
        <v>6.91524591616</v>
      </c>
      <c r="BU23" s="148">
        <v>3.90625E-3</v>
      </c>
      <c r="BV23" s="148">
        <v>6.54296875E-2</v>
      </c>
      <c r="BW23" s="148">
        <v>6581</v>
      </c>
      <c r="CI23" s="148">
        <v>1.953125E-3</v>
      </c>
      <c r="CJ23" s="148">
        <v>4.8828125E-2</v>
      </c>
      <c r="CK23" s="148">
        <v>4.7947946666666654</v>
      </c>
    </row>
    <row r="24" spans="18:89" x14ac:dyDescent="0.2">
      <c r="AE24" s="148">
        <v>9.765625E-4</v>
      </c>
      <c r="AF24" s="148">
        <v>4.98046875E-2</v>
      </c>
      <c r="AG24" s="148">
        <v>2.0504798822400003</v>
      </c>
      <c r="AS24" s="148">
        <v>1.953125E-3</v>
      </c>
      <c r="AT24" s="148">
        <v>6.73828125E-2</v>
      </c>
      <c r="AU24" s="148">
        <v>1600</v>
      </c>
      <c r="BG24" s="148">
        <v>9.765625E-4</v>
      </c>
      <c r="BH24" s="148">
        <v>4.58984375E-2</v>
      </c>
      <c r="BI24" s="148">
        <v>6.9361252059428562</v>
      </c>
      <c r="BU24" s="148">
        <v>1.953125E-3</v>
      </c>
      <c r="BV24" s="148">
        <v>6.73828125E-2</v>
      </c>
      <c r="BW24" s="148">
        <v>6581</v>
      </c>
      <c r="CI24" s="148">
        <v>9.765625E-4</v>
      </c>
      <c r="CJ24" s="148">
        <v>4.98046875E-2</v>
      </c>
      <c r="CK24" s="148">
        <v>5.0060543999999991</v>
      </c>
    </row>
    <row r="25" spans="18:89" x14ac:dyDescent="0.2">
      <c r="AE25" s="148">
        <v>7.8125E-3</v>
      </c>
      <c r="AF25" s="148">
        <v>5.76171875E-2</v>
      </c>
      <c r="AG25" s="148">
        <v>2.1133524992000003</v>
      </c>
      <c r="AS25" s="148">
        <v>9.765625E-4</v>
      </c>
      <c r="AT25" s="148">
        <v>6.8359375E-2</v>
      </c>
      <c r="AU25" s="148">
        <v>1600</v>
      </c>
      <c r="BG25" s="148">
        <v>7.8125E-3</v>
      </c>
      <c r="BH25" s="148">
        <v>5.37109375E-2</v>
      </c>
      <c r="BI25" s="148">
        <v>7.3014405529599999</v>
      </c>
      <c r="BU25" s="148">
        <v>9.765625E-4</v>
      </c>
      <c r="BV25" s="148">
        <v>6.8359375E-2</v>
      </c>
      <c r="BW25" s="148">
        <v>6581</v>
      </c>
      <c r="CI25" s="148">
        <v>7.8125E-3</v>
      </c>
      <c r="CJ25" s="148">
        <v>5.76171875E-2</v>
      </c>
      <c r="CK25" s="148">
        <v>5.1595519999999988</v>
      </c>
    </row>
    <row r="26" spans="18:89" x14ac:dyDescent="0.2">
      <c r="AE26" s="148">
        <v>3.90625E-3</v>
      </c>
      <c r="AF26" s="148">
        <v>6.15234375E-2</v>
      </c>
      <c r="AG26" s="148">
        <v>2.1933213988571429</v>
      </c>
      <c r="AS26" s="148">
        <v>1.953125E-3</v>
      </c>
      <c r="AT26" s="148">
        <v>7.03125E-2</v>
      </c>
      <c r="AU26" s="148">
        <v>1600</v>
      </c>
      <c r="BG26" s="148">
        <v>3.90625E-3</v>
      </c>
      <c r="BH26" s="148">
        <v>5.76171875E-2</v>
      </c>
      <c r="BI26" s="148">
        <v>7.353853308342857</v>
      </c>
      <c r="BU26" s="148">
        <v>1.953125E-3</v>
      </c>
      <c r="BV26" s="148">
        <v>7.03125E-2</v>
      </c>
      <c r="BW26" s="148">
        <v>6581</v>
      </c>
      <c r="CI26" s="148">
        <v>3.90625E-3</v>
      </c>
      <c r="CJ26" s="148">
        <v>6.15234375E-2</v>
      </c>
      <c r="CK26" s="148">
        <v>5.3547885714285703</v>
      </c>
    </row>
    <row r="27" spans="18:89" x14ac:dyDescent="0.2">
      <c r="AE27" s="148">
        <v>3.90625E-3</v>
      </c>
      <c r="AF27" s="148">
        <v>6.54296875E-2</v>
      </c>
      <c r="AG27" s="148">
        <v>2.2614114304000004</v>
      </c>
      <c r="AS27" s="148">
        <v>1.953125E-3</v>
      </c>
      <c r="AT27" s="148">
        <v>7.2265625E-2</v>
      </c>
      <c r="AU27" s="148">
        <v>1600</v>
      </c>
      <c r="BG27" s="148">
        <v>1.953125E-3</v>
      </c>
      <c r="BH27" s="148">
        <v>5.95703125E-2</v>
      </c>
      <c r="BI27" s="148">
        <v>7.4423952998400011</v>
      </c>
      <c r="BU27" s="148">
        <v>1.953125E-3</v>
      </c>
      <c r="BV27" s="148">
        <v>7.2265625E-2</v>
      </c>
      <c r="BW27" s="148">
        <v>6581</v>
      </c>
      <c r="CI27" s="148">
        <v>3.90625E-3</v>
      </c>
      <c r="CJ27" s="148">
        <v>6.54296875E-2</v>
      </c>
      <c r="CK27" s="148">
        <v>5.5210239999999988</v>
      </c>
    </row>
    <row r="28" spans="18:89" x14ac:dyDescent="0.2">
      <c r="AE28" s="148">
        <v>1.953125E-3</v>
      </c>
      <c r="AF28" s="148">
        <v>6.73828125E-2</v>
      </c>
      <c r="AG28" s="148">
        <v>2.2614114304000004</v>
      </c>
      <c r="AS28" s="148">
        <v>1.953125E-3</v>
      </c>
      <c r="AT28" s="148">
        <v>7.421875E-2</v>
      </c>
      <c r="AU28" s="148">
        <v>1600</v>
      </c>
      <c r="BG28" s="148">
        <v>7.8125E-3</v>
      </c>
      <c r="BH28" s="148">
        <v>6.73828125E-2</v>
      </c>
      <c r="BI28" s="148">
        <v>7.5629107882666666</v>
      </c>
      <c r="BU28" s="148">
        <v>1.953125E-3</v>
      </c>
      <c r="BV28" s="148">
        <v>7.421875E-2</v>
      </c>
      <c r="BW28" s="148">
        <v>6581</v>
      </c>
      <c r="CI28" s="148">
        <v>1.953125E-3</v>
      </c>
      <c r="CJ28" s="148">
        <v>6.73828125E-2</v>
      </c>
      <c r="CK28" s="148">
        <v>5.5210239999999988</v>
      </c>
    </row>
    <row r="29" spans="18:89" x14ac:dyDescent="0.2">
      <c r="AE29" s="148">
        <v>9.765625E-4</v>
      </c>
      <c r="AF29" s="148">
        <v>6.8359375E-2</v>
      </c>
      <c r="AG29" s="148">
        <v>2.3567374745600005</v>
      </c>
      <c r="AS29" s="148">
        <v>9.765625E-4</v>
      </c>
      <c r="AT29" s="148">
        <v>7.51953125E-2</v>
      </c>
      <c r="AU29" s="148">
        <v>1600</v>
      </c>
      <c r="BG29" s="148">
        <v>3.90625E-3</v>
      </c>
      <c r="BH29" s="148">
        <v>7.12890625E-2</v>
      </c>
      <c r="BI29" s="148">
        <v>7.5711994733714292</v>
      </c>
      <c r="BU29" s="148">
        <v>9.765625E-4</v>
      </c>
      <c r="BV29" s="148">
        <v>7.51953125E-2</v>
      </c>
      <c r="BW29" s="148">
        <v>6581</v>
      </c>
      <c r="CI29" s="148">
        <v>9.765625E-4</v>
      </c>
      <c r="CJ29" s="148">
        <v>6.8359375E-2</v>
      </c>
      <c r="CK29" s="148">
        <v>5.7537535999999996</v>
      </c>
    </row>
    <row r="30" spans="18:89" x14ac:dyDescent="0.2">
      <c r="AE30" s="148">
        <v>1.953125E-3</v>
      </c>
      <c r="AF30" s="148">
        <v>7.03125E-2</v>
      </c>
      <c r="AG30" s="148">
        <v>2.4168583285028573</v>
      </c>
      <c r="AS30" s="148">
        <v>1.953125E-3</v>
      </c>
      <c r="AT30" s="148">
        <v>7.71484375E-2</v>
      </c>
      <c r="AU30" s="148">
        <v>1600</v>
      </c>
      <c r="BG30" s="148">
        <v>1.953125E-3</v>
      </c>
      <c r="BH30" s="148">
        <v>7.32421875E-2</v>
      </c>
      <c r="BI30" s="148">
        <v>7.8143257531733346</v>
      </c>
      <c r="BU30" s="148">
        <v>1.953125E-3</v>
      </c>
      <c r="BV30" s="148">
        <v>7.71484375E-2</v>
      </c>
      <c r="BW30" s="148">
        <v>6581</v>
      </c>
      <c r="CI30" s="148">
        <v>1.953125E-3</v>
      </c>
      <c r="CJ30" s="148">
        <v>7.03125E-2</v>
      </c>
      <c r="CK30" s="148">
        <v>5.9005330285714273</v>
      </c>
    </row>
    <row r="31" spans="18:89" x14ac:dyDescent="0.2">
      <c r="AE31" s="148">
        <v>1.953125E-3</v>
      </c>
      <c r="AF31" s="148">
        <v>7.2265625E-2</v>
      </c>
      <c r="AG31" s="148">
        <v>2.441047478857143</v>
      </c>
      <c r="AS31" s="148">
        <v>9.765625E-4</v>
      </c>
      <c r="AT31" s="148">
        <v>7.8125E-2</v>
      </c>
      <c r="AU31" s="148">
        <v>1600</v>
      </c>
      <c r="BG31" s="148">
        <v>1.953125E-3</v>
      </c>
      <c r="BH31" s="148">
        <v>7.51953125E-2</v>
      </c>
      <c r="BI31" s="148">
        <v>8.0921460736000004</v>
      </c>
      <c r="BU31" s="148">
        <v>9.765625E-4</v>
      </c>
      <c r="BV31" s="148">
        <v>7.8125E-2</v>
      </c>
      <c r="BW31" s="148">
        <v>6581</v>
      </c>
      <c r="CI31" s="148">
        <v>1.953125E-3</v>
      </c>
      <c r="CJ31" s="148">
        <v>7.2265625E-2</v>
      </c>
      <c r="CK31" s="148">
        <v>5.9595885714285703</v>
      </c>
    </row>
    <row r="32" spans="18:89" x14ac:dyDescent="0.2">
      <c r="AE32" s="148">
        <v>9.765625E-4</v>
      </c>
      <c r="AF32" s="148">
        <v>7.32421875E-2</v>
      </c>
      <c r="AG32" s="148">
        <v>2.5050780233142862</v>
      </c>
      <c r="AS32" s="148">
        <v>9.765625E-4</v>
      </c>
      <c r="AT32" s="148">
        <v>7.91015625E-2</v>
      </c>
      <c r="AU32" s="148">
        <v>1600</v>
      </c>
      <c r="BG32" s="148">
        <v>9.765625E-4</v>
      </c>
      <c r="BH32" s="148">
        <v>7.6171875E-2</v>
      </c>
      <c r="BI32" s="148">
        <v>8.2982950993920017</v>
      </c>
      <c r="BU32" s="148">
        <v>9.765625E-4</v>
      </c>
      <c r="BV32" s="148">
        <v>7.91015625E-2</v>
      </c>
      <c r="BW32" s="148">
        <v>6581</v>
      </c>
      <c r="CI32" s="148">
        <v>9.765625E-4</v>
      </c>
      <c r="CJ32" s="148">
        <v>7.32421875E-2</v>
      </c>
      <c r="CK32" s="148">
        <v>6.115913142857142</v>
      </c>
    </row>
    <row r="33" spans="31:89" x14ac:dyDescent="0.2">
      <c r="AE33" s="148">
        <v>3.90625E-3</v>
      </c>
      <c r="AF33" s="148">
        <v>7.71484375E-2</v>
      </c>
      <c r="AG33" s="148">
        <v>2.5360229990400001</v>
      </c>
      <c r="AS33" s="148">
        <v>3.90625E-3</v>
      </c>
      <c r="AT33" s="148">
        <v>8.30078125E-2</v>
      </c>
      <c r="AU33" s="148">
        <v>1600</v>
      </c>
      <c r="BG33" s="148">
        <v>7.8125E-3</v>
      </c>
      <c r="BH33" s="148">
        <v>8.3984375E-2</v>
      </c>
      <c r="BI33" s="148">
        <v>8.5794955264000006</v>
      </c>
      <c r="BU33" s="148">
        <v>3.90625E-3</v>
      </c>
      <c r="BV33" s="148">
        <v>8.30078125E-2</v>
      </c>
      <c r="BW33" s="148">
        <v>6581</v>
      </c>
      <c r="CI33" s="148">
        <v>3.90625E-3</v>
      </c>
      <c r="CJ33" s="148">
        <v>7.71484375E-2</v>
      </c>
      <c r="CK33" s="148">
        <v>6.191462399999998</v>
      </c>
    </row>
    <row r="34" spans="31:89" x14ac:dyDescent="0.2">
      <c r="AE34" s="148">
        <v>7.8125E-3</v>
      </c>
      <c r="AF34" s="148">
        <v>8.49609375E-2</v>
      </c>
      <c r="AG34" s="148">
        <v>2.5588749653333336</v>
      </c>
      <c r="AS34" s="148">
        <v>1.953125E-3</v>
      </c>
      <c r="AT34" s="148">
        <v>8.49609375E-2</v>
      </c>
      <c r="AU34" s="148">
        <v>1600</v>
      </c>
      <c r="BG34" s="148">
        <v>3.90625E-3</v>
      </c>
      <c r="BH34" s="148">
        <v>8.7890625E-2</v>
      </c>
      <c r="BI34" s="148">
        <v>8.6602987227428549</v>
      </c>
      <c r="BU34" s="148">
        <v>1.953125E-3</v>
      </c>
      <c r="BV34" s="148">
        <v>8.49609375E-2</v>
      </c>
      <c r="BW34" s="148">
        <v>6581</v>
      </c>
      <c r="CI34" s="148">
        <v>7.8125E-3</v>
      </c>
      <c r="CJ34" s="148">
        <v>8.49609375E-2</v>
      </c>
      <c r="CK34" s="148">
        <v>6.2472533333333322</v>
      </c>
    </row>
    <row r="35" spans="31:89" x14ac:dyDescent="0.2">
      <c r="AE35" s="148">
        <v>3.90625E-3</v>
      </c>
      <c r="AF35" s="148">
        <v>8.88671875E-2</v>
      </c>
      <c r="AG35" s="148">
        <v>2.638313335466667</v>
      </c>
      <c r="AS35" s="148">
        <v>3.90625E-3</v>
      </c>
      <c r="AT35" s="148">
        <v>8.88671875E-2</v>
      </c>
      <c r="AU35" s="148">
        <v>1600</v>
      </c>
      <c r="BG35" s="148">
        <v>3.90625E-3</v>
      </c>
      <c r="BH35" s="148">
        <v>9.1796875E-2</v>
      </c>
      <c r="BI35" s="148">
        <v>8.7617286635520006</v>
      </c>
      <c r="BU35" s="148">
        <v>3.90625E-3</v>
      </c>
      <c r="BV35" s="148">
        <v>8.88671875E-2</v>
      </c>
      <c r="BW35" s="148">
        <v>6581</v>
      </c>
      <c r="CI35" s="148">
        <v>3.90625E-3</v>
      </c>
      <c r="CJ35" s="148">
        <v>8.88671875E-2</v>
      </c>
      <c r="CK35" s="148">
        <v>6.4411946666666653</v>
      </c>
    </row>
    <row r="36" spans="31:89" x14ac:dyDescent="0.2">
      <c r="AE36" s="148">
        <v>1.953125E-3</v>
      </c>
      <c r="AF36" s="148">
        <v>9.08203125E-2</v>
      </c>
      <c r="AG36" s="148">
        <v>2.8023493193142852</v>
      </c>
      <c r="AS36" s="148">
        <v>1.953125E-3</v>
      </c>
      <c r="AT36" s="148">
        <v>9.08203125E-2</v>
      </c>
      <c r="AU36" s="148">
        <v>1600</v>
      </c>
      <c r="BG36" s="148">
        <v>7.8125E-3</v>
      </c>
      <c r="BH36" s="148">
        <v>9.9609375E-2</v>
      </c>
      <c r="BI36" s="148">
        <v>8.833066052266668</v>
      </c>
      <c r="BU36" s="148">
        <v>1.953125E-3</v>
      </c>
      <c r="BV36" s="148">
        <v>9.08203125E-2</v>
      </c>
      <c r="BW36" s="148">
        <v>6581</v>
      </c>
      <c r="CI36" s="148">
        <v>1.953125E-3</v>
      </c>
      <c r="CJ36" s="148">
        <v>9.08203125E-2</v>
      </c>
      <c r="CK36" s="148">
        <v>6.8416731428571396</v>
      </c>
    </row>
    <row r="37" spans="31:89" x14ac:dyDescent="0.2">
      <c r="AE37" s="148">
        <v>3.90625E-3</v>
      </c>
      <c r="AF37" s="148">
        <v>9.47265625E-2</v>
      </c>
      <c r="AG37" s="148">
        <v>2.8196680499200002</v>
      </c>
      <c r="AS37" s="148">
        <v>1.953125E-3</v>
      </c>
      <c r="AT37" s="148">
        <v>9.27734375E-2</v>
      </c>
      <c r="AU37" s="148">
        <v>1600</v>
      </c>
      <c r="BG37" s="148">
        <v>3.90625E-3</v>
      </c>
      <c r="BH37" s="148">
        <v>0.103515625</v>
      </c>
      <c r="BI37" s="148">
        <v>8.8599944045714292</v>
      </c>
      <c r="BU37" s="148">
        <v>1.953125E-3</v>
      </c>
      <c r="BV37" s="148">
        <v>9.27734375E-2</v>
      </c>
      <c r="BW37" s="148">
        <v>6581</v>
      </c>
      <c r="CI37" s="148">
        <v>3.90625E-3</v>
      </c>
      <c r="CJ37" s="148">
        <v>9.47265625E-2</v>
      </c>
      <c r="CK37" s="148">
        <v>6.8839551999999982</v>
      </c>
    </row>
    <row r="38" spans="31:89" x14ac:dyDescent="0.2">
      <c r="AE38" s="148">
        <v>3.90625E-3</v>
      </c>
      <c r="AF38" s="148">
        <v>9.86328125E-2</v>
      </c>
      <c r="AG38" s="148">
        <v>2.8478887253333336</v>
      </c>
      <c r="AS38" s="148">
        <v>1.953125E-3</v>
      </c>
      <c r="AT38" s="148">
        <v>9.47265625E-2</v>
      </c>
      <c r="AU38" s="148">
        <v>1600</v>
      </c>
      <c r="BG38" s="148">
        <v>1.953125E-3</v>
      </c>
      <c r="BH38" s="148">
        <v>0.10546875</v>
      </c>
      <c r="BI38" s="148">
        <v>9.0754929459199989</v>
      </c>
      <c r="BU38" s="148">
        <v>1.953125E-3</v>
      </c>
      <c r="BV38" s="148">
        <v>9.47265625E-2</v>
      </c>
      <c r="BW38" s="148">
        <v>6581</v>
      </c>
      <c r="CI38" s="148">
        <v>3.90625E-3</v>
      </c>
      <c r="CJ38" s="148">
        <v>9.86328125E-2</v>
      </c>
      <c r="CK38" s="148">
        <v>6.9528533333333318</v>
      </c>
    </row>
    <row r="39" spans="31:89" x14ac:dyDescent="0.2">
      <c r="AE39" s="148">
        <v>1.953125E-3</v>
      </c>
      <c r="AF39" s="148">
        <v>0.1005859375</v>
      </c>
      <c r="AG39" s="148">
        <v>2.9225910272000006</v>
      </c>
      <c r="AS39" s="148">
        <v>9.765625E-4</v>
      </c>
      <c r="AT39" s="148">
        <v>9.5703125E-2</v>
      </c>
      <c r="AU39" s="148">
        <v>1600</v>
      </c>
      <c r="BG39" s="148">
        <v>3.90625E-3</v>
      </c>
      <c r="BH39" s="148">
        <v>0.109375</v>
      </c>
      <c r="BI39" s="148">
        <v>9.0754929459200007</v>
      </c>
      <c r="BU39" s="148">
        <v>9.765625E-4</v>
      </c>
      <c r="BV39" s="148">
        <v>9.5703125E-2</v>
      </c>
      <c r="BW39" s="148">
        <v>6581</v>
      </c>
      <c r="CI39" s="148">
        <v>1.953125E-3</v>
      </c>
      <c r="CJ39" s="148">
        <v>0.1005859375</v>
      </c>
      <c r="CK39" s="148">
        <v>7.1352319999999994</v>
      </c>
    </row>
    <row r="40" spans="31:89" x14ac:dyDescent="0.2">
      <c r="AE40" s="148">
        <v>7.8125E-3</v>
      </c>
      <c r="AF40" s="148">
        <v>0.1083984375</v>
      </c>
      <c r="AG40" s="148">
        <v>3.0190749988571426</v>
      </c>
      <c r="AS40" s="148">
        <v>1.953125E-3</v>
      </c>
      <c r="AT40" s="148">
        <v>9.765625E-2</v>
      </c>
      <c r="AU40" s="148">
        <v>1600</v>
      </c>
      <c r="BG40" s="148">
        <v>9.765625E-4</v>
      </c>
      <c r="BH40" s="148">
        <v>0.1103515625</v>
      </c>
      <c r="BI40" s="148">
        <v>9.3771909038080015</v>
      </c>
      <c r="BU40" s="148">
        <v>1.953125E-3</v>
      </c>
      <c r="BV40" s="148">
        <v>9.765625E-2</v>
      </c>
      <c r="BW40" s="148">
        <v>6581</v>
      </c>
      <c r="CI40" s="148">
        <v>7.8125E-3</v>
      </c>
      <c r="CJ40" s="148">
        <v>0.1083984375</v>
      </c>
      <c r="CK40" s="148">
        <v>7.3707885714285686</v>
      </c>
    </row>
    <row r="41" spans="31:89" x14ac:dyDescent="0.2">
      <c r="AE41" s="148">
        <v>3.90625E-3</v>
      </c>
      <c r="AF41" s="148">
        <v>0.1123046875</v>
      </c>
      <c r="AG41" s="148">
        <v>3.0706499584000002</v>
      </c>
      <c r="AS41" s="148">
        <v>3.90625E-3</v>
      </c>
      <c r="AT41" s="148">
        <v>0.1015625</v>
      </c>
      <c r="AU41" s="148">
        <v>1600</v>
      </c>
      <c r="BG41" s="148">
        <v>1.953125E-3</v>
      </c>
      <c r="BH41" s="148">
        <v>0.1123046875</v>
      </c>
      <c r="BI41" s="148">
        <v>9.6490354395428568</v>
      </c>
      <c r="BU41" s="148">
        <v>3.90625E-3</v>
      </c>
      <c r="BV41" s="148">
        <v>0.1015625</v>
      </c>
      <c r="BW41" s="148">
        <v>6581</v>
      </c>
      <c r="CI41" s="148">
        <v>3.90625E-3</v>
      </c>
      <c r="CJ41" s="148">
        <v>0.1123046875</v>
      </c>
      <c r="CK41" s="148">
        <v>7.4967039999999985</v>
      </c>
    </row>
    <row r="42" spans="31:89" x14ac:dyDescent="0.2">
      <c r="AE42" s="148">
        <v>1.953125E-3</v>
      </c>
      <c r="AF42" s="148">
        <v>0.1142578125</v>
      </c>
      <c r="AG42" s="148">
        <v>3.0706499584000002</v>
      </c>
      <c r="AS42" s="148">
        <v>3.90625E-3</v>
      </c>
      <c r="AT42" s="148">
        <v>0.10546875</v>
      </c>
      <c r="AU42" s="148">
        <v>1600</v>
      </c>
      <c r="BG42" s="148">
        <v>1.953125E-3</v>
      </c>
      <c r="BH42" s="148">
        <v>0.1142578125</v>
      </c>
      <c r="BI42" s="148">
        <v>9.6896934824228573</v>
      </c>
      <c r="BU42" s="148">
        <v>3.90625E-3</v>
      </c>
      <c r="BV42" s="148">
        <v>0.10546875</v>
      </c>
      <c r="BW42" s="148">
        <v>6581</v>
      </c>
      <c r="CI42" s="148">
        <v>1.953125E-3</v>
      </c>
      <c r="CJ42" s="148">
        <v>0.1142578125</v>
      </c>
      <c r="CK42" s="148">
        <v>7.4967039999999985</v>
      </c>
    </row>
    <row r="43" spans="31:89" x14ac:dyDescent="0.2">
      <c r="AE43" s="148">
        <v>1.953125E-3</v>
      </c>
      <c r="AF43" s="148">
        <v>0.1162109375</v>
      </c>
      <c r="AG43" s="148">
        <v>3.1659760025600003</v>
      </c>
      <c r="AS43" s="148">
        <v>3.90625E-3</v>
      </c>
      <c r="AT43" s="148">
        <v>0.109375</v>
      </c>
      <c r="AU43" s="148">
        <v>1600</v>
      </c>
      <c r="BG43" s="148">
        <v>9.765625E-4</v>
      </c>
      <c r="BH43" s="148">
        <v>0.115234375</v>
      </c>
      <c r="BI43" s="148">
        <v>9.7105752883200012</v>
      </c>
      <c r="BU43" s="148">
        <v>3.90625E-3</v>
      </c>
      <c r="BV43" s="148">
        <v>0.109375</v>
      </c>
      <c r="BW43" s="148">
        <v>6581</v>
      </c>
      <c r="CI43" s="148">
        <v>1.953125E-3</v>
      </c>
      <c r="CJ43" s="148">
        <v>0.1162109375</v>
      </c>
      <c r="CK43" s="148">
        <v>7.7294335999999983</v>
      </c>
    </row>
    <row r="44" spans="31:89" x14ac:dyDescent="0.2">
      <c r="AE44" s="148">
        <v>3.90625E-3</v>
      </c>
      <c r="AF44" s="148">
        <v>0.1201171875</v>
      </c>
      <c r="AG44" s="148">
        <v>3.2467406965028571</v>
      </c>
      <c r="AS44" s="148">
        <v>7.8125E-3</v>
      </c>
      <c r="AT44" s="148">
        <v>0.1171875</v>
      </c>
      <c r="AU44" s="148">
        <v>1600</v>
      </c>
      <c r="BG44" s="148">
        <v>1.953125E-3</v>
      </c>
      <c r="BH44" s="148">
        <v>0.1171875</v>
      </c>
      <c r="BI44" s="148">
        <v>9.878922737371429</v>
      </c>
      <c r="BU44" s="148">
        <v>7.8125E-3</v>
      </c>
      <c r="BV44" s="148">
        <v>0.1171875</v>
      </c>
      <c r="BW44" s="148">
        <v>6581</v>
      </c>
      <c r="CI44" s="148">
        <v>3.90625E-3</v>
      </c>
      <c r="CJ44" s="148">
        <v>0.1201171875</v>
      </c>
      <c r="CK44" s="148">
        <v>7.9266130285714258</v>
      </c>
    </row>
    <row r="45" spans="31:89" x14ac:dyDescent="0.2">
      <c r="AE45" s="148">
        <v>3.90625E-3</v>
      </c>
      <c r="AF45" s="148">
        <v>0.1240234375</v>
      </c>
      <c r="AG45" s="148">
        <v>3.2694075391999999</v>
      </c>
      <c r="AS45" s="148">
        <v>1.5625E-2</v>
      </c>
      <c r="AT45" s="148">
        <v>0.1328125</v>
      </c>
      <c r="AU45" s="148">
        <v>1600</v>
      </c>
      <c r="BG45" s="148">
        <v>7.8125E-3</v>
      </c>
      <c r="BH45" s="148">
        <v>0.125</v>
      </c>
      <c r="BI45" s="148">
        <v>10.103681843199999</v>
      </c>
      <c r="BU45" s="148">
        <v>1.5625E-2</v>
      </c>
      <c r="BV45" s="148">
        <v>0.1328125</v>
      </c>
      <c r="BW45" s="148">
        <v>6581</v>
      </c>
      <c r="CI45" s="148">
        <v>3.90625E-3</v>
      </c>
      <c r="CJ45" s="148">
        <v>0.1240234375</v>
      </c>
      <c r="CK45" s="148">
        <v>7.981951999999997</v>
      </c>
    </row>
    <row r="46" spans="31:89" x14ac:dyDescent="0.2">
      <c r="AE46" s="148">
        <v>1.953125E-3</v>
      </c>
      <c r="AF46" s="148">
        <v>0.1259765625</v>
      </c>
      <c r="AG46" s="148">
        <v>3.3836016599040004</v>
      </c>
      <c r="AS46" s="148">
        <v>7.8125E-3</v>
      </c>
      <c r="AT46" s="148">
        <v>0.140625</v>
      </c>
      <c r="AU46" s="148">
        <v>1600</v>
      </c>
      <c r="BG46" s="148">
        <v>9.765625E-4</v>
      </c>
      <c r="BH46" s="148">
        <v>0.1259765625</v>
      </c>
      <c r="BI46" s="148">
        <v>10.206852640182859</v>
      </c>
      <c r="BU46" s="148">
        <v>7.8125E-3</v>
      </c>
      <c r="BV46" s="148">
        <v>0.140625</v>
      </c>
      <c r="BW46" s="148">
        <v>6581</v>
      </c>
      <c r="CI46" s="148">
        <v>1.953125E-3</v>
      </c>
      <c r="CJ46" s="148">
        <v>0.1259765625</v>
      </c>
      <c r="CK46" s="148">
        <v>8.2607462399999978</v>
      </c>
    </row>
    <row r="47" spans="31:89" x14ac:dyDescent="0.2">
      <c r="AE47" s="148">
        <v>9.765625E-4</v>
      </c>
      <c r="AF47" s="148">
        <v>0.126953125</v>
      </c>
      <c r="AG47" s="148">
        <v>3.4174664704</v>
      </c>
      <c r="AS47" s="148">
        <v>3.90625E-3</v>
      </c>
      <c r="AT47" s="148">
        <v>0.14453125</v>
      </c>
      <c r="AU47" s="148">
        <v>1600</v>
      </c>
      <c r="BG47" s="148">
        <v>3.90625E-3</v>
      </c>
      <c r="BH47" s="148">
        <v>0.1298828125</v>
      </c>
      <c r="BI47" s="148">
        <v>10.295394631680001</v>
      </c>
      <c r="BU47" s="148">
        <v>3.90625E-3</v>
      </c>
      <c r="BV47" s="148">
        <v>0.14453125</v>
      </c>
      <c r="BW47" s="148">
        <v>6581</v>
      </c>
      <c r="CI47" s="148">
        <v>9.765625E-4</v>
      </c>
      <c r="CJ47" s="148">
        <v>0.126953125</v>
      </c>
      <c r="CK47" s="148">
        <v>8.3434239999999971</v>
      </c>
    </row>
    <row r="48" spans="31:89" x14ac:dyDescent="0.2">
      <c r="AE48" s="148">
        <v>1.953125E-3</v>
      </c>
      <c r="AF48" s="148">
        <v>0.12890625</v>
      </c>
      <c r="AG48" s="148">
        <v>3.4174664704</v>
      </c>
      <c r="AS48" s="148">
        <v>3.90625E-3</v>
      </c>
      <c r="AT48" s="148">
        <v>0.1484375</v>
      </c>
      <c r="AU48" s="148">
        <v>1600</v>
      </c>
      <c r="BG48" s="148">
        <v>7.8125E-3</v>
      </c>
      <c r="BH48" s="148">
        <v>0.1376953125</v>
      </c>
      <c r="BI48" s="148">
        <v>10.336660138666668</v>
      </c>
      <c r="BU48" s="148">
        <v>3.90625E-3</v>
      </c>
      <c r="BV48" s="148">
        <v>0.1484375</v>
      </c>
      <c r="BW48" s="148">
        <v>6581</v>
      </c>
      <c r="CI48" s="148">
        <v>1.953125E-3</v>
      </c>
      <c r="CJ48" s="148">
        <v>0.12890625</v>
      </c>
      <c r="CK48" s="148">
        <v>8.3434239999999971</v>
      </c>
    </row>
    <row r="49" spans="31:89" x14ac:dyDescent="0.2">
      <c r="AE49" s="148">
        <v>1.953125E-3</v>
      </c>
      <c r="AF49" s="148">
        <v>0.130859375</v>
      </c>
      <c r="AG49" s="148">
        <v>3.495982343314286</v>
      </c>
      <c r="AS49" s="148">
        <v>3.90625E-3</v>
      </c>
      <c r="AT49" s="148">
        <v>0.15234375</v>
      </c>
      <c r="AU49" s="148">
        <v>1600</v>
      </c>
      <c r="BG49" s="148">
        <v>7.8125E-3</v>
      </c>
      <c r="BH49" s="148">
        <v>0.1455078125</v>
      </c>
      <c r="BI49" s="148">
        <v>10.430629361371428</v>
      </c>
      <c r="BU49" s="148">
        <v>3.90625E-3</v>
      </c>
      <c r="BV49" s="148">
        <v>0.15234375</v>
      </c>
      <c r="BW49" s="148">
        <v>6581</v>
      </c>
      <c r="CI49" s="148">
        <v>1.953125E-3</v>
      </c>
      <c r="CJ49" s="148">
        <v>0.130859375</v>
      </c>
      <c r="CK49" s="148">
        <v>8.5351131428571403</v>
      </c>
    </row>
    <row r="50" spans="31:89" x14ac:dyDescent="0.2">
      <c r="AE50" s="148">
        <v>9.765625E-4</v>
      </c>
      <c r="AF50" s="148">
        <v>0.1318359375</v>
      </c>
      <c r="AG50" s="148">
        <v>3.5071092326400013</v>
      </c>
      <c r="AS50" s="148">
        <v>1.953125E-3</v>
      </c>
      <c r="AT50" s="148">
        <v>0.154296875</v>
      </c>
      <c r="AU50" s="148">
        <v>1600</v>
      </c>
      <c r="BG50" s="148">
        <v>3.90625E-3</v>
      </c>
      <c r="BH50" s="148">
        <v>0.1494140625</v>
      </c>
      <c r="BI50" s="148">
        <v>10.588075103573333</v>
      </c>
      <c r="BU50" s="148">
        <v>1.953125E-3</v>
      </c>
      <c r="BV50" s="148">
        <v>0.154296875</v>
      </c>
      <c r="BW50" s="148">
        <v>6581</v>
      </c>
      <c r="CI50" s="148">
        <v>9.765625E-4</v>
      </c>
      <c r="CJ50" s="148">
        <v>0.1318359375</v>
      </c>
      <c r="CK50" s="148">
        <v>8.5622784000000003</v>
      </c>
    </row>
    <row r="51" spans="31:89" x14ac:dyDescent="0.2">
      <c r="AE51" s="148">
        <v>1.5625E-2</v>
      </c>
      <c r="AF51" s="148">
        <v>0.1474609375</v>
      </c>
      <c r="AG51" s="148">
        <v>3.5222541653333335</v>
      </c>
      <c r="AS51" s="148">
        <v>9.765625E-4</v>
      </c>
      <c r="AT51" s="148">
        <v>0.1552734375</v>
      </c>
      <c r="AU51" s="148">
        <v>1600</v>
      </c>
      <c r="BG51" s="148">
        <v>1.953125E-3</v>
      </c>
      <c r="BH51" s="148">
        <v>0.1513671875</v>
      </c>
      <c r="BI51" s="148">
        <v>10.599679262719999</v>
      </c>
      <c r="BU51" s="148">
        <v>9.765625E-4</v>
      </c>
      <c r="BV51" s="148">
        <v>0.1552734375</v>
      </c>
      <c r="BW51" s="148">
        <v>6581</v>
      </c>
      <c r="CI51" s="148">
        <v>1.5625E-2</v>
      </c>
      <c r="CJ51" s="148">
        <v>0.1474609375</v>
      </c>
      <c r="CK51" s="148">
        <v>8.5992533333333316</v>
      </c>
    </row>
    <row r="52" spans="31:89" x14ac:dyDescent="0.2">
      <c r="AE52" s="148">
        <v>3.90625E-3</v>
      </c>
      <c r="AF52" s="148">
        <v>0.1513671875</v>
      </c>
      <c r="AG52" s="148">
        <v>3.5824249514666668</v>
      </c>
      <c r="AS52" s="148">
        <v>1.953125E-3</v>
      </c>
      <c r="AT52" s="148">
        <v>0.1572265625</v>
      </c>
      <c r="AU52" s="148">
        <v>1600</v>
      </c>
      <c r="BG52" s="148">
        <v>3.90625E-3</v>
      </c>
      <c r="BH52" s="148">
        <v>0.1552734375</v>
      </c>
      <c r="BI52" s="148">
        <v>10.599679262720002</v>
      </c>
      <c r="BU52" s="148">
        <v>1.953125E-3</v>
      </c>
      <c r="BV52" s="148">
        <v>0.1572265625</v>
      </c>
      <c r="BW52" s="148">
        <v>6581</v>
      </c>
      <c r="CI52" s="148">
        <v>3.90625E-3</v>
      </c>
      <c r="CJ52" s="148">
        <v>0.1513671875</v>
      </c>
      <c r="CK52" s="148">
        <v>8.7461546666666639</v>
      </c>
    </row>
    <row r="53" spans="31:89" x14ac:dyDescent="0.2">
      <c r="AE53" s="148">
        <v>7.8125E-3</v>
      </c>
      <c r="AF53" s="148">
        <v>0.1591796875</v>
      </c>
      <c r="AG53" s="148">
        <v>3.78786414592</v>
      </c>
      <c r="AS53" s="148">
        <v>1.953125E-3</v>
      </c>
      <c r="AT53" s="148">
        <v>0.1591796875</v>
      </c>
      <c r="AU53" s="148">
        <v>1600</v>
      </c>
      <c r="BG53" s="148">
        <v>3.90625E-3</v>
      </c>
      <c r="BH53" s="148">
        <v>0.1591796875</v>
      </c>
      <c r="BI53" s="148">
        <v>11.2572080128</v>
      </c>
      <c r="BU53" s="148">
        <v>1.953125E-3</v>
      </c>
      <c r="BV53" s="148">
        <v>0.1591796875</v>
      </c>
      <c r="BW53" s="148">
        <v>6581</v>
      </c>
      <c r="CI53" s="148">
        <v>7.8125E-3</v>
      </c>
      <c r="CJ53" s="148">
        <v>0.1591796875</v>
      </c>
      <c r="CK53" s="148">
        <v>9.2477151999999965</v>
      </c>
    </row>
    <row r="54" spans="31:89" x14ac:dyDescent="0.2">
      <c r="AE54" s="148">
        <v>1.953125E-3</v>
      </c>
      <c r="AF54" s="148">
        <v>0.1611328125</v>
      </c>
      <c r="AG54" s="148">
        <v>3.9232890470399999</v>
      </c>
      <c r="AS54" s="148">
        <v>1.953125E-3</v>
      </c>
      <c r="AT54" s="148">
        <v>0.1611328125</v>
      </c>
      <c r="AU54" s="148">
        <v>1600</v>
      </c>
      <c r="BG54" s="148">
        <v>3.90625E-3</v>
      </c>
      <c r="BH54" s="148">
        <v>0.1630859375</v>
      </c>
      <c r="BI54" s="148">
        <v>11.30464239616</v>
      </c>
      <c r="BU54" s="148">
        <v>1.953125E-3</v>
      </c>
      <c r="BV54" s="148">
        <v>0.1611328125</v>
      </c>
      <c r="BW54" s="148">
        <v>6581</v>
      </c>
      <c r="CI54" s="148">
        <v>1.953125E-3</v>
      </c>
      <c r="CJ54" s="148">
        <v>0.1611328125</v>
      </c>
      <c r="CK54" s="148">
        <v>9.5783423999999968</v>
      </c>
    </row>
    <row r="55" spans="31:89" x14ac:dyDescent="0.2">
      <c r="AE55" s="148">
        <v>1.953125E-3</v>
      </c>
      <c r="AF55" s="148">
        <v>0.1630859375</v>
      </c>
      <c r="AG55" s="148">
        <v>3.9870442154666668</v>
      </c>
      <c r="AS55" s="148">
        <v>3.90625E-3</v>
      </c>
      <c r="AT55" s="148">
        <v>0.1650390625</v>
      </c>
      <c r="AU55" s="148">
        <v>1600</v>
      </c>
      <c r="BG55" s="148">
        <v>1.953125E-3</v>
      </c>
      <c r="BH55" s="148">
        <v>0.1650390625</v>
      </c>
      <c r="BI55" s="148">
        <v>11.429566639542857</v>
      </c>
      <c r="BU55" s="148">
        <v>3.90625E-3</v>
      </c>
      <c r="BV55" s="148">
        <v>0.1650390625</v>
      </c>
      <c r="BW55" s="148">
        <v>6581</v>
      </c>
      <c r="CI55" s="148">
        <v>1.953125E-3</v>
      </c>
      <c r="CJ55" s="148">
        <v>0.1630859375</v>
      </c>
      <c r="CK55" s="148">
        <v>9.7339946666666641</v>
      </c>
    </row>
    <row r="56" spans="31:89" x14ac:dyDescent="0.2">
      <c r="AE56" s="148">
        <v>3.90625E-3</v>
      </c>
      <c r="AF56" s="148">
        <v>0.1669921875</v>
      </c>
      <c r="AG56" s="148">
        <v>4.0280972141714289</v>
      </c>
      <c r="AS56" s="148">
        <v>1.953125E-3</v>
      </c>
      <c r="AT56" s="148">
        <v>0.1669921875</v>
      </c>
      <c r="AU56" s="148">
        <v>1600</v>
      </c>
      <c r="BG56" s="148">
        <v>3.90625E-3</v>
      </c>
      <c r="BH56" s="148">
        <v>0.1689453125</v>
      </c>
      <c r="BI56" s="148">
        <v>11.525409860266667</v>
      </c>
      <c r="BU56" s="148">
        <v>1.953125E-3</v>
      </c>
      <c r="BV56" s="148">
        <v>0.1669921875</v>
      </c>
      <c r="BW56" s="148">
        <v>6581</v>
      </c>
      <c r="CI56" s="148">
        <v>3.90625E-3</v>
      </c>
      <c r="CJ56" s="148">
        <v>0.1669921875</v>
      </c>
      <c r="CK56" s="148">
        <v>9.8342217142857127</v>
      </c>
    </row>
    <row r="57" spans="31:89" x14ac:dyDescent="0.2">
      <c r="AE57" s="148">
        <v>3.90625E-3</v>
      </c>
      <c r="AF57" s="148">
        <v>0.1708984375</v>
      </c>
      <c r="AG57" s="148">
        <v>4.0786460672000011</v>
      </c>
      <c r="AS57" s="148">
        <v>3.90625E-3</v>
      </c>
      <c r="AT57" s="148">
        <v>0.1708984375</v>
      </c>
      <c r="AU57" s="148">
        <v>1600</v>
      </c>
      <c r="BG57" s="148">
        <v>1.953125E-3</v>
      </c>
      <c r="BH57" s="148">
        <v>0.1708984375</v>
      </c>
      <c r="BI57" s="148">
        <v>11.560208676571429</v>
      </c>
      <c r="BU57" s="148">
        <v>3.90625E-3</v>
      </c>
      <c r="BV57" s="148">
        <v>0.1708984375</v>
      </c>
      <c r="BW57" s="148">
        <v>6581</v>
      </c>
      <c r="CI57" s="148">
        <v>3.90625E-3</v>
      </c>
      <c r="CJ57" s="148">
        <v>0.1708984375</v>
      </c>
      <c r="CK57" s="148">
        <v>9.9576320000000003</v>
      </c>
    </row>
    <row r="58" spans="31:89" x14ac:dyDescent="0.2">
      <c r="AE58" s="148">
        <v>1.953125E-3</v>
      </c>
      <c r="AF58" s="148">
        <v>0.1728515625</v>
      </c>
      <c r="AG58" s="148">
        <v>4.1751300388571444</v>
      </c>
      <c r="AS58" s="148">
        <v>9.765625E-4</v>
      </c>
      <c r="AT58" s="148">
        <v>0.171875</v>
      </c>
      <c r="AU58" s="148">
        <v>1600</v>
      </c>
      <c r="BG58" s="148">
        <v>1.953125E-3</v>
      </c>
      <c r="BH58" s="148">
        <v>0.1728515625</v>
      </c>
      <c r="BI58" s="148">
        <v>11.907994746880002</v>
      </c>
      <c r="BU58" s="148">
        <v>9.765625E-4</v>
      </c>
      <c r="BV58" s="148">
        <v>0.171875</v>
      </c>
      <c r="BW58" s="148">
        <v>6581</v>
      </c>
      <c r="CI58" s="148">
        <v>1.953125E-3</v>
      </c>
      <c r="CJ58" s="148">
        <v>0.1728515625</v>
      </c>
      <c r="CK58" s="148">
        <v>10.193188571428571</v>
      </c>
    </row>
    <row r="59" spans="31:89" x14ac:dyDescent="0.2">
      <c r="AE59" s="148">
        <v>7.8125E-3</v>
      </c>
      <c r="AF59" s="148">
        <v>0.1806640625</v>
      </c>
      <c r="AG59" s="148">
        <v>4.2267049984000007</v>
      </c>
      <c r="AS59" s="148">
        <v>9.765625E-4</v>
      </c>
      <c r="AT59" s="148">
        <v>0.1728515625</v>
      </c>
      <c r="AU59" s="148">
        <v>1600</v>
      </c>
      <c r="BG59" s="148">
        <v>7.8125E-3</v>
      </c>
      <c r="BH59" s="148">
        <v>0.1806640625</v>
      </c>
      <c r="BI59" s="148">
        <v>12.091614588342857</v>
      </c>
      <c r="BU59" s="148">
        <v>9.765625E-4</v>
      </c>
      <c r="BV59" s="148">
        <v>0.1728515625</v>
      </c>
      <c r="BW59" s="148">
        <v>6581</v>
      </c>
      <c r="CI59" s="148">
        <v>7.8125E-3</v>
      </c>
      <c r="CJ59" s="148">
        <v>0.1806640625</v>
      </c>
      <c r="CK59" s="148">
        <v>10.319103999999998</v>
      </c>
    </row>
    <row r="60" spans="31:89" x14ac:dyDescent="0.2">
      <c r="AE60" s="148">
        <v>3.90625E-3</v>
      </c>
      <c r="AF60" s="148">
        <v>0.1845703125</v>
      </c>
      <c r="AG60" s="148">
        <v>4.2267049984000007</v>
      </c>
      <c r="AS60" s="148">
        <v>1.953125E-3</v>
      </c>
      <c r="AT60" s="148">
        <v>0.1748046875</v>
      </c>
      <c r="AU60" s="148">
        <v>1600</v>
      </c>
      <c r="BG60" s="148">
        <v>3.90625E-3</v>
      </c>
      <c r="BH60" s="148">
        <v>0.1845703125</v>
      </c>
      <c r="BI60" s="148">
        <v>12.12441821184</v>
      </c>
      <c r="BU60" s="148">
        <v>1.953125E-3</v>
      </c>
      <c r="BV60" s="148">
        <v>0.1748046875</v>
      </c>
      <c r="BW60" s="148">
        <v>6581</v>
      </c>
      <c r="CI60" s="148">
        <v>3.90625E-3</v>
      </c>
      <c r="CJ60" s="148">
        <v>0.1845703125</v>
      </c>
      <c r="CK60" s="148">
        <v>10.319103999999998</v>
      </c>
    </row>
    <row r="61" spans="31:89" x14ac:dyDescent="0.2">
      <c r="AE61" s="148">
        <v>1.953125E-3</v>
      </c>
      <c r="AF61" s="148">
        <v>0.1865234375</v>
      </c>
      <c r="AG61" s="148">
        <v>4.2989099417600007</v>
      </c>
      <c r="AS61" s="148">
        <v>9.765625E-4</v>
      </c>
      <c r="AT61" s="148">
        <v>0.17578125</v>
      </c>
      <c r="AU61" s="148">
        <v>1600</v>
      </c>
      <c r="BG61" s="148">
        <v>1.5625E-2</v>
      </c>
      <c r="BH61" s="148">
        <v>0.2001953125</v>
      </c>
      <c r="BI61" s="148">
        <v>12.169067588266667</v>
      </c>
      <c r="BU61" s="148">
        <v>9.765625E-4</v>
      </c>
      <c r="BV61" s="148">
        <v>0.17578125</v>
      </c>
      <c r="BW61" s="148">
        <v>6581</v>
      </c>
      <c r="CI61" s="148">
        <v>1.953125E-3</v>
      </c>
      <c r="CJ61" s="148">
        <v>0.1865234375</v>
      </c>
      <c r="CK61" s="148">
        <v>10.495385599999999</v>
      </c>
    </row>
    <row r="62" spans="31:89" x14ac:dyDescent="0.2">
      <c r="AE62" s="148">
        <v>3.90625E-3</v>
      </c>
      <c r="AF62" s="148">
        <v>0.1904296875</v>
      </c>
      <c r="AG62" s="148">
        <v>4.4085760117028574</v>
      </c>
      <c r="AS62" s="148">
        <v>1.953125E-3</v>
      </c>
      <c r="AT62" s="148">
        <v>0.177734375</v>
      </c>
      <c r="AU62" s="148">
        <v>1600</v>
      </c>
      <c r="BG62" s="148">
        <v>7.8125E-3</v>
      </c>
      <c r="BH62" s="148">
        <v>0.2080078125</v>
      </c>
      <c r="BI62" s="148">
        <v>12.256422180571429</v>
      </c>
      <c r="BU62" s="148">
        <v>1.953125E-3</v>
      </c>
      <c r="BV62" s="148">
        <v>0.177734375</v>
      </c>
      <c r="BW62" s="148">
        <v>6581</v>
      </c>
      <c r="CI62" s="148">
        <v>3.90625E-3</v>
      </c>
      <c r="CJ62" s="148">
        <v>0.1904296875</v>
      </c>
      <c r="CK62" s="148">
        <v>10.763125028571427</v>
      </c>
    </row>
    <row r="63" spans="31:89" x14ac:dyDescent="0.2">
      <c r="AE63" s="148">
        <v>3.90625E-3</v>
      </c>
      <c r="AF63" s="148">
        <v>0.1943359375</v>
      </c>
      <c r="AG63" s="148">
        <v>4.5454369751040007</v>
      </c>
      <c r="AS63" s="148">
        <v>1.953125E-3</v>
      </c>
      <c r="AT63" s="148">
        <v>0.1796875</v>
      </c>
      <c r="AU63" s="148">
        <v>1600</v>
      </c>
      <c r="BG63" s="148">
        <v>3.90625E-3</v>
      </c>
      <c r="BH63" s="148">
        <v>0.2119140625</v>
      </c>
      <c r="BI63" s="148">
        <v>12.366292473173331</v>
      </c>
      <c r="BU63" s="148">
        <v>1.953125E-3</v>
      </c>
      <c r="BV63" s="148">
        <v>0.1796875</v>
      </c>
      <c r="BW63" s="148">
        <v>6581</v>
      </c>
      <c r="CI63" s="148">
        <v>3.90625E-3</v>
      </c>
      <c r="CJ63" s="148">
        <v>0.1943359375</v>
      </c>
      <c r="CK63" s="148">
        <v>11.097258239999999</v>
      </c>
    </row>
    <row r="64" spans="31:89" x14ac:dyDescent="0.2">
      <c r="AE64" s="148">
        <v>9.765625E-4</v>
      </c>
      <c r="AF64" s="148">
        <v>0.1953125</v>
      </c>
      <c r="AG64" s="148">
        <v>4.6172815828114286</v>
      </c>
      <c r="AS64" s="148">
        <v>1.953125E-3</v>
      </c>
      <c r="AT64" s="148">
        <v>0.181640625</v>
      </c>
      <c r="AU64" s="148">
        <v>1600</v>
      </c>
      <c r="BG64" s="148">
        <v>1.953125E-3</v>
      </c>
      <c r="BH64" s="148">
        <v>0.2138671875</v>
      </c>
      <c r="BI64" s="148">
        <v>12.403992166399998</v>
      </c>
      <c r="BU64" s="148">
        <v>1.953125E-3</v>
      </c>
      <c r="BV64" s="148">
        <v>0.181640625</v>
      </c>
      <c r="BW64" s="148">
        <v>6581</v>
      </c>
      <c r="CI64" s="148">
        <v>9.765625E-4</v>
      </c>
      <c r="CJ64" s="148">
        <v>0.1953125</v>
      </c>
      <c r="CK64" s="148">
        <v>11.272660114285712</v>
      </c>
    </row>
    <row r="65" spans="31:89" x14ac:dyDescent="0.2">
      <c r="AE65" s="148">
        <v>3.90625E-3</v>
      </c>
      <c r="AF65" s="148">
        <v>0.19921875</v>
      </c>
      <c r="AG65" s="148">
        <v>4.6705821988571437</v>
      </c>
      <c r="AS65" s="148">
        <v>9.765625E-4</v>
      </c>
      <c r="AT65" s="148">
        <v>0.1826171875</v>
      </c>
      <c r="AU65" s="148">
        <v>1600</v>
      </c>
      <c r="BG65" s="148">
        <v>3.90625E-3</v>
      </c>
      <c r="BH65" s="148">
        <v>0.2177734375</v>
      </c>
      <c r="BI65" s="148">
        <v>12.4039921664</v>
      </c>
      <c r="BU65" s="148">
        <v>9.765625E-4</v>
      </c>
      <c r="BV65" s="148">
        <v>0.1826171875</v>
      </c>
      <c r="BW65" s="148">
        <v>6581</v>
      </c>
      <c r="CI65" s="148">
        <v>3.90625E-3</v>
      </c>
      <c r="CJ65" s="148">
        <v>0.19921875</v>
      </c>
      <c r="CK65" s="148">
        <v>11.402788571428569</v>
      </c>
    </row>
    <row r="66" spans="31:89" x14ac:dyDescent="0.2">
      <c r="AE66" s="148">
        <v>7.8125E-3</v>
      </c>
      <c r="AF66" s="148">
        <v>0.20703125</v>
      </c>
      <c r="AG66" s="148">
        <v>4.6994467498666666</v>
      </c>
      <c r="AS66" s="148">
        <v>1.953125E-3</v>
      </c>
      <c r="AT66" s="148">
        <v>0.1845703125</v>
      </c>
      <c r="AU66" s="148">
        <v>1600</v>
      </c>
      <c r="BG66" s="148">
        <v>1.953125E-3</v>
      </c>
      <c r="BH66" s="148">
        <v>0.2197265625</v>
      </c>
      <c r="BI66" s="148">
        <v>12.705690124288003</v>
      </c>
      <c r="BU66" s="148">
        <v>1.953125E-3</v>
      </c>
      <c r="BV66" s="148">
        <v>0.1845703125</v>
      </c>
      <c r="BW66" s="148">
        <v>6581</v>
      </c>
      <c r="CI66" s="148">
        <v>7.8125E-3</v>
      </c>
      <c r="CJ66" s="148">
        <v>0.20703125</v>
      </c>
      <c r="CK66" s="148">
        <v>11.473258666666663</v>
      </c>
    </row>
    <row r="67" spans="31:89" x14ac:dyDescent="0.2">
      <c r="AE67" s="148">
        <v>9.765625E-4</v>
      </c>
      <c r="AF67" s="148">
        <v>0.2080078125</v>
      </c>
      <c r="AG67" s="148">
        <v>4.7844530585600005</v>
      </c>
      <c r="AS67" s="148">
        <v>3.90625E-3</v>
      </c>
      <c r="AT67" s="148">
        <v>0.1884765625</v>
      </c>
      <c r="AU67" s="148">
        <v>1600</v>
      </c>
      <c r="BG67" s="148">
        <v>3.90625E-3</v>
      </c>
      <c r="BH67" s="148">
        <v>0.2236328125</v>
      </c>
      <c r="BI67" s="148">
        <v>13.3344944128</v>
      </c>
      <c r="BU67" s="148">
        <v>3.90625E-3</v>
      </c>
      <c r="BV67" s="148">
        <v>0.1884765625</v>
      </c>
      <c r="BW67" s="148">
        <v>6581</v>
      </c>
      <c r="CI67" s="148">
        <v>9.765625E-4</v>
      </c>
      <c r="CJ67" s="148">
        <v>0.2080078125</v>
      </c>
      <c r="CK67" s="148">
        <v>11.680793599999998</v>
      </c>
    </row>
    <row r="68" spans="31:89" x14ac:dyDescent="0.2">
      <c r="AE68" s="148">
        <v>3.90625E-3</v>
      </c>
      <c r="AF68" s="148">
        <v>0.2119140625</v>
      </c>
      <c r="AG68" s="148">
        <v>4.8709850453333345</v>
      </c>
      <c r="AS68" s="148">
        <v>3.90625E-3</v>
      </c>
      <c r="AT68" s="148">
        <v>0.1923828125</v>
      </c>
      <c r="AU68" s="148">
        <v>1600</v>
      </c>
      <c r="BG68" s="148">
        <v>1.953125E-3</v>
      </c>
      <c r="BH68" s="148">
        <v>0.2255859375</v>
      </c>
      <c r="BI68" s="148">
        <v>13.447109766582855</v>
      </c>
      <c r="BU68" s="148">
        <v>3.90625E-3</v>
      </c>
      <c r="BV68" s="148">
        <v>0.1923828125</v>
      </c>
      <c r="BW68" s="148">
        <v>6581</v>
      </c>
      <c r="CI68" s="148">
        <v>3.90625E-3</v>
      </c>
      <c r="CJ68" s="148">
        <v>0.2119140625</v>
      </c>
      <c r="CK68" s="148">
        <v>11.892053333333333</v>
      </c>
    </row>
    <row r="69" spans="31:89" x14ac:dyDescent="0.2">
      <c r="AE69" s="148">
        <v>1.953125E-3</v>
      </c>
      <c r="AF69" s="148">
        <v>0.2138671875</v>
      </c>
      <c r="AG69" s="148">
        <v>4.8943752806400012</v>
      </c>
      <c r="AS69" s="148">
        <v>3.90625E-3</v>
      </c>
      <c r="AT69" s="148">
        <v>0.1962890625</v>
      </c>
      <c r="AU69" s="148">
        <v>1600</v>
      </c>
      <c r="BG69" s="148">
        <v>3.90625E-3</v>
      </c>
      <c r="BH69" s="148">
        <v>0.2294921875</v>
      </c>
      <c r="BI69" s="148">
        <v>13.486910122666666</v>
      </c>
      <c r="BU69" s="148">
        <v>3.90625E-3</v>
      </c>
      <c r="BV69" s="148">
        <v>0.1962890625</v>
      </c>
      <c r="BW69" s="148">
        <v>6581</v>
      </c>
      <c r="CI69" s="148">
        <v>1.953125E-3</v>
      </c>
      <c r="CJ69" s="148">
        <v>0.2138671875</v>
      </c>
      <c r="CK69" s="148">
        <v>11.949158399999998</v>
      </c>
    </row>
    <row r="70" spans="31:89" x14ac:dyDescent="0.2">
      <c r="AE70" s="148">
        <v>1.953125E-3</v>
      </c>
      <c r="AF70" s="148">
        <v>0.2158203125</v>
      </c>
      <c r="AG70" s="148">
        <v>4.9065054325028576</v>
      </c>
      <c r="AS70" s="148">
        <v>7.8125E-3</v>
      </c>
      <c r="AT70" s="148">
        <v>0.2041015625</v>
      </c>
      <c r="AU70" s="148">
        <v>1600</v>
      </c>
      <c r="BG70" s="148">
        <v>1.953125E-3</v>
      </c>
      <c r="BH70" s="148">
        <v>0.2314453125</v>
      </c>
      <c r="BI70" s="148">
        <v>13.508649615360003</v>
      </c>
      <c r="BU70" s="148">
        <v>7.8125E-3</v>
      </c>
      <c r="BV70" s="148">
        <v>0.2041015625</v>
      </c>
      <c r="BW70" s="148">
        <v>6581</v>
      </c>
      <c r="CI70" s="148">
        <v>1.953125E-3</v>
      </c>
      <c r="CJ70" s="148">
        <v>0.2158203125</v>
      </c>
      <c r="CK70" s="148">
        <v>11.978773028571426</v>
      </c>
    </row>
    <row r="71" spans="31:89" x14ac:dyDescent="0.2">
      <c r="AE71" s="148">
        <v>7.8125E-3</v>
      </c>
      <c r="AF71" s="148">
        <v>0.2236328125</v>
      </c>
      <c r="AG71" s="148">
        <v>4.9311558314666666</v>
      </c>
      <c r="AS71" s="148">
        <v>3.90625E-3</v>
      </c>
      <c r="AT71" s="148">
        <v>0.2080078125</v>
      </c>
      <c r="AU71" s="148">
        <v>1600</v>
      </c>
      <c r="BG71" s="148">
        <v>1.953125E-3</v>
      </c>
      <c r="BH71" s="148">
        <v>0.2333984375</v>
      </c>
      <c r="BI71" s="148">
        <v>13.565570875392</v>
      </c>
      <c r="BU71" s="148">
        <v>3.90625E-3</v>
      </c>
      <c r="BV71" s="148">
        <v>0.2080078125</v>
      </c>
      <c r="BW71" s="148">
        <v>6581</v>
      </c>
      <c r="CI71" s="148">
        <v>7.8125E-3</v>
      </c>
      <c r="CJ71" s="148">
        <v>0.2236328125</v>
      </c>
      <c r="CK71" s="148">
        <v>12.038954666666662</v>
      </c>
    </row>
    <row r="72" spans="31:89" x14ac:dyDescent="0.2">
      <c r="AE72" s="148">
        <v>7.8125E-3</v>
      </c>
      <c r="AF72" s="148">
        <v>0.2314453125</v>
      </c>
      <c r="AG72" s="148">
        <v>5.1433386803200003</v>
      </c>
      <c r="AS72" s="148">
        <v>7.8125E-3</v>
      </c>
      <c r="AT72" s="148">
        <v>0.2158203125</v>
      </c>
      <c r="AU72" s="148">
        <v>1600</v>
      </c>
      <c r="BG72" s="148">
        <v>9.765625E-4</v>
      </c>
      <c r="BH72" s="148">
        <v>0.234375</v>
      </c>
      <c r="BI72" s="148">
        <v>13.830491832319998</v>
      </c>
      <c r="BU72" s="148">
        <v>7.8125E-3</v>
      </c>
      <c r="BV72" s="148">
        <v>0.2158203125</v>
      </c>
      <c r="BW72" s="148">
        <v>6581</v>
      </c>
      <c r="CI72" s="148">
        <v>7.8125E-3</v>
      </c>
      <c r="CJ72" s="148">
        <v>0.2314453125</v>
      </c>
      <c r="CK72" s="148">
        <v>12.556979199999997</v>
      </c>
    </row>
    <row r="73" spans="31:89" x14ac:dyDescent="0.2">
      <c r="AE73" s="148">
        <v>1.953125E-3</v>
      </c>
      <c r="AF73" s="148">
        <v>0.2333984375</v>
      </c>
      <c r="AG73" s="148">
        <v>5.3868285132800002</v>
      </c>
      <c r="AS73" s="148">
        <v>7.8125E-3</v>
      </c>
      <c r="AT73" s="148">
        <v>0.2236328125</v>
      </c>
      <c r="AU73" s="148">
        <v>1600</v>
      </c>
      <c r="BG73" s="148">
        <v>1.953125E-3</v>
      </c>
      <c r="BH73" s="148">
        <v>0.236328125</v>
      </c>
      <c r="BI73" s="148">
        <v>13.83049183232</v>
      </c>
      <c r="BU73" s="148">
        <v>7.8125E-3</v>
      </c>
      <c r="BV73" s="148">
        <v>0.2236328125</v>
      </c>
      <c r="BW73" s="148">
        <v>6581</v>
      </c>
      <c r="CI73" s="148">
        <v>1.953125E-3</v>
      </c>
      <c r="CJ73" s="148">
        <v>0.2333984375</v>
      </c>
      <c r="CK73" s="148">
        <v>13.151436799999995</v>
      </c>
    </row>
    <row r="74" spans="31:89" x14ac:dyDescent="0.2">
      <c r="AE74" s="148">
        <v>7.8125E-3</v>
      </c>
      <c r="AF74" s="148">
        <v>0.2412109375</v>
      </c>
      <c r="AG74" s="148">
        <v>5.4112344941714285</v>
      </c>
      <c r="AS74" s="148">
        <v>1.953125E-3</v>
      </c>
      <c r="AT74" s="148">
        <v>0.2255859375</v>
      </c>
      <c r="AU74" s="148">
        <v>1600</v>
      </c>
      <c r="BG74" s="148">
        <v>1.5625E-2</v>
      </c>
      <c r="BH74" s="148">
        <v>0.251953125</v>
      </c>
      <c r="BI74" s="148">
        <v>14.1068836864</v>
      </c>
      <c r="BU74" s="148">
        <v>1.953125E-3</v>
      </c>
      <c r="BV74" s="148">
        <v>0.2255859375</v>
      </c>
      <c r="BW74" s="148">
        <v>6581</v>
      </c>
      <c r="CI74" s="148">
        <v>7.8125E-3</v>
      </c>
      <c r="CJ74" s="148">
        <v>0.2412109375</v>
      </c>
      <c r="CK74" s="148">
        <v>13.21102171428571</v>
      </c>
    </row>
    <row r="75" spans="31:89" x14ac:dyDescent="0.2">
      <c r="AE75" s="148">
        <v>7.8125E-3</v>
      </c>
      <c r="AF75" s="148">
        <v>0.2490234375</v>
      </c>
      <c r="AG75" s="148">
        <v>5.4490125653333337</v>
      </c>
      <c r="AS75" s="148">
        <v>3.90625E-3</v>
      </c>
      <c r="AT75" s="148">
        <v>0.2294921875</v>
      </c>
      <c r="AU75" s="148">
        <v>1600</v>
      </c>
      <c r="BG75" s="148">
        <v>1.953125E-3</v>
      </c>
      <c r="BH75" s="148">
        <v>0.25390625</v>
      </c>
      <c r="BI75" s="148">
        <v>14.282565971382859</v>
      </c>
      <c r="BU75" s="148">
        <v>3.90625E-3</v>
      </c>
      <c r="BV75" s="148">
        <v>0.2294921875</v>
      </c>
      <c r="BW75" s="148">
        <v>6581</v>
      </c>
      <c r="CI75" s="148">
        <v>7.8125E-3</v>
      </c>
      <c r="CJ75" s="148">
        <v>0.2490234375</v>
      </c>
      <c r="CK75" s="148">
        <v>13.30325333333333</v>
      </c>
    </row>
    <row r="76" spans="31:89" x14ac:dyDescent="0.2">
      <c r="AE76" s="148">
        <v>9.765625E-4</v>
      </c>
      <c r="AF76" s="148">
        <v>0.25</v>
      </c>
      <c r="AG76" s="148">
        <v>5.4777909833142866</v>
      </c>
      <c r="AS76" s="148">
        <v>1.953125E-3</v>
      </c>
      <c r="AT76" s="148">
        <v>0.2314453125</v>
      </c>
      <c r="AU76" s="148">
        <v>1600</v>
      </c>
      <c r="BG76" s="148">
        <v>9.765625E-4</v>
      </c>
      <c r="BH76" s="148">
        <v>0.2548828125</v>
      </c>
      <c r="BI76" s="148">
        <v>14.289593696256006</v>
      </c>
      <c r="BU76" s="148">
        <v>1.953125E-3</v>
      </c>
      <c r="BV76" s="148">
        <v>0.2314453125</v>
      </c>
      <c r="BW76" s="148">
        <v>6581</v>
      </c>
      <c r="CI76" s="148">
        <v>9.765625E-4</v>
      </c>
      <c r="CJ76" s="148">
        <v>0.25</v>
      </c>
      <c r="CK76" s="148">
        <v>13.37351314285714</v>
      </c>
    </row>
    <row r="77" spans="31:89" x14ac:dyDescent="0.2">
      <c r="AE77" s="148">
        <v>1.953125E-3</v>
      </c>
      <c r="AF77" s="148">
        <v>0.251953125</v>
      </c>
      <c r="AG77" s="148">
        <v>5.6393360998400004</v>
      </c>
      <c r="AS77" s="148">
        <v>9.765625E-4</v>
      </c>
      <c r="AT77" s="148">
        <v>0.232421875</v>
      </c>
      <c r="AU77" s="148">
        <v>1600</v>
      </c>
      <c r="BG77" s="148">
        <v>1.5625E-2</v>
      </c>
      <c r="BH77" s="148">
        <v>0.2705078125</v>
      </c>
      <c r="BI77" s="148">
        <v>14.299159210666668</v>
      </c>
      <c r="BU77" s="148">
        <v>9.765625E-4</v>
      </c>
      <c r="BV77" s="148">
        <v>0.232421875</v>
      </c>
      <c r="BW77" s="148">
        <v>6581</v>
      </c>
      <c r="CI77" s="148">
        <v>1.953125E-3</v>
      </c>
      <c r="CJ77" s="148">
        <v>0.251953125</v>
      </c>
      <c r="CK77" s="148">
        <v>13.767910399999996</v>
      </c>
    </row>
    <row r="78" spans="31:89" x14ac:dyDescent="0.2">
      <c r="AE78" s="148">
        <v>3.90625E-3</v>
      </c>
      <c r="AF78" s="148">
        <v>0.255859375</v>
      </c>
      <c r="AG78" s="148">
        <v>5.6393360998400013</v>
      </c>
      <c r="AS78" s="148">
        <v>3.90625E-3</v>
      </c>
      <c r="AT78" s="148">
        <v>0.236328125</v>
      </c>
      <c r="AU78" s="148">
        <v>1600</v>
      </c>
      <c r="BG78" s="148">
        <v>7.8125E-3</v>
      </c>
      <c r="BH78" s="148">
        <v>0.2783203125</v>
      </c>
      <c r="BI78" s="148">
        <v>14.43383120457143</v>
      </c>
      <c r="BU78" s="148">
        <v>3.90625E-3</v>
      </c>
      <c r="BV78" s="148">
        <v>0.236328125</v>
      </c>
      <c r="BW78" s="148">
        <v>6581</v>
      </c>
      <c r="CI78" s="148">
        <v>3.90625E-3</v>
      </c>
      <c r="CJ78" s="148">
        <v>0.255859375</v>
      </c>
      <c r="CK78" s="148">
        <v>13.767910399999998</v>
      </c>
    </row>
    <row r="79" spans="31:89" x14ac:dyDescent="0.2">
      <c r="AE79" s="148">
        <v>3.90625E-3</v>
      </c>
      <c r="AF79" s="148">
        <v>0.259765625</v>
      </c>
      <c r="AG79" s="148">
        <v>5.72425633792</v>
      </c>
      <c r="AS79" s="148">
        <v>9.765625E-4</v>
      </c>
      <c r="AT79" s="148">
        <v>0.2373046875</v>
      </c>
      <c r="AU79" s="148">
        <v>1600</v>
      </c>
      <c r="BG79" s="148">
        <v>3.90625E-3</v>
      </c>
      <c r="BH79" s="148">
        <v>0.2822265625</v>
      </c>
      <c r="BI79" s="148">
        <v>14.471324194133334</v>
      </c>
      <c r="BU79" s="148">
        <v>9.765625E-4</v>
      </c>
      <c r="BV79" s="148">
        <v>0.2373046875</v>
      </c>
      <c r="BW79" s="148">
        <v>6581</v>
      </c>
      <c r="CI79" s="148">
        <v>3.90625E-3</v>
      </c>
      <c r="CJ79" s="148">
        <v>0.259765625</v>
      </c>
      <c r="CK79" s="148">
        <v>13.975235199999995</v>
      </c>
    </row>
    <row r="80" spans="31:89" x14ac:dyDescent="0.2">
      <c r="AE80" s="148">
        <v>3.90625E-3</v>
      </c>
      <c r="AF80" s="148">
        <v>0.263671875</v>
      </c>
      <c r="AG80" s="148">
        <v>5.8266372388571446</v>
      </c>
      <c r="AS80" s="148">
        <v>1.953125E-3</v>
      </c>
      <c r="AT80" s="148">
        <v>0.2392578125</v>
      </c>
      <c r="AU80" s="148">
        <v>1600</v>
      </c>
      <c r="BG80" s="148">
        <v>3.90625E-3</v>
      </c>
      <c r="BH80" s="148">
        <v>0.2861328125</v>
      </c>
      <c r="BI80" s="148">
        <v>14.60288110592</v>
      </c>
      <c r="BU80" s="148">
        <v>1.953125E-3</v>
      </c>
      <c r="BV80" s="148">
        <v>0.2392578125</v>
      </c>
      <c r="BW80" s="148">
        <v>6581</v>
      </c>
      <c r="CI80" s="148">
        <v>3.90625E-3</v>
      </c>
      <c r="CJ80" s="148">
        <v>0.263671875</v>
      </c>
      <c r="CK80" s="148">
        <v>14.225188571428571</v>
      </c>
    </row>
    <row r="81" spans="31:89" x14ac:dyDescent="0.2">
      <c r="AE81" s="148">
        <v>9.765625E-4</v>
      </c>
      <c r="AF81" s="148">
        <v>0.2646484375</v>
      </c>
      <c r="AG81" s="148">
        <v>5.8451820544000013</v>
      </c>
      <c r="AS81" s="148">
        <v>3.90625E-3</v>
      </c>
      <c r="AT81" s="148">
        <v>0.2431640625</v>
      </c>
      <c r="AU81" s="148">
        <v>1600</v>
      </c>
      <c r="BG81" s="148">
        <v>7.8125E-3</v>
      </c>
      <c r="BH81" s="148">
        <v>0.2939453125</v>
      </c>
      <c r="BI81" s="148">
        <v>14.602881105920002</v>
      </c>
      <c r="BU81" s="148">
        <v>3.90625E-3</v>
      </c>
      <c r="BV81" s="148">
        <v>0.2431640625</v>
      </c>
      <c r="BW81" s="148">
        <v>6581</v>
      </c>
      <c r="CI81" s="148">
        <v>9.765625E-4</v>
      </c>
      <c r="CJ81" s="148">
        <v>0.2646484375</v>
      </c>
      <c r="CK81" s="148">
        <v>14.270463999999999</v>
      </c>
    </row>
    <row r="82" spans="31:89" x14ac:dyDescent="0.2">
      <c r="AE82" s="148">
        <v>1.953125E-3</v>
      </c>
      <c r="AF82" s="148">
        <v>0.2666015625</v>
      </c>
      <c r="AG82" s="148">
        <v>5.8451820544000022</v>
      </c>
      <c r="AS82" s="148">
        <v>1.953125E-3</v>
      </c>
      <c r="AT82" s="148">
        <v>0.2451171875</v>
      </c>
      <c r="AU82" s="148">
        <v>1600</v>
      </c>
      <c r="BG82" s="148">
        <v>1.953125E-3</v>
      </c>
      <c r="BH82" s="148">
        <v>0.2958984375</v>
      </c>
      <c r="BI82" s="148">
        <v>14.839550967808002</v>
      </c>
      <c r="BU82" s="148">
        <v>1.953125E-3</v>
      </c>
      <c r="BV82" s="148">
        <v>0.2451171875</v>
      </c>
      <c r="BW82" s="148">
        <v>6581</v>
      </c>
      <c r="CI82" s="148">
        <v>1.953125E-3</v>
      </c>
      <c r="CJ82" s="148">
        <v>0.2666015625</v>
      </c>
      <c r="CK82" s="148">
        <v>14.270464</v>
      </c>
    </row>
    <row r="83" spans="31:89" x14ac:dyDescent="0.2">
      <c r="AE83" s="148">
        <v>3.90625E-3</v>
      </c>
      <c r="AF83" s="148">
        <v>0.2705078125</v>
      </c>
      <c r="AG83" s="148">
        <v>5.9173869977600004</v>
      </c>
      <c r="AS83" s="148">
        <v>1.953125E-3</v>
      </c>
      <c r="AT83" s="148">
        <v>0.2470703125</v>
      </c>
      <c r="AU83" s="148">
        <v>1600</v>
      </c>
      <c r="BG83" s="148">
        <v>9.765625E-4</v>
      </c>
      <c r="BH83" s="148">
        <v>0.296875</v>
      </c>
      <c r="BI83" s="148">
        <v>15.074855906742858</v>
      </c>
      <c r="BU83" s="148">
        <v>1.953125E-3</v>
      </c>
      <c r="BV83" s="148">
        <v>0.2470703125</v>
      </c>
      <c r="BW83" s="148">
        <v>6581</v>
      </c>
      <c r="CI83" s="148">
        <v>3.90625E-3</v>
      </c>
      <c r="CJ83" s="148">
        <v>0.2705078125</v>
      </c>
      <c r="CK83" s="148">
        <v>14.446745599999996</v>
      </c>
    </row>
    <row r="84" spans="31:89" x14ac:dyDescent="0.2">
      <c r="AE84" s="148">
        <v>7.8125E-3</v>
      </c>
      <c r="AF84" s="148">
        <v>0.2783203125</v>
      </c>
      <c r="AG84" s="148">
        <v>6.068340747702857</v>
      </c>
      <c r="AS84" s="148">
        <v>1.953125E-3</v>
      </c>
      <c r="AT84" s="148">
        <v>0.2490234375</v>
      </c>
      <c r="AU84" s="148">
        <v>1600</v>
      </c>
      <c r="BG84" s="148">
        <v>3.90625E-3</v>
      </c>
      <c r="BH84" s="148">
        <v>0.30078125</v>
      </c>
      <c r="BI84" s="148">
        <v>15.688294727680001</v>
      </c>
      <c r="BU84" s="148">
        <v>1.953125E-3</v>
      </c>
      <c r="BV84" s="148">
        <v>0.2490234375</v>
      </c>
      <c r="BW84" s="148">
        <v>6581</v>
      </c>
      <c r="CI84" s="148">
        <v>7.8125E-3</v>
      </c>
      <c r="CJ84" s="148">
        <v>0.2783203125</v>
      </c>
      <c r="CK84" s="148">
        <v>14.815285028571424</v>
      </c>
    </row>
    <row r="85" spans="31:89" x14ac:dyDescent="0.2">
      <c r="AE85" s="148">
        <v>3.90625E-3</v>
      </c>
      <c r="AF85" s="148">
        <v>0.2822265625</v>
      </c>
      <c r="AG85" s="148">
        <v>6.1720064163840007</v>
      </c>
      <c r="AS85" s="148">
        <v>9.765625E-4</v>
      </c>
      <c r="AT85" s="148">
        <v>0.25</v>
      </c>
      <c r="AU85" s="148">
        <v>1600</v>
      </c>
      <c r="BG85" s="148">
        <v>1.953125E-3</v>
      </c>
      <c r="BH85" s="148">
        <v>0.302734375</v>
      </c>
      <c r="BI85" s="148">
        <v>16.001393295360003</v>
      </c>
      <c r="BU85" s="148">
        <v>9.765625E-4</v>
      </c>
      <c r="BV85" s="148">
        <v>0.25</v>
      </c>
      <c r="BW85" s="148">
        <v>6581</v>
      </c>
      <c r="CI85" s="148">
        <v>3.90625E-3</v>
      </c>
      <c r="CJ85" s="148">
        <v>0.2822265625</v>
      </c>
      <c r="CK85" s="148">
        <v>15.068375039999998</v>
      </c>
    </row>
    <row r="86" spans="31:89" x14ac:dyDescent="0.2">
      <c r="AE86" s="148">
        <v>1.953125E-3</v>
      </c>
      <c r="AF86" s="148">
        <v>0.2841796875</v>
      </c>
      <c r="AG86" s="148">
        <v>6.2027284948114279</v>
      </c>
      <c r="AS86" s="148">
        <v>1.953125E-3</v>
      </c>
      <c r="AT86" s="148">
        <v>0.251953125</v>
      </c>
      <c r="AU86" s="148">
        <v>5360</v>
      </c>
      <c r="BG86" s="148">
        <v>3.90625E-3</v>
      </c>
      <c r="BH86" s="148">
        <v>0.306640625</v>
      </c>
      <c r="BI86" s="148">
        <v>16.081725732571432</v>
      </c>
      <c r="BU86" s="148">
        <v>1.953125E-3</v>
      </c>
      <c r="BV86" s="148">
        <v>0.251953125</v>
      </c>
      <c r="BW86" s="148">
        <v>11081</v>
      </c>
      <c r="CI86" s="148">
        <v>1.953125E-3</v>
      </c>
      <c r="CJ86" s="148">
        <v>0.2841796875</v>
      </c>
      <c r="CK86" s="148">
        <v>15.143380114285709</v>
      </c>
    </row>
    <row r="87" spans="31:89" x14ac:dyDescent="0.2">
      <c r="AE87" s="148">
        <v>1.5625E-2</v>
      </c>
      <c r="AF87" s="148">
        <v>0.2998046875</v>
      </c>
      <c r="AG87" s="148">
        <v>6.3131069098666668</v>
      </c>
      <c r="AS87" s="148">
        <v>3.90625E-3</v>
      </c>
      <c r="AT87" s="148">
        <v>0.255859375</v>
      </c>
      <c r="AU87" s="148">
        <v>5360</v>
      </c>
      <c r="BG87" s="148">
        <v>1.953125E-3</v>
      </c>
      <c r="BH87" s="148">
        <v>0.30859375</v>
      </c>
      <c r="BI87" s="148">
        <v>16.135573804373333</v>
      </c>
      <c r="BU87" s="148">
        <v>3.90625E-3</v>
      </c>
      <c r="BV87" s="148">
        <v>0.255859375</v>
      </c>
      <c r="BW87" s="148">
        <v>11081</v>
      </c>
      <c r="CI87" s="148">
        <v>1.5625E-2</v>
      </c>
      <c r="CJ87" s="148">
        <v>0.2998046875</v>
      </c>
      <c r="CK87" s="148">
        <v>15.412858666666661</v>
      </c>
    </row>
    <row r="88" spans="31:89" x14ac:dyDescent="0.2">
      <c r="AE88" s="148">
        <v>1.953125E-3</v>
      </c>
      <c r="AF88" s="148">
        <v>0.3017578125</v>
      </c>
      <c r="AG88" s="148">
        <v>6.3907561472000021</v>
      </c>
      <c r="AS88" s="148">
        <v>3.90625E-3</v>
      </c>
      <c r="AT88" s="148">
        <v>0.259765625</v>
      </c>
      <c r="AU88" s="148">
        <v>5360</v>
      </c>
      <c r="BG88" s="148">
        <v>3.90625E-3</v>
      </c>
      <c r="BH88" s="148">
        <v>0.3125</v>
      </c>
      <c r="BI88" s="148">
        <v>16.149489137371429</v>
      </c>
      <c r="BU88" s="148">
        <v>3.90625E-3</v>
      </c>
      <c r="BV88" s="148">
        <v>0.259765625</v>
      </c>
      <c r="BW88" s="148">
        <v>11081</v>
      </c>
      <c r="CI88" s="148">
        <v>1.953125E-3</v>
      </c>
      <c r="CJ88" s="148">
        <v>0.3017578125</v>
      </c>
      <c r="CK88" s="148">
        <v>15.602432</v>
      </c>
    </row>
    <row r="89" spans="31:89" x14ac:dyDescent="0.2">
      <c r="AE89" s="148">
        <v>9.765625E-4</v>
      </c>
      <c r="AF89" s="148">
        <v>0.302734375</v>
      </c>
      <c r="AG89" s="148">
        <v>6.4641942159360015</v>
      </c>
      <c r="AS89" s="148">
        <v>3.90625E-3</v>
      </c>
      <c r="AT89" s="148">
        <v>0.263671875</v>
      </c>
      <c r="AU89" s="148">
        <v>5360</v>
      </c>
      <c r="BG89" s="148">
        <v>1.953125E-3</v>
      </c>
      <c r="BH89" s="148">
        <v>0.314453125</v>
      </c>
      <c r="BI89" s="148">
        <v>16.184292147200001</v>
      </c>
      <c r="BU89" s="148">
        <v>3.90625E-3</v>
      </c>
      <c r="BV89" s="148">
        <v>0.263671875</v>
      </c>
      <c r="BW89" s="148">
        <v>11081</v>
      </c>
      <c r="CI89" s="148">
        <v>9.765625E-4</v>
      </c>
      <c r="CJ89" s="148">
        <v>0.302734375</v>
      </c>
      <c r="CK89" s="148">
        <v>15.78172416</v>
      </c>
    </row>
    <row r="90" spans="31:89" x14ac:dyDescent="0.2">
      <c r="AE90" s="148">
        <v>1.953125E-3</v>
      </c>
      <c r="AF90" s="148">
        <v>0.3046875</v>
      </c>
      <c r="AG90" s="148">
        <v>6.5388150783999999</v>
      </c>
      <c r="AS90" s="148">
        <v>7.8125E-3</v>
      </c>
      <c r="AT90" s="148">
        <v>0.271484375</v>
      </c>
      <c r="AU90" s="148">
        <v>5360</v>
      </c>
      <c r="BG90" s="148">
        <v>9.765625E-4</v>
      </c>
      <c r="BH90" s="148">
        <v>0.3154296875</v>
      </c>
      <c r="BI90" s="148">
        <v>16.184292147200001</v>
      </c>
      <c r="BU90" s="148">
        <v>7.8125E-3</v>
      </c>
      <c r="BV90" s="148">
        <v>0.271484375</v>
      </c>
      <c r="BW90" s="148">
        <v>11081</v>
      </c>
      <c r="CI90" s="148">
        <v>1.953125E-3</v>
      </c>
      <c r="CJ90" s="148">
        <v>0.3046875</v>
      </c>
      <c r="CK90" s="148">
        <v>15.963903999999994</v>
      </c>
    </row>
    <row r="91" spans="31:89" x14ac:dyDescent="0.2">
      <c r="AE91" s="148">
        <v>3.90625E-3</v>
      </c>
      <c r="AF91" s="148">
        <v>0.30859375</v>
      </c>
      <c r="AG91" s="148">
        <v>6.5388150783999999</v>
      </c>
      <c r="AS91" s="148">
        <v>3.90625E-3</v>
      </c>
      <c r="AT91" s="148">
        <v>0.275390625</v>
      </c>
      <c r="AU91" s="148">
        <v>5360</v>
      </c>
      <c r="BG91" s="148">
        <v>3.90625E-3</v>
      </c>
      <c r="BH91" s="148">
        <v>0.3193359375</v>
      </c>
      <c r="BI91" s="148">
        <v>16.662993633280003</v>
      </c>
      <c r="BU91" s="148">
        <v>3.90625E-3</v>
      </c>
      <c r="BV91" s="148">
        <v>0.275390625</v>
      </c>
      <c r="BW91" s="148">
        <v>11081</v>
      </c>
      <c r="CI91" s="148">
        <v>3.90625E-3</v>
      </c>
      <c r="CJ91" s="148">
        <v>0.30859375</v>
      </c>
      <c r="CK91" s="148">
        <v>15.963903999999994</v>
      </c>
    </row>
    <row r="92" spans="31:89" x14ac:dyDescent="0.2">
      <c r="AE92" s="148">
        <v>3.90625E-3</v>
      </c>
      <c r="AF92" s="148">
        <v>0.3125</v>
      </c>
      <c r="AG92" s="148">
        <v>6.5792254498133333</v>
      </c>
      <c r="AS92" s="148">
        <v>1.953125E-3</v>
      </c>
      <c r="AT92" s="148">
        <v>0.27734375</v>
      </c>
      <c r="AU92" s="148">
        <v>5360</v>
      </c>
      <c r="BG92" s="148">
        <v>1.5625E-2</v>
      </c>
      <c r="BH92" s="148">
        <v>0.3349609375</v>
      </c>
      <c r="BI92" s="148">
        <v>16.839469738666669</v>
      </c>
      <c r="BU92" s="148">
        <v>1.953125E-3</v>
      </c>
      <c r="BV92" s="148">
        <v>0.27734375</v>
      </c>
      <c r="BW92" s="148">
        <v>11081</v>
      </c>
      <c r="CI92" s="148">
        <v>3.90625E-3</v>
      </c>
      <c r="CJ92" s="148">
        <v>0.3125</v>
      </c>
      <c r="CK92" s="148">
        <v>16.06256213333333</v>
      </c>
    </row>
    <row r="93" spans="31:89" x14ac:dyDescent="0.2">
      <c r="AE93" s="148">
        <v>7.8125E-3</v>
      </c>
      <c r="AF93" s="148">
        <v>0.3203125</v>
      </c>
      <c r="AG93" s="148">
        <v>6.7977434453333343</v>
      </c>
      <c r="AS93" s="148">
        <v>7.8125E-3</v>
      </c>
      <c r="AT93" s="148">
        <v>0.28515625</v>
      </c>
      <c r="AU93" s="148">
        <v>5360</v>
      </c>
      <c r="BG93" s="148">
        <v>1.953125E-3</v>
      </c>
      <c r="BH93" s="148">
        <v>0.3369140625</v>
      </c>
      <c r="BI93" s="148">
        <v>16.895456800182863</v>
      </c>
      <c r="BU93" s="148">
        <v>7.8125E-3</v>
      </c>
      <c r="BV93" s="148">
        <v>0.28515625</v>
      </c>
      <c r="BW93" s="148">
        <v>11081</v>
      </c>
      <c r="CI93" s="148">
        <v>7.8125E-3</v>
      </c>
      <c r="CJ93" s="148">
        <v>0.3203125</v>
      </c>
      <c r="CK93" s="148">
        <v>16.59605333333333</v>
      </c>
    </row>
    <row r="94" spans="31:89" x14ac:dyDescent="0.2">
      <c r="AE94" s="148">
        <v>1.953125E-3</v>
      </c>
      <c r="AF94" s="148">
        <v>0.322265625</v>
      </c>
      <c r="AG94" s="148">
        <v>6.8193790634666671</v>
      </c>
      <c r="AS94" s="148">
        <v>1.953125E-3</v>
      </c>
      <c r="AT94" s="148">
        <v>0.287109375</v>
      </c>
      <c r="AU94" s="148">
        <v>5360</v>
      </c>
      <c r="BG94" s="148">
        <v>7.8125E-3</v>
      </c>
      <c r="BH94" s="148">
        <v>0.3447265625</v>
      </c>
      <c r="BI94" s="148">
        <v>16.928260423680001</v>
      </c>
      <c r="BU94" s="148">
        <v>1.953125E-3</v>
      </c>
      <c r="BV94" s="148">
        <v>0.287109375</v>
      </c>
      <c r="BW94" s="148">
        <v>11081</v>
      </c>
      <c r="CI94" s="148">
        <v>1.953125E-3</v>
      </c>
      <c r="CJ94" s="148">
        <v>0.322265625</v>
      </c>
      <c r="CK94" s="148">
        <v>16.648874666666661</v>
      </c>
    </row>
    <row r="95" spans="31:89" x14ac:dyDescent="0.2">
      <c r="AE95" s="148">
        <v>1.953125E-3</v>
      </c>
      <c r="AF95" s="148">
        <v>0.32421875</v>
      </c>
      <c r="AG95" s="148">
        <v>6.8691076055040003</v>
      </c>
      <c r="AS95" s="148">
        <v>3.90625E-3</v>
      </c>
      <c r="AT95" s="148">
        <v>0.291015625</v>
      </c>
      <c r="AU95" s="148">
        <v>5360</v>
      </c>
      <c r="BG95" s="148">
        <v>1.953125E-3</v>
      </c>
      <c r="BH95" s="148">
        <v>0.3466796875</v>
      </c>
      <c r="BI95" s="148">
        <v>17.01142106697143</v>
      </c>
      <c r="BU95" s="148">
        <v>3.90625E-3</v>
      </c>
      <c r="BV95" s="148">
        <v>0.291015625</v>
      </c>
      <c r="BW95" s="148">
        <v>11081</v>
      </c>
      <c r="CI95" s="148">
        <v>1.953125E-3</v>
      </c>
      <c r="CJ95" s="148">
        <v>0.32421875</v>
      </c>
      <c r="CK95" s="148">
        <v>16.770282239999997</v>
      </c>
    </row>
    <row r="96" spans="31:89" x14ac:dyDescent="0.2">
      <c r="AE96" s="148">
        <v>1.5625E-2</v>
      </c>
      <c r="AF96" s="148">
        <v>0.33984375</v>
      </c>
      <c r="AG96" s="148">
        <v>7.0797308723199999</v>
      </c>
      <c r="AS96" s="148">
        <v>7.8125E-3</v>
      </c>
      <c r="AT96" s="148">
        <v>0.298828125</v>
      </c>
      <c r="AU96" s="148">
        <v>5360</v>
      </c>
      <c r="BG96" s="148">
        <v>7.8125E-3</v>
      </c>
      <c r="BH96" s="148">
        <v>0.3544921875</v>
      </c>
      <c r="BI96" s="148">
        <v>17.036694623573332</v>
      </c>
      <c r="BU96" s="148">
        <v>7.8125E-3</v>
      </c>
      <c r="BV96" s="148">
        <v>0.298828125</v>
      </c>
      <c r="BW96" s="148">
        <v>11081</v>
      </c>
      <c r="CI96" s="148">
        <v>1.5625E-2</v>
      </c>
      <c r="CJ96" s="148">
        <v>0.33984375</v>
      </c>
      <c r="CK96" s="148">
        <v>17.284499199999996</v>
      </c>
    </row>
    <row r="97" spans="31:89" x14ac:dyDescent="0.2">
      <c r="AE97" s="148">
        <v>3.90625E-3</v>
      </c>
      <c r="AF97" s="148">
        <v>0.34375</v>
      </c>
      <c r="AG97" s="148">
        <v>7.2365165772800006</v>
      </c>
      <c r="AS97" s="148">
        <v>3.90625E-3</v>
      </c>
      <c r="AT97" s="148">
        <v>0.302734375</v>
      </c>
      <c r="AU97" s="148">
        <v>5360</v>
      </c>
      <c r="BG97" s="148">
        <v>3.90625E-3</v>
      </c>
      <c r="BH97" s="148">
        <v>0.3583984375</v>
      </c>
      <c r="BI97" s="148">
        <v>17.158991052799998</v>
      </c>
      <c r="BU97" s="148">
        <v>3.90625E-3</v>
      </c>
      <c r="BV97" s="148">
        <v>0.302734375</v>
      </c>
      <c r="BW97" s="148">
        <v>11081</v>
      </c>
      <c r="CI97" s="148">
        <v>3.90625E-3</v>
      </c>
      <c r="CJ97" s="148">
        <v>0.34375</v>
      </c>
      <c r="CK97" s="148">
        <v>17.667276799999996</v>
      </c>
    </row>
    <row r="98" spans="31:89" x14ac:dyDescent="0.2">
      <c r="AE98" s="148">
        <v>7.8125E-3</v>
      </c>
      <c r="AF98" s="148">
        <v>0.3515625</v>
      </c>
      <c r="AG98" s="148">
        <v>7.3476266861714281</v>
      </c>
      <c r="AS98" s="148">
        <v>1.5625E-2</v>
      </c>
      <c r="AT98" s="148">
        <v>0.318359375</v>
      </c>
      <c r="AU98" s="148">
        <v>5360</v>
      </c>
      <c r="BG98" s="148">
        <v>7.8125E-3</v>
      </c>
      <c r="BH98" s="148">
        <v>0.3662109375</v>
      </c>
      <c r="BI98" s="148">
        <v>17.158991052800001</v>
      </c>
      <c r="BU98" s="148">
        <v>1.5625E-2</v>
      </c>
      <c r="BV98" s="148">
        <v>0.318359375</v>
      </c>
      <c r="BW98" s="148">
        <v>11081</v>
      </c>
      <c r="CI98" s="148">
        <v>7.8125E-3</v>
      </c>
      <c r="CJ98" s="148">
        <v>0.3515625</v>
      </c>
      <c r="CK98" s="148">
        <v>17.938541714285709</v>
      </c>
    </row>
    <row r="99" spans="31:89" x14ac:dyDescent="0.2">
      <c r="AE99" s="148">
        <v>3.90625E-3</v>
      </c>
      <c r="AF99" s="148">
        <v>0.35546875</v>
      </c>
      <c r="AG99" s="148">
        <v>7.57572829184</v>
      </c>
      <c r="AS99" s="148">
        <v>1.5625E-2</v>
      </c>
      <c r="AT99" s="148">
        <v>0.333984375</v>
      </c>
      <c r="AU99" s="148">
        <v>5360</v>
      </c>
      <c r="BG99" s="148">
        <v>1.953125E-3</v>
      </c>
      <c r="BH99" s="148">
        <v>0.3681640625</v>
      </c>
      <c r="BI99" s="148">
        <v>17.365589032960003</v>
      </c>
      <c r="BU99" s="148">
        <v>1.5625E-2</v>
      </c>
      <c r="BV99" s="148">
        <v>0.333984375</v>
      </c>
      <c r="BW99" s="148">
        <v>11081</v>
      </c>
      <c r="CI99" s="148">
        <v>3.90625E-3</v>
      </c>
      <c r="CJ99" s="148">
        <v>0.35546875</v>
      </c>
      <c r="CK99" s="148">
        <v>18.495430399999993</v>
      </c>
    </row>
    <row r="100" spans="31:89" x14ac:dyDescent="0.2">
      <c r="AE100" s="148">
        <v>7.8125E-3</v>
      </c>
      <c r="AF100" s="148">
        <v>0.36328125</v>
      </c>
      <c r="AG100" s="148">
        <v>7.5757282918400008</v>
      </c>
      <c r="AS100" s="148">
        <v>7.8125E-3</v>
      </c>
      <c r="AT100" s="148">
        <v>0.341796875</v>
      </c>
      <c r="AU100" s="148">
        <v>5360</v>
      </c>
      <c r="BG100" s="148">
        <v>1.953125E-3</v>
      </c>
      <c r="BH100" s="148">
        <v>0.3701171875</v>
      </c>
      <c r="BI100" s="148">
        <v>17.587331891200002</v>
      </c>
      <c r="BU100" s="148">
        <v>7.8125E-3</v>
      </c>
      <c r="BV100" s="148">
        <v>0.341796875</v>
      </c>
      <c r="BW100" s="148">
        <v>11081</v>
      </c>
      <c r="CI100" s="148">
        <v>7.8125E-3</v>
      </c>
      <c r="CJ100" s="148">
        <v>0.36328125</v>
      </c>
      <c r="CK100" s="148">
        <v>18.495430399999996</v>
      </c>
    </row>
    <row r="101" spans="31:89" x14ac:dyDescent="0.2">
      <c r="AE101" s="148">
        <v>3.90625E-3</v>
      </c>
      <c r="AF101" s="148">
        <v>0.3671875</v>
      </c>
      <c r="AG101" s="148">
        <v>7.628617591466667</v>
      </c>
      <c r="AS101" s="148">
        <v>1.5625E-2</v>
      </c>
      <c r="AT101" s="148">
        <v>0.357421875</v>
      </c>
      <c r="AU101" s="148">
        <v>5360</v>
      </c>
      <c r="BG101" s="148">
        <v>7.8125E-3</v>
      </c>
      <c r="BH101" s="148">
        <v>0.3779296875</v>
      </c>
      <c r="BI101" s="148">
        <v>18.762013354666664</v>
      </c>
      <c r="BU101" s="148">
        <v>1.5625E-2</v>
      </c>
      <c r="BV101" s="148">
        <v>0.357421875</v>
      </c>
      <c r="BW101" s="148">
        <v>11081</v>
      </c>
      <c r="CI101" s="148">
        <v>3.90625E-3</v>
      </c>
      <c r="CJ101" s="148">
        <v>0.3671875</v>
      </c>
      <c r="CK101" s="148">
        <v>18.624554666666661</v>
      </c>
    </row>
    <row r="102" spans="31:89" x14ac:dyDescent="0.2">
      <c r="AE102" s="148">
        <v>9.765625E-4</v>
      </c>
      <c r="AF102" s="148">
        <v>0.3681640625</v>
      </c>
      <c r="AG102" s="148">
        <v>7.6689073766400027</v>
      </c>
      <c r="AS102" s="148">
        <v>7.8125E-3</v>
      </c>
      <c r="AT102" s="148">
        <v>0.365234375</v>
      </c>
      <c r="AU102" s="148">
        <v>5360</v>
      </c>
      <c r="BG102" s="148">
        <v>1.953125E-3</v>
      </c>
      <c r="BH102" s="148">
        <v>0.3798828125</v>
      </c>
      <c r="BI102" s="148">
        <v>18.825953673216002</v>
      </c>
      <c r="BU102" s="148">
        <v>7.8125E-3</v>
      </c>
      <c r="BV102" s="148">
        <v>0.365234375</v>
      </c>
      <c r="BW102" s="148">
        <v>11081</v>
      </c>
      <c r="CI102" s="148">
        <v>9.765625E-4</v>
      </c>
      <c r="CJ102" s="148">
        <v>0.3681640625</v>
      </c>
      <c r="CK102" s="148">
        <v>18.722918400000001</v>
      </c>
    </row>
    <row r="103" spans="31:89" x14ac:dyDescent="0.2">
      <c r="AE103" s="148">
        <v>1.953125E-3</v>
      </c>
      <c r="AF103" s="148">
        <v>0.3701171875</v>
      </c>
      <c r="AG103" s="148">
        <v>7.6954693046857132</v>
      </c>
      <c r="AS103" s="148">
        <v>7.8125E-3</v>
      </c>
      <c r="AT103" s="148">
        <v>0.373046875</v>
      </c>
      <c r="AU103" s="148">
        <v>5360</v>
      </c>
      <c r="BG103" s="148">
        <v>7.8125E-3</v>
      </c>
      <c r="BH103" s="148">
        <v>0.3876953125</v>
      </c>
      <c r="BI103" s="148">
        <v>18.84107066026667</v>
      </c>
      <c r="BU103" s="148">
        <v>7.8125E-3</v>
      </c>
      <c r="BV103" s="148">
        <v>0.373046875</v>
      </c>
      <c r="BW103" s="148">
        <v>11081</v>
      </c>
      <c r="CI103" s="148">
        <v>1.953125E-3</v>
      </c>
      <c r="CJ103" s="148">
        <v>0.3701171875</v>
      </c>
      <c r="CK103" s="148">
        <v>18.787766857142849</v>
      </c>
    </row>
    <row r="104" spans="31:89" x14ac:dyDescent="0.2">
      <c r="AE104" s="148">
        <v>1.953125E-3</v>
      </c>
      <c r="AF104" s="148">
        <v>0.3720703125</v>
      </c>
      <c r="AG104" s="148">
        <v>7.8950705397760013</v>
      </c>
      <c r="AS104" s="148">
        <v>7.8125E-3</v>
      </c>
      <c r="AT104" s="148">
        <v>0.380859375</v>
      </c>
      <c r="AU104" s="148">
        <v>5360</v>
      </c>
      <c r="BG104" s="148">
        <v>3.90625E-3</v>
      </c>
      <c r="BH104" s="148">
        <v>0.3916015625</v>
      </c>
      <c r="BI104" s="148">
        <v>18.872930233782856</v>
      </c>
      <c r="BU104" s="148">
        <v>7.8125E-3</v>
      </c>
      <c r="BV104" s="148">
        <v>0.380859375</v>
      </c>
      <c r="BW104" s="148">
        <v>11081</v>
      </c>
      <c r="CI104" s="148">
        <v>1.953125E-3</v>
      </c>
      <c r="CJ104" s="148">
        <v>0.3720703125</v>
      </c>
      <c r="CK104" s="148">
        <v>19.275074559999997</v>
      </c>
    </row>
    <row r="105" spans="31:89" x14ac:dyDescent="0.2">
      <c r="AE105" s="148">
        <v>1.953125E-3</v>
      </c>
      <c r="AF105" s="148">
        <v>0.3740234375</v>
      </c>
      <c r="AG105" s="148">
        <v>8.1572921344000022</v>
      </c>
      <c r="AS105" s="148">
        <v>3.90625E-3</v>
      </c>
      <c r="AT105" s="148">
        <v>0.384765625</v>
      </c>
      <c r="AU105" s="148">
        <v>5360</v>
      </c>
      <c r="BG105" s="148">
        <v>1.953125E-3</v>
      </c>
      <c r="BH105" s="148">
        <v>0.3935546875</v>
      </c>
      <c r="BI105" s="148">
        <v>18.881674171733334</v>
      </c>
      <c r="BU105" s="148">
        <v>3.90625E-3</v>
      </c>
      <c r="BV105" s="148">
        <v>0.384765625</v>
      </c>
      <c r="BW105" s="148">
        <v>11081</v>
      </c>
      <c r="CI105" s="148">
        <v>1.953125E-3</v>
      </c>
      <c r="CJ105" s="148">
        <v>0.3740234375</v>
      </c>
      <c r="CK105" s="148">
        <v>19.915264000000001</v>
      </c>
    </row>
    <row r="106" spans="31:89" x14ac:dyDescent="0.2">
      <c r="AE106" s="148">
        <v>3.90625E-3</v>
      </c>
      <c r="AF106" s="148">
        <v>0.3779296875</v>
      </c>
      <c r="AG106" s="148">
        <v>8.157292134400004</v>
      </c>
      <c r="AS106" s="148">
        <v>1.953125E-3</v>
      </c>
      <c r="AT106" s="148">
        <v>0.38671875</v>
      </c>
      <c r="AU106" s="148">
        <v>5360</v>
      </c>
      <c r="BG106" s="148">
        <v>3.90625E-3</v>
      </c>
      <c r="BH106" s="148">
        <v>0.3974609375</v>
      </c>
      <c r="BI106" s="148">
        <v>18.954246319542857</v>
      </c>
      <c r="BU106" s="148">
        <v>1.953125E-3</v>
      </c>
      <c r="BV106" s="148">
        <v>0.38671875</v>
      </c>
      <c r="BW106" s="148">
        <v>11081</v>
      </c>
      <c r="CI106" s="148">
        <v>3.90625E-3</v>
      </c>
      <c r="CJ106" s="148">
        <v>0.3779296875</v>
      </c>
      <c r="CK106" s="148">
        <v>19.915264000000004</v>
      </c>
    </row>
    <row r="107" spans="31:89" x14ac:dyDescent="0.2">
      <c r="AE107" s="148">
        <v>3.90625E-3</v>
      </c>
      <c r="AF107" s="148">
        <v>0.3818359375</v>
      </c>
      <c r="AG107" s="148">
        <v>8.1775090541714288</v>
      </c>
      <c r="AS107" s="148">
        <v>3.90625E-3</v>
      </c>
      <c r="AT107" s="148">
        <v>0.390625</v>
      </c>
      <c r="AU107" s="148">
        <v>5360</v>
      </c>
      <c r="BG107" s="148">
        <v>3.90625E-3</v>
      </c>
      <c r="BH107" s="148">
        <v>0.4013671875</v>
      </c>
      <c r="BI107" s="148">
        <v>19.049277732571429</v>
      </c>
      <c r="BU107" s="148">
        <v>3.90625E-3</v>
      </c>
      <c r="BV107" s="148">
        <v>0.390625</v>
      </c>
      <c r="BW107" s="148">
        <v>11081</v>
      </c>
      <c r="CI107" s="148">
        <v>3.90625E-3</v>
      </c>
      <c r="CJ107" s="148">
        <v>0.3818359375</v>
      </c>
      <c r="CK107" s="148">
        <v>19.964621714285709</v>
      </c>
    </row>
    <row r="108" spans="31:89" x14ac:dyDescent="0.2">
      <c r="AE108" s="148">
        <v>9.765625E-4</v>
      </c>
      <c r="AF108" s="148">
        <v>0.3828125</v>
      </c>
      <c r="AG108" s="148">
        <v>8.183254876160003</v>
      </c>
      <c r="AS108" s="148">
        <v>3.90625E-3</v>
      </c>
      <c r="AT108" s="148">
        <v>0.39453125</v>
      </c>
      <c r="AU108" s="148">
        <v>5360</v>
      </c>
      <c r="BG108" s="148">
        <v>9.765625E-4</v>
      </c>
      <c r="BH108" s="148">
        <v>0.40234375</v>
      </c>
      <c r="BI108" s="148">
        <v>19.362688565248003</v>
      </c>
      <c r="BU108" s="148">
        <v>3.90625E-3</v>
      </c>
      <c r="BV108" s="148">
        <v>0.39453125</v>
      </c>
      <c r="BW108" s="148">
        <v>11081</v>
      </c>
      <c r="CI108" s="148">
        <v>9.765625E-4</v>
      </c>
      <c r="CJ108" s="148">
        <v>0.3828125</v>
      </c>
      <c r="CK108" s="148">
        <v>19.978649600000001</v>
      </c>
    </row>
    <row r="109" spans="31:89" x14ac:dyDescent="0.2">
      <c r="AE109" s="148">
        <v>1.953125E-3</v>
      </c>
      <c r="AF109" s="148">
        <v>0.384765625</v>
      </c>
      <c r="AG109" s="148">
        <v>8.3920113781028594</v>
      </c>
      <c r="AS109" s="148">
        <v>3.90625E-3</v>
      </c>
      <c r="AT109" s="148">
        <v>0.3984375</v>
      </c>
      <c r="AU109" s="148">
        <v>5360</v>
      </c>
      <c r="BG109" s="148">
        <v>3.90625E-3</v>
      </c>
      <c r="BH109" s="148">
        <v>0.40625</v>
      </c>
      <c r="BI109" s="148">
        <v>19.711366266880006</v>
      </c>
      <c r="BU109" s="148">
        <v>3.90625E-3</v>
      </c>
      <c r="BV109" s="148">
        <v>0.3984375</v>
      </c>
      <c r="BW109" s="148">
        <v>11081</v>
      </c>
      <c r="CI109" s="148">
        <v>1.953125E-3</v>
      </c>
      <c r="CJ109" s="148">
        <v>0.384765625</v>
      </c>
      <c r="CK109" s="148">
        <v>20.488309028571429</v>
      </c>
    </row>
    <row r="110" spans="31:89" x14ac:dyDescent="0.2">
      <c r="AE110" s="148">
        <v>1.953125E-3</v>
      </c>
      <c r="AF110" s="148">
        <v>0.38671875</v>
      </c>
      <c r="AG110" s="148">
        <v>8.4223541716114276</v>
      </c>
      <c r="AS110" s="148">
        <v>1.953125E-3</v>
      </c>
      <c r="AT110" s="148">
        <v>0.400390625</v>
      </c>
      <c r="AU110" s="148">
        <v>5360</v>
      </c>
      <c r="BG110" s="148">
        <v>3.90625E-3</v>
      </c>
      <c r="BH110" s="148">
        <v>0.41015625</v>
      </c>
      <c r="BI110" s="148">
        <v>19.846657911466671</v>
      </c>
      <c r="BU110" s="148">
        <v>1.953125E-3</v>
      </c>
      <c r="BV110" s="148">
        <v>0.400390625</v>
      </c>
      <c r="BW110" s="148">
        <v>11081</v>
      </c>
      <c r="CI110" s="148">
        <v>1.953125E-3</v>
      </c>
      <c r="CJ110" s="148">
        <v>0.38671875</v>
      </c>
      <c r="CK110" s="148">
        <v>20.562388114285707</v>
      </c>
    </row>
    <row r="111" spans="31:89" x14ac:dyDescent="0.2">
      <c r="AE111" s="148">
        <v>7.8125E-3</v>
      </c>
      <c r="AF111" s="148">
        <v>0.39453125</v>
      </c>
      <c r="AG111" s="148">
        <v>8.4956770467840013</v>
      </c>
      <c r="AS111" s="148">
        <v>3.90625E-3</v>
      </c>
      <c r="AT111" s="148">
        <v>0.404296875</v>
      </c>
      <c r="AU111" s="148">
        <v>5360</v>
      </c>
      <c r="BG111" s="148">
        <v>1.953125E-3</v>
      </c>
      <c r="BH111" s="148">
        <v>0.412109375</v>
      </c>
      <c r="BI111" s="148">
        <v>19.995592359936008</v>
      </c>
      <c r="BU111" s="148">
        <v>3.90625E-3</v>
      </c>
      <c r="BV111" s="148">
        <v>0.404296875</v>
      </c>
      <c r="BW111" s="148">
        <v>11081</v>
      </c>
      <c r="CI111" s="148">
        <v>7.8125E-3</v>
      </c>
      <c r="CJ111" s="148">
        <v>0.39453125</v>
      </c>
      <c r="CK111" s="148">
        <v>20.741399039999997</v>
      </c>
    </row>
    <row r="112" spans="31:89" x14ac:dyDescent="0.2">
      <c r="AE112" s="148">
        <v>1.5625E-2</v>
      </c>
      <c r="AF112" s="148">
        <v>0.41015625</v>
      </c>
      <c r="AG112" s="148">
        <v>8.5722311338666675</v>
      </c>
      <c r="AS112" s="148">
        <v>1.953125E-3</v>
      </c>
      <c r="AT112" s="148">
        <v>0.40625</v>
      </c>
      <c r="AU112" s="148">
        <v>5360</v>
      </c>
      <c r="BG112" s="148">
        <v>7.8125E-3</v>
      </c>
      <c r="BH112" s="148">
        <v>0.419921875</v>
      </c>
      <c r="BI112" s="148">
        <v>20.018822894933333</v>
      </c>
      <c r="BU112" s="148">
        <v>1.953125E-3</v>
      </c>
      <c r="BV112" s="148">
        <v>0.40625</v>
      </c>
      <c r="BW112" s="148">
        <v>11081</v>
      </c>
      <c r="CI112" s="148">
        <v>1.5625E-2</v>
      </c>
      <c r="CJ112" s="148">
        <v>0.41015625</v>
      </c>
      <c r="CK112" s="148">
        <v>20.928298666666663</v>
      </c>
    </row>
    <row r="113" spans="31:89" x14ac:dyDescent="0.2">
      <c r="AE113" s="148">
        <v>1.953125E-3</v>
      </c>
      <c r="AF113" s="148">
        <v>0.412109375</v>
      </c>
      <c r="AG113" s="148">
        <v>8.6838198927360022</v>
      </c>
      <c r="AS113" s="148">
        <v>1.953125E-3</v>
      </c>
      <c r="AT113" s="148">
        <v>0.408203125</v>
      </c>
      <c r="AU113" s="148">
        <v>5360</v>
      </c>
      <c r="BG113" s="148">
        <v>1.5625E-2</v>
      </c>
      <c r="BH113" s="148">
        <v>0.435546875</v>
      </c>
      <c r="BI113" s="148">
        <v>20.152690980571428</v>
      </c>
      <c r="BU113" s="148">
        <v>1.953125E-3</v>
      </c>
      <c r="BV113" s="148">
        <v>0.408203125</v>
      </c>
      <c r="BW113" s="148">
        <v>11081</v>
      </c>
      <c r="CI113" s="148">
        <v>1.953125E-3</v>
      </c>
      <c r="CJ113" s="148">
        <v>0.412109375</v>
      </c>
      <c r="CK113" s="148">
        <v>21.200732159999998</v>
      </c>
    </row>
    <row r="114" spans="31:89" x14ac:dyDescent="0.2">
      <c r="AE114" s="148">
        <v>7.8125E-3</v>
      </c>
      <c r="AF114" s="148">
        <v>0.419921875</v>
      </c>
      <c r="AG114" s="148">
        <v>8.8383496738133331</v>
      </c>
      <c r="AS114" s="148">
        <v>7.8125E-3</v>
      </c>
      <c r="AT114" s="148">
        <v>0.416015625</v>
      </c>
      <c r="AU114" s="148">
        <v>5360</v>
      </c>
      <c r="BG114" s="148">
        <v>3.90625E-3</v>
      </c>
      <c r="BH114" s="148">
        <v>0.439453125</v>
      </c>
      <c r="BI114" s="148">
        <v>20.207363686399997</v>
      </c>
      <c r="BU114" s="148">
        <v>7.8125E-3</v>
      </c>
      <c r="BV114" s="148">
        <v>0.416015625</v>
      </c>
      <c r="BW114" s="148">
        <v>11081</v>
      </c>
      <c r="CI114" s="148">
        <v>7.8125E-3</v>
      </c>
      <c r="CJ114" s="148">
        <v>0.419921875</v>
      </c>
      <c r="CK114" s="148">
        <v>21.578002133333325</v>
      </c>
    </row>
    <row r="115" spans="31:89" x14ac:dyDescent="0.2">
      <c r="AE115" s="148">
        <v>3.90625E-3</v>
      </c>
      <c r="AF115" s="148">
        <v>0.423828125</v>
      </c>
      <c r="AG115" s="148">
        <v>8.978047522133334</v>
      </c>
      <c r="AS115" s="148">
        <v>3.90625E-3</v>
      </c>
      <c r="AT115" s="148">
        <v>0.419921875</v>
      </c>
      <c r="AU115" s="148">
        <v>5360</v>
      </c>
      <c r="BG115" s="148">
        <v>7.8125E-3</v>
      </c>
      <c r="BH115" s="148">
        <v>0.447265625</v>
      </c>
      <c r="BI115" s="148">
        <v>20.207363686400004</v>
      </c>
      <c r="BU115" s="148">
        <v>3.90625E-3</v>
      </c>
      <c r="BV115" s="148">
        <v>0.419921875</v>
      </c>
      <c r="BW115" s="148">
        <v>11081</v>
      </c>
      <c r="CI115" s="148">
        <v>3.90625E-3</v>
      </c>
      <c r="CJ115" s="148">
        <v>0.423828125</v>
      </c>
      <c r="CK115" s="148">
        <v>21.919061333333328</v>
      </c>
    </row>
    <row r="116" spans="31:89" x14ac:dyDescent="0.2">
      <c r="AE116" s="148">
        <v>1.953125E-3</v>
      </c>
      <c r="AF116" s="148">
        <v>0.42578125</v>
      </c>
      <c r="AG116" s="148">
        <v>9.1296516388571458</v>
      </c>
      <c r="AS116" s="148">
        <v>7.8125E-3</v>
      </c>
      <c r="AT116" s="148">
        <v>0.427734375</v>
      </c>
      <c r="AU116" s="148">
        <v>5360</v>
      </c>
      <c r="BG116" s="148">
        <v>3.90625E-3</v>
      </c>
      <c r="BH116" s="148">
        <v>0.451171875</v>
      </c>
      <c r="BI116" s="148">
        <v>20.444033548288001</v>
      </c>
      <c r="BU116" s="148">
        <v>7.8125E-3</v>
      </c>
      <c r="BV116" s="148">
        <v>0.427734375</v>
      </c>
      <c r="BW116" s="148">
        <v>11081</v>
      </c>
      <c r="CI116" s="148">
        <v>1.953125E-3</v>
      </c>
      <c r="CJ116" s="148">
        <v>0.42578125</v>
      </c>
      <c r="CK116" s="148">
        <v>22.289188571428571</v>
      </c>
    </row>
    <row r="117" spans="31:89" x14ac:dyDescent="0.2">
      <c r="AE117" s="148">
        <v>1.953125E-3</v>
      </c>
      <c r="AF117" s="148">
        <v>0.427734375</v>
      </c>
      <c r="AG117" s="148">
        <v>9.1543411097600007</v>
      </c>
      <c r="AS117" s="148">
        <v>3.90625E-3</v>
      </c>
      <c r="AT117" s="148">
        <v>0.431640625</v>
      </c>
      <c r="AU117" s="148">
        <v>5360</v>
      </c>
      <c r="BG117" s="148">
        <v>9.765625E-4</v>
      </c>
      <c r="BH117" s="148">
        <v>0.4521484375</v>
      </c>
      <c r="BI117" s="148">
        <v>21.104798269440003</v>
      </c>
      <c r="BU117" s="148">
        <v>3.90625E-3</v>
      </c>
      <c r="BV117" s="148">
        <v>0.431640625</v>
      </c>
      <c r="BW117" s="148">
        <v>11081</v>
      </c>
      <c r="CI117" s="148">
        <v>1.953125E-3</v>
      </c>
      <c r="CJ117" s="148">
        <v>0.427734375</v>
      </c>
      <c r="CK117" s="148">
        <v>22.349465599999995</v>
      </c>
    </row>
    <row r="118" spans="31:89" x14ac:dyDescent="0.2">
      <c r="AE118" s="148">
        <v>9.765625E-4</v>
      </c>
      <c r="AF118" s="148">
        <v>0.4287109375</v>
      </c>
      <c r="AG118" s="148">
        <v>9.373622318811428</v>
      </c>
      <c r="AS118" s="148">
        <v>3.90625E-3</v>
      </c>
      <c r="AT118" s="148">
        <v>0.435546875</v>
      </c>
      <c r="AU118" s="148">
        <v>5360</v>
      </c>
      <c r="BG118" s="148">
        <v>7.8125E-3</v>
      </c>
      <c r="BH118" s="148">
        <v>0.4599609375</v>
      </c>
      <c r="BI118" s="148">
        <v>22.018418606080001</v>
      </c>
      <c r="BU118" s="148">
        <v>3.90625E-3</v>
      </c>
      <c r="BV118" s="148">
        <v>0.435546875</v>
      </c>
      <c r="BW118" s="148">
        <v>11081</v>
      </c>
      <c r="CI118" s="148">
        <v>9.765625E-4</v>
      </c>
      <c r="CJ118" s="148">
        <v>0.4287109375</v>
      </c>
      <c r="CK118" s="148">
        <v>22.884820114285706</v>
      </c>
    </row>
    <row r="119" spans="31:89" x14ac:dyDescent="0.2">
      <c r="AE119" s="148">
        <v>3.90625E-3</v>
      </c>
      <c r="AF119" s="148">
        <v>0.4326171875</v>
      </c>
      <c r="AG119" s="148">
        <v>9.3878702197028581</v>
      </c>
      <c r="AS119" s="148">
        <v>3.90625E-3</v>
      </c>
      <c r="AT119" s="148">
        <v>0.439453125</v>
      </c>
      <c r="AU119" s="148">
        <v>5360</v>
      </c>
      <c r="BG119" s="148">
        <v>7.8125E-3</v>
      </c>
      <c r="BH119" s="148">
        <v>0.4677734375</v>
      </c>
      <c r="BI119" s="148">
        <v>22.113287372800002</v>
      </c>
      <c r="BU119" s="148">
        <v>3.90625E-3</v>
      </c>
      <c r="BV119" s="148">
        <v>0.439453125</v>
      </c>
      <c r="BW119" s="148">
        <v>11081</v>
      </c>
      <c r="CI119" s="148">
        <v>3.90625E-3</v>
      </c>
      <c r="CJ119" s="148">
        <v>0.4326171875</v>
      </c>
      <c r="CK119" s="148">
        <v>22.919605028571425</v>
      </c>
    </row>
    <row r="120" spans="31:89" x14ac:dyDescent="0.2">
      <c r="AE120" s="148">
        <v>3.90625E-3</v>
      </c>
      <c r="AF120" s="148">
        <v>0.4365234375</v>
      </c>
      <c r="AG120" s="148">
        <v>9.5168408234666693</v>
      </c>
      <c r="AS120" s="148">
        <v>1.953125E-3</v>
      </c>
      <c r="AT120" s="148">
        <v>0.44140625</v>
      </c>
      <c r="AU120" s="148">
        <v>5360</v>
      </c>
      <c r="BG120" s="148">
        <v>7.8125E-3</v>
      </c>
      <c r="BH120" s="148">
        <v>0.4755859375</v>
      </c>
      <c r="BI120" s="148">
        <v>22.224157354666666</v>
      </c>
      <c r="BU120" s="148">
        <v>1.953125E-3</v>
      </c>
      <c r="BV120" s="148">
        <v>0.44140625</v>
      </c>
      <c r="BW120" s="148">
        <v>11081</v>
      </c>
      <c r="CI120" s="148">
        <v>3.90625E-3</v>
      </c>
      <c r="CJ120" s="148">
        <v>0.4365234375</v>
      </c>
      <c r="CK120" s="148">
        <v>23.234474666666667</v>
      </c>
    </row>
    <row r="121" spans="31:89" x14ac:dyDescent="0.2">
      <c r="AE121" s="148">
        <v>7.8125E-3</v>
      </c>
      <c r="AF121" s="148">
        <v>0.4443359375</v>
      </c>
      <c r="AG121" s="148">
        <v>9.5404272298666672</v>
      </c>
      <c r="AS121" s="148">
        <v>3.90625E-3</v>
      </c>
      <c r="AT121" s="148">
        <v>0.4453125</v>
      </c>
      <c r="AU121" s="148">
        <v>5360</v>
      </c>
      <c r="BG121" s="148">
        <v>3.90625E-3</v>
      </c>
      <c r="BH121" s="148">
        <v>0.4794921875</v>
      </c>
      <c r="BI121" s="148">
        <v>22.41184961097143</v>
      </c>
      <c r="BU121" s="148">
        <v>3.90625E-3</v>
      </c>
      <c r="BV121" s="148">
        <v>0.4453125</v>
      </c>
      <c r="BW121" s="148">
        <v>11081</v>
      </c>
      <c r="CI121" s="148">
        <v>7.8125E-3</v>
      </c>
      <c r="CJ121" s="148">
        <v>0.4443359375</v>
      </c>
      <c r="CK121" s="148">
        <v>23.292058666666662</v>
      </c>
    </row>
    <row r="122" spans="31:89" x14ac:dyDescent="0.2">
      <c r="AE122" s="148">
        <v>3.90625E-3</v>
      </c>
      <c r="AF122" s="148">
        <v>0.4482421875</v>
      </c>
      <c r="AG122" s="148">
        <v>9.7906799411200023</v>
      </c>
      <c r="AS122" s="148">
        <v>7.8125E-3</v>
      </c>
      <c r="AT122" s="148">
        <v>0.453125</v>
      </c>
      <c r="AU122" s="148">
        <v>5360</v>
      </c>
      <c r="BG122" s="148">
        <v>9.765625E-4</v>
      </c>
      <c r="BH122" s="148">
        <v>0.48046875</v>
      </c>
      <c r="BI122" s="148">
        <v>22.433992633782861</v>
      </c>
      <c r="BU122" s="148">
        <v>7.8125E-3</v>
      </c>
      <c r="BV122" s="148">
        <v>0.453125</v>
      </c>
      <c r="BW122" s="148">
        <v>11081</v>
      </c>
      <c r="CI122" s="148">
        <v>3.90625E-3</v>
      </c>
      <c r="CJ122" s="148">
        <v>0.4482421875</v>
      </c>
      <c r="CK122" s="148">
        <v>23.903027199999997</v>
      </c>
    </row>
    <row r="123" spans="31:89" x14ac:dyDescent="0.2">
      <c r="AE123" s="148">
        <v>3.90625E-3</v>
      </c>
      <c r="AF123" s="148">
        <v>0.4521484375</v>
      </c>
      <c r="AG123" s="148">
        <v>9.8260798668799989</v>
      </c>
      <c r="AS123" s="148">
        <v>7.8125E-3</v>
      </c>
      <c r="AT123" s="148">
        <v>0.4609375</v>
      </c>
      <c r="AU123" s="148">
        <v>5360</v>
      </c>
      <c r="BG123" s="148">
        <v>1.953125E-3</v>
      </c>
      <c r="BH123" s="148">
        <v>0.482421875</v>
      </c>
      <c r="BI123" s="148">
        <v>22.514416025599999</v>
      </c>
      <c r="BU123" s="148">
        <v>7.8125E-3</v>
      </c>
      <c r="BV123" s="148">
        <v>0.4609375</v>
      </c>
      <c r="BW123" s="148">
        <v>11081</v>
      </c>
      <c r="CI123" s="148">
        <v>3.90625E-3</v>
      </c>
      <c r="CJ123" s="148">
        <v>0.4521484375</v>
      </c>
      <c r="CK123" s="148">
        <v>23.989452799999988</v>
      </c>
    </row>
    <row r="124" spans="31:89" x14ac:dyDescent="0.2">
      <c r="AE124" s="148">
        <v>1.5625E-2</v>
      </c>
      <c r="AF124" s="148">
        <v>0.4677734375</v>
      </c>
      <c r="AG124" s="148">
        <v>10.113901246171428</v>
      </c>
      <c r="AS124" s="148">
        <v>7.8125E-3</v>
      </c>
      <c r="AT124" s="148">
        <v>0.46875</v>
      </c>
      <c r="AU124" s="148">
        <v>5360</v>
      </c>
      <c r="BG124" s="148">
        <v>3.90625E-3</v>
      </c>
      <c r="BH124" s="148">
        <v>0.486328125</v>
      </c>
      <c r="BI124" s="148">
        <v>22.514416025599999</v>
      </c>
      <c r="BU124" s="148">
        <v>7.8125E-3</v>
      </c>
      <c r="BV124" s="148">
        <v>0.46875</v>
      </c>
      <c r="BW124" s="148">
        <v>11081</v>
      </c>
      <c r="CI124" s="148">
        <v>1.5625E-2</v>
      </c>
      <c r="CJ124" s="148">
        <v>0.4677734375</v>
      </c>
      <c r="CK124" s="148">
        <v>24.692141714285707</v>
      </c>
    </row>
    <row r="125" spans="31:89" x14ac:dyDescent="0.2">
      <c r="AE125" s="148">
        <v>7.8125E-3</v>
      </c>
      <c r="AF125" s="148">
        <v>0.4755859375</v>
      </c>
      <c r="AG125" s="148">
        <v>10.286677360640001</v>
      </c>
      <c r="AS125" s="148">
        <v>1.5625E-2</v>
      </c>
      <c r="AT125" s="148">
        <v>0.484375</v>
      </c>
      <c r="AU125" s="148">
        <v>5360</v>
      </c>
      <c r="BG125" s="148">
        <v>1.953125E-3</v>
      </c>
      <c r="BH125" s="148">
        <v>0.48828125</v>
      </c>
      <c r="BI125" s="148">
        <v>22.60928479232</v>
      </c>
      <c r="BU125" s="148">
        <v>1.5625E-2</v>
      </c>
      <c r="BV125" s="148">
        <v>0.484375</v>
      </c>
      <c r="BW125" s="148">
        <v>11081</v>
      </c>
      <c r="CI125" s="148">
        <v>7.8125E-3</v>
      </c>
      <c r="CJ125" s="148">
        <v>0.4755859375</v>
      </c>
      <c r="CK125" s="148">
        <v>25.113958399999994</v>
      </c>
    </row>
    <row r="126" spans="31:89" x14ac:dyDescent="0.2">
      <c r="AE126" s="148">
        <v>3.90625E-3</v>
      </c>
      <c r="AF126" s="148">
        <v>0.4794921875</v>
      </c>
      <c r="AG126" s="148">
        <v>10.286677360640001</v>
      </c>
      <c r="AS126" s="148">
        <v>3.125E-2</v>
      </c>
      <c r="AT126" s="148">
        <v>0.515625</v>
      </c>
      <c r="AU126" s="148">
        <v>5360</v>
      </c>
      <c r="BG126" s="148">
        <v>3.90625E-3</v>
      </c>
      <c r="BH126" s="148">
        <v>0.4921875</v>
      </c>
      <c r="BI126" s="148">
        <v>22.609284792320004</v>
      </c>
      <c r="BU126" s="148">
        <v>3.125E-2</v>
      </c>
      <c r="BV126" s="148">
        <v>0.515625</v>
      </c>
      <c r="BW126" s="148">
        <v>11081</v>
      </c>
      <c r="CI126" s="148">
        <v>3.90625E-3</v>
      </c>
      <c r="CJ126" s="148">
        <v>0.4794921875</v>
      </c>
      <c r="CK126" s="148">
        <v>25.113958399999994</v>
      </c>
    </row>
    <row r="127" spans="31:89" x14ac:dyDescent="0.2">
      <c r="AE127" s="148">
        <v>3.90625E-3</v>
      </c>
      <c r="AF127" s="148">
        <v>0.4833984375</v>
      </c>
      <c r="AG127" s="148">
        <v>10.337880824685715</v>
      </c>
      <c r="AS127" s="148">
        <v>1.5625E-2</v>
      </c>
      <c r="AT127" s="148">
        <v>0.53125</v>
      </c>
      <c r="AU127" s="148">
        <v>5360</v>
      </c>
      <c r="BG127" s="148">
        <v>9.765625E-4</v>
      </c>
      <c r="BH127" s="148">
        <v>0.4931640625</v>
      </c>
      <c r="BI127" s="148">
        <v>22.65800900608</v>
      </c>
      <c r="BU127" s="148">
        <v>1.5625E-2</v>
      </c>
      <c r="BV127" s="148">
        <v>0.53125</v>
      </c>
      <c r="BW127" s="148">
        <v>11081</v>
      </c>
      <c r="CI127" s="148">
        <v>3.90625E-3</v>
      </c>
      <c r="CJ127" s="148">
        <v>0.4833984375</v>
      </c>
      <c r="CK127" s="148">
        <v>25.238966857142852</v>
      </c>
    </row>
    <row r="128" spans="31:89" x14ac:dyDescent="0.2">
      <c r="AE128" s="148">
        <v>3.90625E-3</v>
      </c>
      <c r="AF128" s="148">
        <v>0.4873046875</v>
      </c>
      <c r="AG128" s="148">
        <v>10.606019608576002</v>
      </c>
      <c r="AS128" s="148">
        <v>7.8125E-3</v>
      </c>
      <c r="AT128" s="148">
        <v>0.5390625</v>
      </c>
      <c r="AU128" s="148">
        <v>5360</v>
      </c>
      <c r="BG128" s="148">
        <v>3.125E-2</v>
      </c>
      <c r="BH128" s="148">
        <v>0.5244140625</v>
      </c>
      <c r="BI128" s="148">
        <v>23.511472810666667</v>
      </c>
      <c r="BU128" s="148">
        <v>7.8125E-3</v>
      </c>
      <c r="BV128" s="148">
        <v>0.5390625</v>
      </c>
      <c r="BW128" s="148">
        <v>11081</v>
      </c>
      <c r="CI128" s="148">
        <v>3.90625E-3</v>
      </c>
      <c r="CJ128" s="148">
        <v>0.4873046875</v>
      </c>
      <c r="CK128" s="148">
        <v>25.893602559999998</v>
      </c>
    </row>
    <row r="129" spans="31:89" x14ac:dyDescent="0.2">
      <c r="AE129" s="148">
        <v>3.90625E-3</v>
      </c>
      <c r="AF129" s="148">
        <v>0.4912109375</v>
      </c>
      <c r="AG129" s="148">
        <v>10.651260245333335</v>
      </c>
      <c r="AS129" s="148">
        <v>7.8125E-3</v>
      </c>
      <c r="AT129" s="148">
        <v>0.546875</v>
      </c>
      <c r="AU129" s="148">
        <v>5360</v>
      </c>
      <c r="BG129" s="148">
        <v>7.8125E-3</v>
      </c>
      <c r="BH129" s="148">
        <v>0.5322265625</v>
      </c>
      <c r="BI129" s="148">
        <v>23.57525763413333</v>
      </c>
      <c r="BU129" s="148">
        <v>7.8125E-3</v>
      </c>
      <c r="BV129" s="148">
        <v>0.546875</v>
      </c>
      <c r="BW129" s="148">
        <v>11081</v>
      </c>
      <c r="CI129" s="148">
        <v>3.90625E-3</v>
      </c>
      <c r="CJ129" s="148">
        <v>0.4912109375</v>
      </c>
      <c r="CK129" s="148">
        <v>26.004053333333328</v>
      </c>
    </row>
    <row r="130" spans="31:89" x14ac:dyDescent="0.2">
      <c r="AE130" s="148">
        <v>9.765625E-4</v>
      </c>
      <c r="AF130" s="148">
        <v>0.4921875</v>
      </c>
      <c r="AG130" s="148">
        <v>10.77365702656</v>
      </c>
      <c r="AS130" s="148">
        <v>7.8125E-3</v>
      </c>
      <c r="AT130" s="148">
        <v>0.5546875</v>
      </c>
      <c r="AU130" s="148">
        <v>5360</v>
      </c>
      <c r="BG130" s="148">
        <v>1.953125E-3</v>
      </c>
      <c r="BH130" s="148">
        <v>0.5341796875</v>
      </c>
      <c r="BI130" s="148">
        <v>23.653639520256014</v>
      </c>
      <c r="BU130" s="148">
        <v>7.8125E-3</v>
      </c>
      <c r="BV130" s="148">
        <v>0.5546875</v>
      </c>
      <c r="BW130" s="148">
        <v>11081</v>
      </c>
      <c r="CI130" s="148">
        <v>9.765625E-4</v>
      </c>
      <c r="CJ130" s="148">
        <v>0.4921875</v>
      </c>
      <c r="CK130" s="148">
        <v>26.302873599999991</v>
      </c>
    </row>
    <row r="131" spans="31:89" x14ac:dyDescent="0.2">
      <c r="AE131" s="148">
        <v>1.953125E-3</v>
      </c>
      <c r="AF131" s="148">
        <v>0.494140625</v>
      </c>
      <c r="AG131" s="148">
        <v>10.77365702656</v>
      </c>
      <c r="AS131" s="148">
        <v>3.90625E-3</v>
      </c>
      <c r="AT131" s="148">
        <v>0.55859375</v>
      </c>
      <c r="AU131" s="148">
        <v>5360</v>
      </c>
      <c r="BG131" s="148">
        <v>3.90625E-3</v>
      </c>
      <c r="BH131" s="148">
        <v>0.5380859375</v>
      </c>
      <c r="BI131" s="148">
        <v>23.758088531382864</v>
      </c>
      <c r="BU131" s="148">
        <v>3.90625E-3</v>
      </c>
      <c r="BV131" s="148">
        <v>0.55859375</v>
      </c>
      <c r="BW131" s="148">
        <v>11081</v>
      </c>
      <c r="CI131" s="148">
        <v>1.953125E-3</v>
      </c>
      <c r="CJ131" s="148">
        <v>0.494140625</v>
      </c>
      <c r="CK131" s="148">
        <v>26.302873599999991</v>
      </c>
    </row>
    <row r="132" spans="31:89" x14ac:dyDescent="0.2">
      <c r="AE132" s="148">
        <v>1.953125E-3</v>
      </c>
      <c r="AF132" s="148">
        <v>0.49609375</v>
      </c>
      <c r="AG132" s="148">
        <v>10.935892705280001</v>
      </c>
      <c r="AS132" s="148">
        <v>1.953125E-3</v>
      </c>
      <c r="AT132" s="148">
        <v>0.560546875</v>
      </c>
      <c r="AU132" s="148">
        <v>5360</v>
      </c>
      <c r="BG132" s="148">
        <v>3.90625E-3</v>
      </c>
      <c r="BH132" s="148">
        <v>0.5419921875</v>
      </c>
      <c r="BI132" s="148">
        <v>23.804276618971432</v>
      </c>
      <c r="BU132" s="148">
        <v>1.953125E-3</v>
      </c>
      <c r="BV132" s="148">
        <v>0.560546875</v>
      </c>
      <c r="BW132" s="148">
        <v>11081</v>
      </c>
      <c r="CI132" s="148">
        <v>1.953125E-3</v>
      </c>
      <c r="CJ132" s="148">
        <v>0.49609375</v>
      </c>
      <c r="CK132" s="148">
        <v>26.698956799999994</v>
      </c>
    </row>
    <row r="133" spans="31:89" x14ac:dyDescent="0.2">
      <c r="AE133" s="148">
        <v>7.8125E-3</v>
      </c>
      <c r="AF133" s="148">
        <v>0.50390625</v>
      </c>
      <c r="AG133" s="148">
        <v>10.95251525632</v>
      </c>
      <c r="AS133" s="148">
        <v>3.90625E-3</v>
      </c>
      <c r="AT133" s="148">
        <v>0.564453125</v>
      </c>
      <c r="AU133" s="148">
        <v>5360</v>
      </c>
      <c r="BG133" s="148">
        <v>9.765625E-4</v>
      </c>
      <c r="BH133" s="148">
        <v>0.54296875</v>
      </c>
      <c r="BI133" s="148">
        <v>23.815989493760004</v>
      </c>
      <c r="BU133" s="148">
        <v>3.90625E-3</v>
      </c>
      <c r="BV133" s="148">
        <v>0.564453125</v>
      </c>
      <c r="BW133" s="148">
        <v>11081</v>
      </c>
      <c r="CI133" s="148">
        <v>7.8125E-3</v>
      </c>
      <c r="CJ133" s="148">
        <v>0.50390625</v>
      </c>
      <c r="CK133" s="148">
        <v>26.739539199999992</v>
      </c>
    </row>
    <row r="134" spans="31:89" x14ac:dyDescent="0.2">
      <c r="AE134" s="148">
        <v>1.953125E-3</v>
      </c>
      <c r="AF134" s="148">
        <v>0.505859375</v>
      </c>
      <c r="AG134" s="148">
        <v>11.420208988160006</v>
      </c>
      <c r="AS134" s="148">
        <v>3.90625E-3</v>
      </c>
      <c r="AT134" s="148">
        <v>0.568359375</v>
      </c>
      <c r="AU134" s="148">
        <v>5360</v>
      </c>
      <c r="BG134" s="148">
        <v>1.953125E-3</v>
      </c>
      <c r="BH134" s="148">
        <v>0.544921875</v>
      </c>
      <c r="BI134" s="148">
        <v>23.815989493760011</v>
      </c>
      <c r="BU134" s="148">
        <v>3.90625E-3</v>
      </c>
      <c r="BV134" s="148">
        <v>0.568359375</v>
      </c>
      <c r="BW134" s="148">
        <v>11081</v>
      </c>
      <c r="CI134" s="148">
        <v>1.953125E-3</v>
      </c>
      <c r="CJ134" s="148">
        <v>0.505859375</v>
      </c>
      <c r="CK134" s="148">
        <v>27.881369600000006</v>
      </c>
    </row>
    <row r="135" spans="31:89" x14ac:dyDescent="0.2">
      <c r="AE135" s="148">
        <v>1.953125E-3</v>
      </c>
      <c r="AF135" s="148">
        <v>0.5078125</v>
      </c>
      <c r="AG135" s="148">
        <v>11.44851267584</v>
      </c>
      <c r="AS135" s="148">
        <v>3.90625E-3</v>
      </c>
      <c r="AT135" s="148">
        <v>0.572265625</v>
      </c>
      <c r="AU135" s="148">
        <v>5360</v>
      </c>
      <c r="BG135" s="148">
        <v>3.90625E-3</v>
      </c>
      <c r="BH135" s="148">
        <v>0.548828125</v>
      </c>
      <c r="BI135" s="148">
        <v>24.022587473920005</v>
      </c>
      <c r="BU135" s="148">
        <v>3.90625E-3</v>
      </c>
      <c r="BV135" s="148">
        <v>0.572265625</v>
      </c>
      <c r="BW135" s="148">
        <v>11081</v>
      </c>
      <c r="CI135" s="148">
        <v>1.953125E-3</v>
      </c>
      <c r="CJ135" s="148">
        <v>0.5078125</v>
      </c>
      <c r="CK135" s="148">
        <v>27.95047039999999</v>
      </c>
    </row>
    <row r="136" spans="31:89" x14ac:dyDescent="0.2">
      <c r="AE136" s="148">
        <v>3.90625E-3</v>
      </c>
      <c r="AF136" s="148">
        <v>0.51171875</v>
      </c>
      <c r="AG136" s="148">
        <v>11.448512675840002</v>
      </c>
      <c r="AS136" s="148">
        <v>7.8125E-3</v>
      </c>
      <c r="AT136" s="148">
        <v>0.580078125</v>
      </c>
      <c r="AU136" s="148">
        <v>5360</v>
      </c>
      <c r="BG136" s="148">
        <v>1.953125E-3</v>
      </c>
      <c r="BH136" s="148">
        <v>0.55078125</v>
      </c>
      <c r="BI136" s="148">
        <v>25.124759844571432</v>
      </c>
      <c r="BU136" s="148">
        <v>7.8125E-3</v>
      </c>
      <c r="BV136" s="148">
        <v>0.580078125</v>
      </c>
      <c r="BW136" s="148">
        <v>11081</v>
      </c>
      <c r="CI136" s="148">
        <v>3.90625E-3</v>
      </c>
      <c r="CJ136" s="148">
        <v>0.51171875</v>
      </c>
      <c r="CK136" s="148">
        <v>27.950470399999997</v>
      </c>
    </row>
    <row r="137" spans="31:89" x14ac:dyDescent="0.2">
      <c r="AE137" s="148">
        <v>3.90625E-3</v>
      </c>
      <c r="AF137" s="148">
        <v>0.515625</v>
      </c>
      <c r="AG137" s="148">
        <v>11.593247995611428</v>
      </c>
      <c r="AS137" s="148">
        <v>3.90625E-3</v>
      </c>
      <c r="AT137" s="148">
        <v>0.583984375</v>
      </c>
      <c r="AU137" s="148">
        <v>5360</v>
      </c>
      <c r="BG137" s="148">
        <v>7.8125E-3</v>
      </c>
      <c r="BH137" s="148">
        <v>0.55859375</v>
      </c>
      <c r="BI137" s="148">
        <v>26.147157879466665</v>
      </c>
      <c r="BU137" s="148">
        <v>3.90625E-3</v>
      </c>
      <c r="BV137" s="148">
        <v>0.583984375</v>
      </c>
      <c r="BW137" s="148">
        <v>11081</v>
      </c>
      <c r="CI137" s="148">
        <v>3.90625E-3</v>
      </c>
      <c r="CJ137" s="148">
        <v>0.515625</v>
      </c>
      <c r="CK137" s="148">
        <v>28.303828114285704</v>
      </c>
    </row>
    <row r="138" spans="31:89" x14ac:dyDescent="0.2">
      <c r="AE138" s="148">
        <v>3.90625E-3</v>
      </c>
      <c r="AF138" s="148">
        <v>0.51953125</v>
      </c>
      <c r="AG138" s="148">
        <v>11.711540850102859</v>
      </c>
      <c r="AS138" s="148">
        <v>7.8125E-3</v>
      </c>
      <c r="AT138" s="148">
        <v>0.591796875</v>
      </c>
      <c r="AU138" s="148">
        <v>5360</v>
      </c>
      <c r="BG138" s="148">
        <v>1.953125E-3</v>
      </c>
      <c r="BH138" s="148">
        <v>0.560546875</v>
      </c>
      <c r="BI138" s="148">
        <v>26.172991406080005</v>
      </c>
      <c r="BU138" s="148">
        <v>7.8125E-3</v>
      </c>
      <c r="BV138" s="148">
        <v>0.591796875</v>
      </c>
      <c r="BW138" s="148">
        <v>11081</v>
      </c>
      <c r="CI138" s="148">
        <v>3.90625E-3</v>
      </c>
      <c r="CJ138" s="148">
        <v>0.51953125</v>
      </c>
      <c r="CK138" s="148">
        <v>28.592629028571423</v>
      </c>
    </row>
    <row r="139" spans="31:89" x14ac:dyDescent="0.2">
      <c r="AE139" s="148">
        <v>1.953125E-3</v>
      </c>
      <c r="AF139" s="148">
        <v>0.521484375</v>
      </c>
      <c r="AG139" s="148">
        <v>11.748815929344005</v>
      </c>
      <c r="AS139" s="148">
        <v>1.953125E-3</v>
      </c>
      <c r="AT139" s="148">
        <v>0.59375</v>
      </c>
      <c r="AU139" s="148">
        <v>5360</v>
      </c>
      <c r="BG139" s="148">
        <v>3.90625E-3</v>
      </c>
      <c r="BH139" s="148">
        <v>0.564453125</v>
      </c>
      <c r="BI139" s="148">
        <v>26.266818696533331</v>
      </c>
      <c r="BU139" s="148">
        <v>1.953125E-3</v>
      </c>
      <c r="BV139" s="148">
        <v>0.59375</v>
      </c>
      <c r="BW139" s="148">
        <v>11081</v>
      </c>
      <c r="CI139" s="148">
        <v>1.953125E-3</v>
      </c>
      <c r="CJ139" s="148">
        <v>0.521484375</v>
      </c>
      <c r="CK139" s="148">
        <v>28.683632640000003</v>
      </c>
    </row>
    <row r="140" spans="31:89" x14ac:dyDescent="0.2">
      <c r="AE140" s="148">
        <v>1.953125E-3</v>
      </c>
      <c r="AF140" s="148">
        <v>0.5234375</v>
      </c>
      <c r="AG140" s="148">
        <v>11.791295840256002</v>
      </c>
      <c r="AS140" s="148">
        <v>1.953125E-3</v>
      </c>
      <c r="AT140" s="148">
        <v>0.595703125</v>
      </c>
      <c r="AU140" s="148">
        <v>5360</v>
      </c>
      <c r="BG140" s="148">
        <v>3.90625E-3</v>
      </c>
      <c r="BH140" s="148">
        <v>0.568359375</v>
      </c>
      <c r="BI140" s="148">
        <v>26.377498924373331</v>
      </c>
      <c r="BU140" s="148">
        <v>1.953125E-3</v>
      </c>
      <c r="BV140" s="148">
        <v>0.595703125</v>
      </c>
      <c r="BW140" s="148">
        <v>11081</v>
      </c>
      <c r="CI140" s="148">
        <v>1.953125E-3</v>
      </c>
      <c r="CJ140" s="148">
        <v>0.5234375</v>
      </c>
      <c r="CK140" s="148">
        <v>28.787343359999994</v>
      </c>
    </row>
    <row r="141" spans="31:89" x14ac:dyDescent="0.2">
      <c r="AE141" s="148">
        <v>3.125E-2</v>
      </c>
      <c r="AF141" s="148">
        <v>0.5546875</v>
      </c>
      <c r="AG141" s="148">
        <v>11.799551453866666</v>
      </c>
      <c r="AS141" s="148">
        <v>3.90625E-3</v>
      </c>
      <c r="AT141" s="148">
        <v>0.599609375</v>
      </c>
      <c r="AU141" s="148">
        <v>5360</v>
      </c>
      <c r="BG141" s="148">
        <v>3.90625E-3</v>
      </c>
      <c r="BH141" s="148">
        <v>0.572265625</v>
      </c>
      <c r="BI141" s="148">
        <v>26.422102327296006</v>
      </c>
      <c r="BU141" s="148">
        <v>3.90625E-3</v>
      </c>
      <c r="BV141" s="148">
        <v>0.599609375</v>
      </c>
      <c r="BW141" s="148">
        <v>11081</v>
      </c>
      <c r="CI141" s="148">
        <v>3.125E-2</v>
      </c>
      <c r="CJ141" s="148">
        <v>0.5546875</v>
      </c>
      <c r="CK141" s="148">
        <v>28.807498666666657</v>
      </c>
    </row>
    <row r="142" spans="31:89" x14ac:dyDescent="0.2">
      <c r="AE142" s="148">
        <v>7.8125E-3</v>
      </c>
      <c r="AF142" s="148">
        <v>0.5625</v>
      </c>
      <c r="AG142" s="148">
        <v>12.001123587413332</v>
      </c>
      <c r="AS142" s="148">
        <v>1.953125E-3</v>
      </c>
      <c r="AT142" s="148">
        <v>0.6015625</v>
      </c>
      <c r="AU142" s="148">
        <v>5360</v>
      </c>
      <c r="BG142" s="148">
        <v>9.765625E-4</v>
      </c>
      <c r="BH142" s="148">
        <v>0.5732421875</v>
      </c>
      <c r="BI142" s="148">
        <v>26.469078887862864</v>
      </c>
      <c r="BU142" s="148">
        <v>1.953125E-3</v>
      </c>
      <c r="BV142" s="148">
        <v>0.6015625</v>
      </c>
      <c r="BW142" s="148">
        <v>11081</v>
      </c>
      <c r="CI142" s="148">
        <v>7.8125E-3</v>
      </c>
      <c r="CJ142" s="148">
        <v>0.5625</v>
      </c>
      <c r="CK142" s="148">
        <v>29.299618133333322</v>
      </c>
    </row>
    <row r="143" spans="31:89" x14ac:dyDescent="0.2">
      <c r="AE143" s="148">
        <v>7.8125E-3</v>
      </c>
      <c r="AF143" s="148">
        <v>0.5703125</v>
      </c>
      <c r="AG143" s="148">
        <v>12.060860962133335</v>
      </c>
      <c r="AS143" s="148">
        <v>3.90625E-3</v>
      </c>
      <c r="AT143" s="148">
        <v>0.60546875</v>
      </c>
      <c r="AU143" s="148">
        <v>5360</v>
      </c>
      <c r="BG143" s="148">
        <v>3.90625E-3</v>
      </c>
      <c r="BH143" s="148">
        <v>0.5771484375</v>
      </c>
      <c r="BI143" s="148">
        <v>26.53594484736</v>
      </c>
      <c r="BU143" s="148">
        <v>3.90625E-3</v>
      </c>
      <c r="BV143" s="148">
        <v>0.60546875</v>
      </c>
      <c r="BW143" s="148">
        <v>11081</v>
      </c>
      <c r="CI143" s="148">
        <v>7.8125E-3</v>
      </c>
      <c r="CJ143" s="148">
        <v>0.5703125</v>
      </c>
      <c r="CK143" s="148">
        <v>29.445461333333327</v>
      </c>
    </row>
    <row r="144" spans="31:89" x14ac:dyDescent="0.2">
      <c r="AE144" s="148">
        <v>1.953125E-3</v>
      </c>
      <c r="AF144" s="148">
        <v>0.572265625</v>
      </c>
      <c r="AG144" s="148">
        <v>12.569266530986667</v>
      </c>
      <c r="AS144" s="148">
        <v>3.90625E-3</v>
      </c>
      <c r="AT144" s="148">
        <v>0.609375</v>
      </c>
      <c r="AU144" s="148">
        <v>5360</v>
      </c>
      <c r="BG144" s="148">
        <v>1.953125E-3</v>
      </c>
      <c r="BH144" s="148">
        <v>0.5791015625</v>
      </c>
      <c r="BI144" s="148">
        <v>26.668988825599996</v>
      </c>
      <c r="BU144" s="148">
        <v>3.90625E-3</v>
      </c>
      <c r="BV144" s="148">
        <v>0.609375</v>
      </c>
      <c r="BW144" s="148">
        <v>11081</v>
      </c>
      <c r="CI144" s="148">
        <v>1.953125E-3</v>
      </c>
      <c r="CJ144" s="148">
        <v>0.572265625</v>
      </c>
      <c r="CK144" s="148">
        <v>30.686685866666657</v>
      </c>
    </row>
    <row r="145" spans="31:89" x14ac:dyDescent="0.2">
      <c r="AE145" s="148">
        <v>9.765625E-4</v>
      </c>
      <c r="AF145" s="148">
        <v>0.5732421875</v>
      </c>
      <c r="AG145" s="148">
        <v>12.781512294400002</v>
      </c>
      <c r="AS145" s="148">
        <v>3.90625E-3</v>
      </c>
      <c r="AT145" s="148">
        <v>0.61328125</v>
      </c>
      <c r="AU145" s="148">
        <v>5360</v>
      </c>
      <c r="BG145" s="148">
        <v>3.90625E-3</v>
      </c>
      <c r="BH145" s="148">
        <v>0.5830078125</v>
      </c>
      <c r="BI145" s="148">
        <v>26.6689888256</v>
      </c>
      <c r="BU145" s="148">
        <v>3.90625E-3</v>
      </c>
      <c r="BV145" s="148">
        <v>0.61328125</v>
      </c>
      <c r="BW145" s="148">
        <v>11081</v>
      </c>
      <c r="CI145" s="148">
        <v>9.765625E-4</v>
      </c>
      <c r="CJ145" s="148">
        <v>0.5732421875</v>
      </c>
      <c r="CK145" s="148">
        <v>31.204863999999997</v>
      </c>
    </row>
    <row r="146" spans="31:89" x14ac:dyDescent="0.2">
      <c r="AE146" s="148">
        <v>1.953125E-3</v>
      </c>
      <c r="AF146" s="148">
        <v>0.5751953125</v>
      </c>
      <c r="AG146" s="148">
        <v>12.781512294400006</v>
      </c>
      <c r="AS146" s="148">
        <v>1.953125E-3</v>
      </c>
      <c r="AT146" s="148">
        <v>0.615234375</v>
      </c>
      <c r="AU146" s="148">
        <v>5360</v>
      </c>
      <c r="BG146" s="148">
        <v>7.8125E-3</v>
      </c>
      <c r="BH146" s="148">
        <v>0.5908203125</v>
      </c>
      <c r="BI146" s="148">
        <v>27.717769953280008</v>
      </c>
      <c r="BU146" s="148">
        <v>1.953125E-3</v>
      </c>
      <c r="BV146" s="148">
        <v>0.615234375</v>
      </c>
      <c r="BW146" s="148">
        <v>11081</v>
      </c>
      <c r="CI146" s="148">
        <v>1.953125E-3</v>
      </c>
      <c r="CJ146" s="148">
        <v>0.5751953125</v>
      </c>
      <c r="CK146" s="148">
        <v>31.204864000000004</v>
      </c>
    </row>
    <row r="147" spans="31:89" x14ac:dyDescent="0.2">
      <c r="AE147" s="148">
        <v>9.765625E-4</v>
      </c>
      <c r="AF147" s="148">
        <v>0.576171875</v>
      </c>
      <c r="AG147" s="148">
        <v>13.123071246336</v>
      </c>
      <c r="AS147" s="148">
        <v>3.90625E-3</v>
      </c>
      <c r="AT147" s="148">
        <v>0.619140625</v>
      </c>
      <c r="AU147" s="148">
        <v>5360</v>
      </c>
      <c r="BG147" s="148">
        <v>7.8125E-3</v>
      </c>
      <c r="BH147" s="148">
        <v>0.5986328125</v>
      </c>
      <c r="BI147" s="148">
        <v>27.771656055466675</v>
      </c>
      <c r="BU147" s="148">
        <v>3.90625E-3</v>
      </c>
      <c r="BV147" s="148">
        <v>0.619140625</v>
      </c>
      <c r="BW147" s="148">
        <v>11081</v>
      </c>
      <c r="CI147" s="148">
        <v>9.765625E-4</v>
      </c>
      <c r="CJ147" s="148">
        <v>0.576171875</v>
      </c>
      <c r="CK147" s="148">
        <v>32.03874815999999</v>
      </c>
    </row>
    <row r="148" spans="31:89" x14ac:dyDescent="0.2">
      <c r="AE148" s="148">
        <v>3.90625E-3</v>
      </c>
      <c r="AF148" s="148">
        <v>0.580078125</v>
      </c>
      <c r="AG148" s="148">
        <v>13.143018307584001</v>
      </c>
      <c r="AS148" s="148">
        <v>7.8125E-3</v>
      </c>
      <c r="AT148" s="148">
        <v>0.626953125</v>
      </c>
      <c r="AU148" s="148">
        <v>5360</v>
      </c>
      <c r="BG148" s="148">
        <v>1.953125E-3</v>
      </c>
      <c r="BH148" s="148">
        <v>0.6005859375</v>
      </c>
      <c r="BI148" s="148">
        <v>27.785321076053339</v>
      </c>
      <c r="BU148" s="148">
        <v>7.8125E-3</v>
      </c>
      <c r="BV148" s="148">
        <v>0.626953125</v>
      </c>
      <c r="BW148" s="148">
        <v>11081</v>
      </c>
      <c r="CI148" s="148">
        <v>3.90625E-3</v>
      </c>
      <c r="CJ148" s="148">
        <v>0.580078125</v>
      </c>
      <c r="CK148" s="148">
        <v>32.087447039999994</v>
      </c>
    </row>
    <row r="149" spans="31:89" x14ac:dyDescent="0.2">
      <c r="AE149" s="148">
        <v>3.90625E-3</v>
      </c>
      <c r="AF149" s="148">
        <v>0.583984375</v>
      </c>
      <c r="AG149" s="148">
        <v>13.356598121813333</v>
      </c>
      <c r="AS149" s="148">
        <v>7.8125E-3</v>
      </c>
      <c r="AT149" s="148">
        <v>0.634765625</v>
      </c>
      <c r="AU149" s="148">
        <v>5360</v>
      </c>
      <c r="BG149" s="148">
        <v>3.90625E-3</v>
      </c>
      <c r="BH149" s="148">
        <v>0.6044921875</v>
      </c>
      <c r="BI149" s="148">
        <v>28.159094666971434</v>
      </c>
      <c r="BU149" s="148">
        <v>7.8125E-3</v>
      </c>
      <c r="BV149" s="148">
        <v>0.634765625</v>
      </c>
      <c r="BW149" s="148">
        <v>11081</v>
      </c>
      <c r="CI149" s="148">
        <v>3.90625E-3</v>
      </c>
      <c r="CJ149" s="148">
        <v>0.583984375</v>
      </c>
      <c r="CK149" s="148">
        <v>32.608882133333324</v>
      </c>
    </row>
    <row r="150" spans="31:89" x14ac:dyDescent="0.2">
      <c r="AE150" s="148">
        <v>7.8125E-3</v>
      </c>
      <c r="AF150" s="148">
        <v>0.591796875</v>
      </c>
      <c r="AG150" s="148">
        <v>13.52545599488</v>
      </c>
      <c r="AS150" s="148">
        <v>7.8125E-3</v>
      </c>
      <c r="AT150" s="148">
        <v>0.642578125</v>
      </c>
      <c r="AU150" s="148">
        <v>5360</v>
      </c>
      <c r="BG150" s="148">
        <v>7.8125E-3</v>
      </c>
      <c r="BH150" s="148">
        <v>0.6123046875</v>
      </c>
      <c r="BI150" s="148">
        <v>28.2137673728</v>
      </c>
      <c r="BU150" s="148">
        <v>7.8125E-3</v>
      </c>
      <c r="BV150" s="148">
        <v>0.642578125</v>
      </c>
      <c r="BW150" s="148">
        <v>11081</v>
      </c>
      <c r="CI150" s="148">
        <v>7.8125E-3</v>
      </c>
      <c r="CJ150" s="148">
        <v>0.591796875</v>
      </c>
      <c r="CK150" s="148">
        <v>33.02113279999999</v>
      </c>
    </row>
    <row r="151" spans="31:89" x14ac:dyDescent="0.2">
      <c r="AE151" s="148">
        <v>7.8125E-3</v>
      </c>
      <c r="AF151" s="148">
        <v>0.599609375</v>
      </c>
      <c r="AG151" s="148">
        <v>13.663464325120003</v>
      </c>
      <c r="AS151" s="148">
        <v>1.5625E-2</v>
      </c>
      <c r="AT151" s="148">
        <v>0.658203125</v>
      </c>
      <c r="AU151" s="148">
        <v>5360</v>
      </c>
      <c r="BG151" s="148">
        <v>1.5625E-2</v>
      </c>
      <c r="BH151" s="148">
        <v>0.6279296875</v>
      </c>
      <c r="BI151" s="148">
        <v>28.213767372800003</v>
      </c>
      <c r="BU151" s="148">
        <v>1.5625E-2</v>
      </c>
      <c r="BV151" s="148">
        <v>0.658203125</v>
      </c>
      <c r="BW151" s="148">
        <v>11081</v>
      </c>
      <c r="CI151" s="148">
        <v>7.8125E-3</v>
      </c>
      <c r="CJ151" s="148">
        <v>0.599609375</v>
      </c>
      <c r="CK151" s="148">
        <v>33.358067200000001</v>
      </c>
    </row>
    <row r="152" spans="31:89" x14ac:dyDescent="0.2">
      <c r="AE152" s="148">
        <v>3.90625E-3</v>
      </c>
      <c r="AF152" s="148">
        <v>0.603515625</v>
      </c>
      <c r="AG152" s="148">
        <v>13.986685630171429</v>
      </c>
      <c r="AS152" s="148">
        <v>7.8125E-3</v>
      </c>
      <c r="AT152" s="148">
        <v>0.666015625</v>
      </c>
      <c r="AU152" s="148">
        <v>5360</v>
      </c>
      <c r="BG152" s="148">
        <v>3.90625E-3</v>
      </c>
      <c r="BH152" s="148">
        <v>0.6318359375</v>
      </c>
      <c r="BI152" s="148">
        <v>28.290309160960003</v>
      </c>
      <c r="BU152" s="148">
        <v>7.8125E-3</v>
      </c>
      <c r="BV152" s="148">
        <v>0.666015625</v>
      </c>
      <c r="BW152" s="148">
        <v>11081</v>
      </c>
      <c r="CI152" s="148">
        <v>3.90625E-3</v>
      </c>
      <c r="CJ152" s="148">
        <v>0.603515625</v>
      </c>
      <c r="CK152" s="148">
        <v>34.147181714285708</v>
      </c>
    </row>
    <row r="153" spans="31:89" x14ac:dyDescent="0.2">
      <c r="AE153" s="148">
        <v>3.90625E-3</v>
      </c>
      <c r="AF153" s="148">
        <v>0.607421875</v>
      </c>
      <c r="AG153" s="148">
        <v>14.037256952685713</v>
      </c>
      <c r="AS153" s="148">
        <v>1.5625E-2</v>
      </c>
      <c r="AT153" s="148">
        <v>0.681640625</v>
      </c>
      <c r="AU153" s="148">
        <v>5360</v>
      </c>
      <c r="BG153" s="148">
        <v>3.90625E-3</v>
      </c>
      <c r="BH153" s="148">
        <v>0.6357421875</v>
      </c>
      <c r="BI153" s="148">
        <v>29.312219818666662</v>
      </c>
      <c r="BU153" s="148">
        <v>1.5625E-2</v>
      </c>
      <c r="BV153" s="148">
        <v>0.681640625</v>
      </c>
      <c r="BW153" s="148">
        <v>11081</v>
      </c>
      <c r="CI153" s="148">
        <v>3.90625E-3</v>
      </c>
      <c r="CJ153" s="148">
        <v>0.607421875</v>
      </c>
      <c r="CK153" s="148">
        <v>34.270646857142843</v>
      </c>
    </row>
    <row r="154" spans="31:89" x14ac:dyDescent="0.2">
      <c r="AE154" s="148">
        <v>7.8125E-3</v>
      </c>
      <c r="AF154" s="148">
        <v>0.615234375</v>
      </c>
      <c r="AG154" s="148">
        <v>14.15946174464</v>
      </c>
      <c r="AS154" s="148">
        <v>1.5625E-2</v>
      </c>
      <c r="AT154" s="148">
        <v>0.697265625</v>
      </c>
      <c r="AU154" s="148">
        <v>5360</v>
      </c>
      <c r="BG154" s="148">
        <v>1.953125E-3</v>
      </c>
      <c r="BH154" s="148">
        <v>0.6376953125</v>
      </c>
      <c r="BI154" s="148">
        <v>29.724571168182859</v>
      </c>
      <c r="BU154" s="148">
        <v>1.5625E-2</v>
      </c>
      <c r="BV154" s="148">
        <v>0.697265625</v>
      </c>
      <c r="BW154" s="148">
        <v>11081</v>
      </c>
      <c r="CI154" s="148">
        <v>1.5625E-2</v>
      </c>
      <c r="CJ154" s="148">
        <v>0.623046875</v>
      </c>
      <c r="CK154" s="148">
        <v>34.568998399999991</v>
      </c>
    </row>
    <row r="155" spans="31:89" x14ac:dyDescent="0.2">
      <c r="AE155" s="148">
        <v>1.5625E-2</v>
      </c>
      <c r="AF155" s="148">
        <v>0.630859375</v>
      </c>
      <c r="AG155" s="148">
        <v>14.159461744640002</v>
      </c>
      <c r="AS155" s="148">
        <v>3.90625E-3</v>
      </c>
      <c r="AT155" s="148">
        <v>0.701171875</v>
      </c>
      <c r="AU155" s="148">
        <v>5360</v>
      </c>
      <c r="BG155" s="148">
        <v>1.953125E-3</v>
      </c>
      <c r="BH155" s="148">
        <v>0.6396484375</v>
      </c>
      <c r="BI155" s="148">
        <v>30.880592035840007</v>
      </c>
      <c r="BU155" s="148">
        <v>3.90625E-3</v>
      </c>
      <c r="BV155" s="148">
        <v>0.701171875</v>
      </c>
      <c r="BW155" s="148">
        <v>11081</v>
      </c>
      <c r="CI155" s="148">
        <v>7.8125E-3</v>
      </c>
      <c r="CJ155" s="148">
        <v>0.630859375</v>
      </c>
      <c r="CK155" s="148">
        <v>34.568998399999991</v>
      </c>
    </row>
    <row r="156" spans="31:89" x14ac:dyDescent="0.2">
      <c r="AE156" s="148">
        <v>3.90625E-3</v>
      </c>
      <c r="AF156" s="148">
        <v>0.634765625</v>
      </c>
      <c r="AG156" s="148">
        <v>14.401348304896</v>
      </c>
      <c r="AS156" s="148">
        <v>7.8125E-3</v>
      </c>
      <c r="AT156" s="148">
        <v>0.708984375</v>
      </c>
      <c r="AU156" s="148">
        <v>5360</v>
      </c>
      <c r="BG156" s="148">
        <v>3.90625E-3</v>
      </c>
      <c r="BH156" s="148">
        <v>0.6435546875</v>
      </c>
      <c r="BI156" s="148">
        <v>31.113820296533333</v>
      </c>
      <c r="BU156" s="148">
        <v>7.8125E-3</v>
      </c>
      <c r="BV156" s="148">
        <v>0.708984375</v>
      </c>
      <c r="BW156" s="148">
        <v>11081</v>
      </c>
      <c r="CI156" s="148">
        <v>3.90625E-3</v>
      </c>
      <c r="CJ156" s="148">
        <v>0.634765625</v>
      </c>
      <c r="CK156" s="148">
        <v>35.159541759999989</v>
      </c>
    </row>
    <row r="157" spans="31:89" x14ac:dyDescent="0.2">
      <c r="AE157" s="148">
        <v>1.953125E-3</v>
      </c>
      <c r="AF157" s="148">
        <v>0.63671875</v>
      </c>
      <c r="AG157" s="148">
        <v>14.473033154560001</v>
      </c>
      <c r="AS157" s="148">
        <v>3.90625E-3</v>
      </c>
      <c r="AT157" s="148">
        <v>0.712890625</v>
      </c>
      <c r="AU157" s="148">
        <v>5360</v>
      </c>
      <c r="BG157" s="148">
        <v>1.953125E-3</v>
      </c>
      <c r="BH157" s="148">
        <v>0.6455078125</v>
      </c>
      <c r="BI157" s="148">
        <v>31.376589455359998</v>
      </c>
      <c r="BU157" s="148">
        <v>3.90625E-3</v>
      </c>
      <c r="BV157" s="148">
        <v>0.712890625</v>
      </c>
      <c r="BW157" s="148">
        <v>11081</v>
      </c>
      <c r="CI157" s="148">
        <v>1.953125E-3</v>
      </c>
      <c r="CJ157" s="148">
        <v>0.63671875</v>
      </c>
      <c r="CK157" s="148">
        <v>35.334553599999992</v>
      </c>
    </row>
    <row r="158" spans="31:89" x14ac:dyDescent="0.2">
      <c r="AE158" s="148">
        <v>3.90625E-3</v>
      </c>
      <c r="AF158" s="148">
        <v>0.640625</v>
      </c>
      <c r="AG158" s="148">
        <v>14.473033154560001</v>
      </c>
      <c r="AS158" s="148">
        <v>1.953125E-3</v>
      </c>
      <c r="AT158" s="148">
        <v>0.71484375</v>
      </c>
      <c r="AU158" s="148">
        <v>5360</v>
      </c>
      <c r="BG158" s="148">
        <v>3.90625E-3</v>
      </c>
      <c r="BH158" s="148">
        <v>0.6494140625</v>
      </c>
      <c r="BI158" s="148">
        <v>31.376589455360001</v>
      </c>
      <c r="BU158" s="148">
        <v>1.953125E-3</v>
      </c>
      <c r="BV158" s="148">
        <v>0.71484375</v>
      </c>
      <c r="BW158" s="148">
        <v>11081</v>
      </c>
      <c r="CI158" s="148">
        <v>3.90625E-3</v>
      </c>
      <c r="CJ158" s="148">
        <v>0.640625</v>
      </c>
      <c r="CK158" s="148">
        <v>35.334553599999992</v>
      </c>
    </row>
    <row r="159" spans="31:89" x14ac:dyDescent="0.2">
      <c r="AE159" s="148">
        <v>1.953125E-3</v>
      </c>
      <c r="AF159" s="148">
        <v>0.642578125</v>
      </c>
      <c r="AG159" s="148">
        <v>14.911764343466672</v>
      </c>
      <c r="AS159" s="148">
        <v>7.8125E-3</v>
      </c>
      <c r="AT159" s="148">
        <v>0.72265625</v>
      </c>
      <c r="AU159" s="148">
        <v>5360</v>
      </c>
      <c r="BG159" s="148">
        <v>9.765625E-4</v>
      </c>
      <c r="BH159" s="148">
        <v>0.650390625</v>
      </c>
      <c r="BI159" s="148">
        <v>31.407589687296014</v>
      </c>
      <c r="BU159" s="148">
        <v>7.8125E-3</v>
      </c>
      <c r="BV159" s="148">
        <v>0.72265625</v>
      </c>
      <c r="BW159" s="148">
        <v>11081</v>
      </c>
      <c r="CI159" s="148">
        <v>1.953125E-3</v>
      </c>
      <c r="CJ159" s="148">
        <v>0.642578125</v>
      </c>
      <c r="CK159" s="148">
        <v>36.40567466666667</v>
      </c>
    </row>
    <row r="160" spans="31:89" x14ac:dyDescent="0.2">
      <c r="AE160" s="148">
        <v>9.765625E-4</v>
      </c>
      <c r="AF160" s="148">
        <v>0.6435546875</v>
      </c>
      <c r="AG160" s="148">
        <v>15.083119837184002</v>
      </c>
      <c r="AS160" s="148">
        <v>1.953125E-3</v>
      </c>
      <c r="AT160" s="148">
        <v>0.724609375</v>
      </c>
      <c r="AU160" s="148">
        <v>5360</v>
      </c>
      <c r="BG160" s="148">
        <v>7.8125E-3</v>
      </c>
      <c r="BH160" s="148">
        <v>0.658203125</v>
      </c>
      <c r="BI160" s="148">
        <v>31.454883722971431</v>
      </c>
      <c r="BU160" s="148">
        <v>1.953125E-3</v>
      </c>
      <c r="BV160" s="148">
        <v>0.724609375</v>
      </c>
      <c r="BW160" s="148">
        <v>11081</v>
      </c>
      <c r="CI160" s="148">
        <v>9.765625E-4</v>
      </c>
      <c r="CJ160" s="148">
        <v>0.6435546875</v>
      </c>
      <c r="CK160" s="148">
        <v>36.824023039999993</v>
      </c>
    </row>
    <row r="161" spans="31:89" x14ac:dyDescent="0.2">
      <c r="AE161" s="148">
        <v>1.953125E-3</v>
      </c>
      <c r="AF161" s="148">
        <v>0.6455078125</v>
      </c>
      <c r="AG161" s="148">
        <v>15.622703864685715</v>
      </c>
      <c r="AS161" s="148">
        <v>3.90625E-3</v>
      </c>
      <c r="AT161" s="148">
        <v>0.728515625</v>
      </c>
      <c r="AU161" s="148">
        <v>5360</v>
      </c>
      <c r="BG161" s="148">
        <v>1.953125E-3</v>
      </c>
      <c r="BH161" s="148">
        <v>0.66015625</v>
      </c>
      <c r="BI161" s="148">
        <v>31.520182435840002</v>
      </c>
      <c r="BU161" s="148">
        <v>3.90625E-3</v>
      </c>
      <c r="BV161" s="148">
        <v>0.728515625</v>
      </c>
      <c r="BW161" s="148">
        <v>11081</v>
      </c>
      <c r="CI161" s="148">
        <v>1.953125E-3</v>
      </c>
      <c r="CJ161" s="148">
        <v>0.6455078125</v>
      </c>
      <c r="CK161" s="148">
        <v>38.141366857142849</v>
      </c>
    </row>
    <row r="162" spans="31:89" x14ac:dyDescent="0.2">
      <c r="AE162" s="148">
        <v>7.8125E-3</v>
      </c>
      <c r="AF162" s="148">
        <v>0.6533203125</v>
      </c>
      <c r="AG162" s="148">
        <v>15.646450366171427</v>
      </c>
      <c r="AS162" s="148">
        <v>7.8125E-3</v>
      </c>
      <c r="AT162" s="148">
        <v>0.736328125</v>
      </c>
      <c r="AU162" s="148">
        <v>5360</v>
      </c>
      <c r="BG162" s="148">
        <v>7.8125E-3</v>
      </c>
      <c r="BH162" s="148">
        <v>0.66796875</v>
      </c>
      <c r="BI162" s="148">
        <v>31.590410532571429</v>
      </c>
      <c r="BU162" s="148">
        <v>7.8125E-3</v>
      </c>
      <c r="BV162" s="148">
        <v>0.736328125</v>
      </c>
      <c r="BW162" s="148">
        <v>11081</v>
      </c>
      <c r="CI162" s="148">
        <v>7.8125E-3</v>
      </c>
      <c r="CJ162" s="148">
        <v>0.6533203125</v>
      </c>
      <c r="CK162" s="148">
        <v>38.199341714285701</v>
      </c>
    </row>
    <row r="163" spans="31:89" x14ac:dyDescent="0.2">
      <c r="AE163" s="148">
        <v>1.953125E-3</v>
      </c>
      <c r="AF163" s="148">
        <v>0.6552734375</v>
      </c>
      <c r="AG163" s="148">
        <v>16.027917746176001</v>
      </c>
      <c r="AS163" s="148">
        <v>3.90625E-3</v>
      </c>
      <c r="AT163" s="148">
        <v>0.740234375</v>
      </c>
      <c r="AU163" s="148">
        <v>5360</v>
      </c>
      <c r="BG163" s="148">
        <v>1.953125E-3</v>
      </c>
      <c r="BH163" s="148">
        <v>0.669921875</v>
      </c>
      <c r="BI163" s="148">
        <v>31.652998709248003</v>
      </c>
      <c r="BU163" s="148">
        <v>3.90625E-3</v>
      </c>
      <c r="BV163" s="148">
        <v>0.740234375</v>
      </c>
      <c r="BW163" s="148">
        <v>11081</v>
      </c>
      <c r="CI163" s="148">
        <v>1.953125E-3</v>
      </c>
      <c r="CJ163" s="148">
        <v>0.6552734375</v>
      </c>
      <c r="CK163" s="148">
        <v>39.130658559999993</v>
      </c>
    </row>
    <row r="164" spans="31:89" x14ac:dyDescent="0.2">
      <c r="AE164" s="148">
        <v>9.765625E-4</v>
      </c>
      <c r="AF164" s="148">
        <v>0.65625</v>
      </c>
      <c r="AG164" s="148">
        <v>16.032499349211431</v>
      </c>
      <c r="AS164" s="148">
        <v>3.90625E-3</v>
      </c>
      <c r="AT164" s="148">
        <v>0.744140625</v>
      </c>
      <c r="AU164" s="148">
        <v>5360</v>
      </c>
      <c r="BG164" s="148">
        <v>7.8125E-3</v>
      </c>
      <c r="BH164" s="148">
        <v>0.677734375</v>
      </c>
      <c r="BI164" s="148">
        <v>32.852277111466677</v>
      </c>
      <c r="BU164" s="148">
        <v>3.90625E-3</v>
      </c>
      <c r="BV164" s="148">
        <v>0.744140625</v>
      </c>
      <c r="BW164" s="148">
        <v>11081</v>
      </c>
      <c r="CI164" s="148">
        <v>9.765625E-4</v>
      </c>
      <c r="CJ164" s="148">
        <v>0.65625</v>
      </c>
      <c r="CK164" s="148">
        <v>39.141844114285711</v>
      </c>
    </row>
    <row r="165" spans="31:89" x14ac:dyDescent="0.2">
      <c r="AE165" s="148">
        <v>3.90625E-3</v>
      </c>
      <c r="AF165" s="148">
        <v>0.66015625</v>
      </c>
      <c r="AG165" s="148">
        <v>16.230547193856005</v>
      </c>
      <c r="AS165" s="148">
        <v>3.90625E-3</v>
      </c>
      <c r="AT165" s="148">
        <v>0.748046875</v>
      </c>
      <c r="AU165" s="148">
        <v>5360</v>
      </c>
      <c r="BG165" s="148">
        <v>1.5625E-2</v>
      </c>
      <c r="BH165" s="148">
        <v>0.693359375</v>
      </c>
      <c r="BI165" s="148">
        <v>32.916061934933332</v>
      </c>
      <c r="BU165" s="148">
        <v>3.90625E-3</v>
      </c>
      <c r="BV165" s="148">
        <v>0.748046875</v>
      </c>
      <c r="BW165" s="148">
        <v>11081</v>
      </c>
      <c r="CI165" s="148">
        <v>3.90625E-3</v>
      </c>
      <c r="CJ165" s="148">
        <v>0.66015625</v>
      </c>
      <c r="CK165" s="148">
        <v>39.625359359999997</v>
      </c>
    </row>
    <row r="166" spans="31:89" x14ac:dyDescent="0.2">
      <c r="AE166" s="148">
        <v>7.8125E-3</v>
      </c>
      <c r="AF166" s="148">
        <v>0.66796875</v>
      </c>
      <c r="AG166" s="148">
        <v>16.317799901866668</v>
      </c>
      <c r="AS166" s="148">
        <v>1.953125E-3</v>
      </c>
      <c r="AT166" s="148">
        <v>0.75</v>
      </c>
      <c r="AU166" s="148">
        <v>5360</v>
      </c>
      <c r="BG166" s="148">
        <v>3.90625E-3</v>
      </c>
      <c r="BH166" s="148">
        <v>0.697265625</v>
      </c>
      <c r="BI166" s="148">
        <v>33.26132394393602</v>
      </c>
      <c r="BU166" s="148">
        <v>1.953125E-3</v>
      </c>
      <c r="BV166" s="148">
        <v>0.75</v>
      </c>
      <c r="BW166" s="148">
        <v>11081</v>
      </c>
      <c r="CI166" s="148">
        <v>7.8125E-3</v>
      </c>
      <c r="CJ166" s="148">
        <v>0.66796875</v>
      </c>
      <c r="CK166" s="148">
        <v>39.838378666666657</v>
      </c>
    </row>
    <row r="167" spans="31:89" x14ac:dyDescent="0.2">
      <c r="AE167" s="148">
        <v>7.8125E-3</v>
      </c>
      <c r="AF167" s="148">
        <v>0.67578125</v>
      </c>
      <c r="AG167" s="148">
        <v>16.376799778133332</v>
      </c>
      <c r="AS167" s="148">
        <v>9.765625E-4</v>
      </c>
      <c r="AT167" s="148">
        <v>0.7509765625</v>
      </c>
      <c r="AU167" s="148">
        <v>10240</v>
      </c>
      <c r="BG167" s="148">
        <v>3.90625E-3</v>
      </c>
      <c r="BH167" s="148">
        <v>0.701171875</v>
      </c>
      <c r="BI167" s="148">
        <v>33.325987266560013</v>
      </c>
      <c r="BU167" s="148">
        <v>9.765625E-4</v>
      </c>
      <c r="BV167" s="148">
        <v>0.7509765625</v>
      </c>
      <c r="BW167" s="148">
        <v>17522</v>
      </c>
      <c r="CI167" s="148">
        <v>7.8125E-3</v>
      </c>
      <c r="CJ167" s="148">
        <v>0.67578125</v>
      </c>
      <c r="CK167" s="148">
        <v>39.98242133333332</v>
      </c>
    </row>
    <row r="168" spans="31:89" x14ac:dyDescent="0.2">
      <c r="AE168" s="148">
        <v>3.90625E-3</v>
      </c>
      <c r="AF168" s="148">
        <v>0.6796875</v>
      </c>
      <c r="AG168" s="148">
        <v>16.39615719014401</v>
      </c>
      <c r="AS168" s="148">
        <v>1.953125E-3</v>
      </c>
      <c r="AT168" s="148">
        <v>0.7529296875</v>
      </c>
      <c r="AU168" s="148">
        <v>10240</v>
      </c>
      <c r="BG168" s="148">
        <v>1.953125E-3</v>
      </c>
      <c r="BH168" s="148">
        <v>0.703125</v>
      </c>
      <c r="BI168" s="148">
        <v>33.325987266560013</v>
      </c>
      <c r="BU168" s="148">
        <v>1.953125E-3</v>
      </c>
      <c r="BV168" s="148">
        <v>0.7529296875</v>
      </c>
      <c r="BW168" s="148">
        <v>17522</v>
      </c>
      <c r="CI168" s="148">
        <v>3.90625E-3</v>
      </c>
      <c r="CJ168" s="148">
        <v>0.6796875</v>
      </c>
      <c r="CK168" s="148">
        <v>40.029680640000009</v>
      </c>
    </row>
    <row r="169" spans="31:89" x14ac:dyDescent="0.2">
      <c r="AE169" s="148">
        <v>1.5625E-2</v>
      </c>
      <c r="AF169" s="148">
        <v>0.6953125</v>
      </c>
      <c r="AG169" s="148">
        <v>16.519372035413333</v>
      </c>
      <c r="AS169" s="148">
        <v>1.953125E-3</v>
      </c>
      <c r="AT169" s="148">
        <v>0.7548828125</v>
      </c>
      <c r="AU169" s="148">
        <v>10240</v>
      </c>
      <c r="BG169" s="148">
        <v>9.765625E-4</v>
      </c>
      <c r="BH169" s="148">
        <v>0.7041015625</v>
      </c>
      <c r="BI169" s="148">
        <v>33.342385291264016</v>
      </c>
      <c r="BU169" s="148">
        <v>1.953125E-3</v>
      </c>
      <c r="BV169" s="148">
        <v>0.7548828125</v>
      </c>
      <c r="BW169" s="148">
        <v>17522</v>
      </c>
      <c r="CI169" s="148">
        <v>1.5625E-2</v>
      </c>
      <c r="CJ169" s="148">
        <v>0.6953125</v>
      </c>
      <c r="CK169" s="148">
        <v>40.330498133333322</v>
      </c>
    </row>
    <row r="170" spans="31:89" x14ac:dyDescent="0.2">
      <c r="AE170" s="148">
        <v>3.90625E-3</v>
      </c>
      <c r="AF170" s="148">
        <v>0.69921875</v>
      </c>
      <c r="AG170" s="148">
        <v>16.88520534698667</v>
      </c>
      <c r="AS170" s="148">
        <v>1.953125E-3</v>
      </c>
      <c r="AT170" s="148">
        <v>0.7568359375</v>
      </c>
      <c r="AU170" s="148">
        <v>10240</v>
      </c>
      <c r="BG170" s="148">
        <v>3.90625E-3</v>
      </c>
      <c r="BH170" s="148">
        <v>0.7080078125</v>
      </c>
      <c r="BI170" s="148">
        <v>34.678666362880001</v>
      </c>
      <c r="BU170" s="148">
        <v>1.953125E-3</v>
      </c>
      <c r="BV170" s="148">
        <v>0.7568359375</v>
      </c>
      <c r="BW170" s="148">
        <v>17522</v>
      </c>
      <c r="CI170" s="148">
        <v>3.90625E-3</v>
      </c>
      <c r="CJ170" s="148">
        <v>0.69921875</v>
      </c>
      <c r="CK170" s="148">
        <v>41.223645866666658</v>
      </c>
    </row>
    <row r="171" spans="31:89" x14ac:dyDescent="0.2">
      <c r="AE171" s="148">
        <v>9.765625E-4</v>
      </c>
      <c r="AF171" s="148">
        <v>0.7001953125</v>
      </c>
      <c r="AG171" s="148">
        <v>17.894117212160008</v>
      </c>
      <c r="AS171" s="148">
        <v>3.90625E-3</v>
      </c>
      <c r="AT171" s="148">
        <v>0.7607421875</v>
      </c>
      <c r="AU171" s="148">
        <v>10240</v>
      </c>
      <c r="BG171" s="148">
        <v>9.765625E-4</v>
      </c>
      <c r="BH171" s="148">
        <v>0.708984375</v>
      </c>
      <c r="BI171" s="148">
        <v>35.174663782399996</v>
      </c>
      <c r="BU171" s="148">
        <v>3.90625E-3</v>
      </c>
      <c r="BV171" s="148">
        <v>0.7607421875</v>
      </c>
      <c r="BW171" s="148">
        <v>17522</v>
      </c>
      <c r="CI171" s="148">
        <v>9.765625E-4</v>
      </c>
      <c r="CJ171" s="148">
        <v>0.7001953125</v>
      </c>
      <c r="CK171" s="148">
        <v>43.686809600000004</v>
      </c>
    </row>
    <row r="172" spans="31:89" x14ac:dyDescent="0.2">
      <c r="AE172" s="148">
        <v>1.953125E-3</v>
      </c>
      <c r="AF172" s="148">
        <v>0.7021484375</v>
      </c>
      <c r="AG172" s="148">
        <v>17.935035643611428</v>
      </c>
      <c r="AS172" s="148">
        <v>1.953125E-3</v>
      </c>
      <c r="AT172" s="148">
        <v>0.7626953125</v>
      </c>
      <c r="AU172" s="148">
        <v>10240</v>
      </c>
      <c r="BG172" s="148">
        <v>1.953125E-3</v>
      </c>
      <c r="BH172" s="148">
        <v>0.7109375</v>
      </c>
      <c r="BI172" s="148">
        <v>35.174663782400003</v>
      </c>
      <c r="BU172" s="148">
        <v>1.953125E-3</v>
      </c>
      <c r="BV172" s="148">
        <v>0.7626953125</v>
      </c>
      <c r="BW172" s="148">
        <v>17522</v>
      </c>
      <c r="CI172" s="148">
        <v>1.953125E-3</v>
      </c>
      <c r="CJ172" s="148">
        <v>0.7021484375</v>
      </c>
      <c r="CK172" s="148">
        <v>43.786708114285702</v>
      </c>
    </row>
    <row r="173" spans="31:89" x14ac:dyDescent="0.2">
      <c r="AE173" s="148">
        <v>3.90625E-3</v>
      </c>
      <c r="AF173" s="148">
        <v>0.7060546875</v>
      </c>
      <c r="AG173" s="148">
        <v>18.226487842133331</v>
      </c>
      <c r="AS173" s="148">
        <v>9.765625E-4</v>
      </c>
      <c r="AT173" s="148">
        <v>0.763671875</v>
      </c>
      <c r="AU173" s="148">
        <v>10240</v>
      </c>
      <c r="BG173" s="148">
        <v>3.90625E-3</v>
      </c>
      <c r="BH173" s="148">
        <v>0.71484375</v>
      </c>
      <c r="BI173" s="148">
        <v>36.606021031253334</v>
      </c>
      <c r="BU173" s="148">
        <v>9.765625E-4</v>
      </c>
      <c r="BV173" s="148">
        <v>0.763671875</v>
      </c>
      <c r="BW173" s="148">
        <v>17522</v>
      </c>
      <c r="CI173" s="148">
        <v>3.90625E-3</v>
      </c>
      <c r="CJ173" s="148">
        <v>0.7060546875</v>
      </c>
      <c r="CK173" s="148">
        <v>44.498261333333311</v>
      </c>
    </row>
    <row r="174" spans="31:89" x14ac:dyDescent="0.2">
      <c r="AE174" s="148">
        <v>1.5625E-2</v>
      </c>
      <c r="AF174" s="148">
        <v>0.7216796875</v>
      </c>
      <c r="AG174" s="148">
        <v>18.254192093866667</v>
      </c>
      <c r="AS174" s="148">
        <v>3.90625E-3</v>
      </c>
      <c r="AT174" s="148">
        <v>0.767578125</v>
      </c>
      <c r="AU174" s="148">
        <v>10240</v>
      </c>
      <c r="BG174" s="148">
        <v>1.5625E-2</v>
      </c>
      <c r="BH174" s="148">
        <v>0.73046875</v>
      </c>
      <c r="BI174" s="148">
        <v>36.69736434346666</v>
      </c>
      <c r="BU174" s="148">
        <v>3.90625E-3</v>
      </c>
      <c r="BV174" s="148">
        <v>0.767578125</v>
      </c>
      <c r="BW174" s="148">
        <v>17522</v>
      </c>
      <c r="CI174" s="148">
        <v>1.5625E-2</v>
      </c>
      <c r="CJ174" s="148">
        <v>0.7216796875</v>
      </c>
      <c r="CK174" s="148">
        <v>44.565898666666655</v>
      </c>
    </row>
    <row r="175" spans="31:89" x14ac:dyDescent="0.2">
      <c r="AE175" s="148">
        <v>1.953125E-3</v>
      </c>
      <c r="AF175" s="148">
        <v>0.7236328125</v>
      </c>
      <c r="AG175" s="148">
        <v>18.350599794102862</v>
      </c>
      <c r="AS175" s="148">
        <v>9.765625E-4</v>
      </c>
      <c r="AT175" s="148">
        <v>0.7685546875</v>
      </c>
      <c r="AU175" s="148">
        <v>10240</v>
      </c>
      <c r="BG175" s="148">
        <v>1.5625E-2</v>
      </c>
      <c r="BH175" s="148">
        <v>0.74609375</v>
      </c>
      <c r="BI175" s="148">
        <v>36.855478954666673</v>
      </c>
      <c r="BU175" s="148">
        <v>9.765625E-4</v>
      </c>
      <c r="BV175" s="148">
        <v>0.7685546875</v>
      </c>
      <c r="BW175" s="148">
        <v>17522</v>
      </c>
      <c r="CI175" s="148">
        <v>1.953125E-3</v>
      </c>
      <c r="CJ175" s="148">
        <v>0.7236328125</v>
      </c>
      <c r="CK175" s="148">
        <v>44.801269028571426</v>
      </c>
    </row>
    <row r="176" spans="31:89" x14ac:dyDescent="0.2">
      <c r="AE176" s="148">
        <v>1.953125E-3</v>
      </c>
      <c r="AF176" s="148">
        <v>0.7255859375</v>
      </c>
      <c r="AG176" s="148">
        <v>18.704582574080007</v>
      </c>
      <c r="AS176" s="148">
        <v>1.953125E-3</v>
      </c>
      <c r="AT176" s="148">
        <v>0.7705078125</v>
      </c>
      <c r="AU176" s="148">
        <v>10240</v>
      </c>
      <c r="BG176" s="148">
        <v>9.765625E-4</v>
      </c>
      <c r="BH176" s="148">
        <v>0.7470703125</v>
      </c>
      <c r="BI176" s="148">
        <v>37.056710443008022</v>
      </c>
      <c r="BU176" s="148">
        <v>1.953125E-3</v>
      </c>
      <c r="BV176" s="148">
        <v>0.7705078125</v>
      </c>
      <c r="BW176" s="148">
        <v>17522</v>
      </c>
      <c r="CI176" s="148">
        <v>1.953125E-3</v>
      </c>
      <c r="CJ176" s="148">
        <v>0.7255859375</v>
      </c>
      <c r="CK176" s="148">
        <v>45.665484800000002</v>
      </c>
    </row>
    <row r="177" spans="31:89" x14ac:dyDescent="0.2">
      <c r="AE177" s="148">
        <v>7.8125E-3</v>
      </c>
      <c r="AF177" s="148">
        <v>0.7333984375</v>
      </c>
      <c r="AG177" s="148">
        <v>19.322079992685715</v>
      </c>
      <c r="AS177" s="148">
        <v>3.90625E-3</v>
      </c>
      <c r="AT177" s="148">
        <v>0.7744140625</v>
      </c>
      <c r="AU177" s="148">
        <v>10240</v>
      </c>
      <c r="BG177" s="148">
        <v>1.953125E-3</v>
      </c>
      <c r="BH177" s="148">
        <v>0.7490234375</v>
      </c>
      <c r="BI177" s="148">
        <v>37.320719822262866</v>
      </c>
      <c r="BU177" s="148">
        <v>3.90625E-3</v>
      </c>
      <c r="BV177" s="148">
        <v>0.7744140625</v>
      </c>
      <c r="BW177" s="148">
        <v>17522</v>
      </c>
      <c r="CI177" s="148">
        <v>7.8125E-3</v>
      </c>
      <c r="CJ177" s="148">
        <v>0.7333984375</v>
      </c>
      <c r="CK177" s="148">
        <v>47.173046857142843</v>
      </c>
    </row>
    <row r="178" spans="31:89" x14ac:dyDescent="0.2">
      <c r="AE178" s="148">
        <v>7.8125E-3</v>
      </c>
      <c r="AF178" s="148">
        <v>0.7412109375</v>
      </c>
      <c r="AG178" s="148">
        <v>19.519234750171432</v>
      </c>
      <c r="AS178" s="148">
        <v>1.953125E-3</v>
      </c>
      <c r="AT178" s="148">
        <v>0.7763671875</v>
      </c>
      <c r="AU178" s="148">
        <v>10240</v>
      </c>
      <c r="BG178" s="148">
        <v>1.953125E-3</v>
      </c>
      <c r="BH178" s="148">
        <v>0.7509765625</v>
      </c>
      <c r="BI178" s="148">
        <v>37.33658435584001</v>
      </c>
      <c r="BU178" s="148">
        <v>1.953125E-3</v>
      </c>
      <c r="BV178" s="148">
        <v>0.7763671875</v>
      </c>
      <c r="BW178" s="148">
        <v>17522</v>
      </c>
      <c r="CI178" s="148">
        <v>7.8125E-3</v>
      </c>
      <c r="CJ178" s="148">
        <v>0.7412109375</v>
      </c>
      <c r="CK178" s="148">
        <v>47.654381714285705</v>
      </c>
    </row>
    <row r="179" spans="31:89" x14ac:dyDescent="0.2">
      <c r="AE179" s="148">
        <v>1.953125E-3</v>
      </c>
      <c r="AF179" s="148">
        <v>0.7431640625</v>
      </c>
      <c r="AG179" s="148">
        <v>19.581359882240005</v>
      </c>
      <c r="AS179" s="148">
        <v>7.8125E-3</v>
      </c>
      <c r="AT179" s="148">
        <v>0.7841796875</v>
      </c>
      <c r="AU179" s="148">
        <v>10240</v>
      </c>
      <c r="BG179" s="148">
        <v>1.953125E-3</v>
      </c>
      <c r="BH179" s="148">
        <v>0.7529296875</v>
      </c>
      <c r="BI179" s="148">
        <v>37.389987722971433</v>
      </c>
      <c r="BU179" s="148">
        <v>7.8125E-3</v>
      </c>
      <c r="BV179" s="148">
        <v>0.7841796875</v>
      </c>
      <c r="BW179" s="148">
        <v>17522</v>
      </c>
      <c r="CI179" s="148">
        <v>1.953125E-3</v>
      </c>
      <c r="CJ179" s="148">
        <v>0.7431640625</v>
      </c>
      <c r="CK179" s="148">
        <v>47.806054399999994</v>
      </c>
    </row>
    <row r="180" spans="31:89" x14ac:dyDescent="0.2">
      <c r="AE180" s="148">
        <v>3.90625E-3</v>
      </c>
      <c r="AF180" s="148">
        <v>0.7470703125</v>
      </c>
      <c r="AG180" s="148">
        <v>19.581359882240008</v>
      </c>
      <c r="AS180" s="148">
        <v>7.8125E-3</v>
      </c>
      <c r="AT180" s="148">
        <v>0.7919921875</v>
      </c>
      <c r="AU180" s="148">
        <v>10240</v>
      </c>
      <c r="BG180" s="148">
        <v>1.953125E-3</v>
      </c>
      <c r="BH180" s="148">
        <v>0.7548828125</v>
      </c>
      <c r="BI180" s="148">
        <v>37.483351993782875</v>
      </c>
      <c r="BU180" s="148">
        <v>7.8125E-3</v>
      </c>
      <c r="BV180" s="148">
        <v>0.7919921875</v>
      </c>
      <c r="BW180" s="148">
        <v>17522</v>
      </c>
      <c r="CI180" s="148">
        <v>3.90625E-3</v>
      </c>
      <c r="CJ180" s="148">
        <v>0.7470703125</v>
      </c>
      <c r="CK180" s="148">
        <v>47.806054400000008</v>
      </c>
    </row>
    <row r="181" spans="31:89" x14ac:dyDescent="0.2">
      <c r="AE181" s="148">
        <v>3.90625E-3</v>
      </c>
      <c r="AF181" s="148">
        <v>0.7509765625</v>
      </c>
      <c r="AG181" s="148">
        <v>19.652159733759998</v>
      </c>
      <c r="AS181" s="148">
        <v>3.90625E-3</v>
      </c>
      <c r="AT181" s="148">
        <v>0.7958984375</v>
      </c>
      <c r="AU181" s="148">
        <v>10240</v>
      </c>
      <c r="BG181" s="148">
        <v>3.90625E-3</v>
      </c>
      <c r="BH181" s="148">
        <v>0.7587890625</v>
      </c>
      <c r="BI181" s="148">
        <v>38.88031847765334</v>
      </c>
      <c r="BU181" s="148">
        <v>3.90625E-3</v>
      </c>
      <c r="BV181" s="148">
        <v>0.7958984375</v>
      </c>
      <c r="BW181" s="148">
        <v>17522</v>
      </c>
      <c r="CI181" s="148">
        <v>3.90625E-3</v>
      </c>
      <c r="CJ181" s="148">
        <v>0.7509765625</v>
      </c>
      <c r="CK181" s="148">
        <v>47.978905599999976</v>
      </c>
    </row>
    <row r="182" spans="31:89" x14ac:dyDescent="0.2">
      <c r="AE182" s="148">
        <v>1.953125E-3</v>
      </c>
      <c r="AF182" s="148">
        <v>0.7529296875</v>
      </c>
      <c r="AG182" s="148">
        <v>19.652159733759998</v>
      </c>
      <c r="AS182" s="148">
        <v>7.8125E-3</v>
      </c>
      <c r="AT182" s="148">
        <v>0.8037109375</v>
      </c>
      <c r="AU182" s="148">
        <v>10240</v>
      </c>
      <c r="BG182" s="148">
        <v>1.953125E-3</v>
      </c>
      <c r="BH182" s="148">
        <v>0.7607421875</v>
      </c>
      <c r="BI182" s="148">
        <v>39.422732533760012</v>
      </c>
      <c r="BU182" s="148">
        <v>7.8125E-3</v>
      </c>
      <c r="BV182" s="148">
        <v>0.8037109375</v>
      </c>
      <c r="BW182" s="148">
        <v>17522</v>
      </c>
      <c r="CI182" s="148">
        <v>1.953125E-3</v>
      </c>
      <c r="CJ182" s="148">
        <v>0.7529296875</v>
      </c>
      <c r="CK182" s="148">
        <v>47.978905599999976</v>
      </c>
    </row>
    <row r="183" spans="31:89" x14ac:dyDescent="0.2">
      <c r="AE183" s="148">
        <v>7.8125E-3</v>
      </c>
      <c r="AF183" s="148">
        <v>0.7607421875</v>
      </c>
      <c r="AG183" s="148">
        <v>19.823246442496004</v>
      </c>
      <c r="AS183" s="148">
        <v>3.90625E-3</v>
      </c>
      <c r="AT183" s="148">
        <v>0.8076171875</v>
      </c>
      <c r="AU183" s="148">
        <v>10240</v>
      </c>
      <c r="BG183" s="148">
        <v>3.90625E-3</v>
      </c>
      <c r="BH183" s="148">
        <v>0.7646484375</v>
      </c>
      <c r="BI183" s="148">
        <v>39.422732533760026</v>
      </c>
      <c r="BU183" s="148">
        <v>3.90625E-3</v>
      </c>
      <c r="BV183" s="148">
        <v>0.8076171875</v>
      </c>
      <c r="BW183" s="148">
        <v>17522</v>
      </c>
      <c r="CI183" s="148">
        <v>7.8125E-3</v>
      </c>
      <c r="CJ183" s="148">
        <v>0.7607421875</v>
      </c>
      <c r="CK183" s="148">
        <v>48.396597759999992</v>
      </c>
    </row>
    <row r="184" spans="31:89" x14ac:dyDescent="0.2">
      <c r="AE184" s="148">
        <v>1.953125E-3</v>
      </c>
      <c r="AF184" s="148">
        <v>0.7626953125</v>
      </c>
      <c r="AG184" s="148">
        <v>20.262246416384006</v>
      </c>
      <c r="AS184" s="148">
        <v>3.90625E-3</v>
      </c>
      <c r="AT184" s="148">
        <v>0.8115234375</v>
      </c>
      <c r="AU184" s="148">
        <v>10240</v>
      </c>
      <c r="BG184" s="148">
        <v>7.8125E-3</v>
      </c>
      <c r="BH184" s="148">
        <v>0.7724609375</v>
      </c>
      <c r="BI184" s="148">
        <v>39.499274321920005</v>
      </c>
      <c r="BU184" s="148">
        <v>3.90625E-3</v>
      </c>
      <c r="BV184" s="148">
        <v>0.8115234375</v>
      </c>
      <c r="BW184" s="148">
        <v>17522</v>
      </c>
      <c r="CI184" s="148">
        <v>1.953125E-3</v>
      </c>
      <c r="CJ184" s="148">
        <v>0.7626953125</v>
      </c>
      <c r="CK184" s="148">
        <v>49.468375039999998</v>
      </c>
    </row>
    <row r="185" spans="31:89" x14ac:dyDescent="0.2">
      <c r="AE185" s="148">
        <v>3.90625E-3</v>
      </c>
      <c r="AF185" s="148">
        <v>0.7666015625</v>
      </c>
      <c r="AG185" s="148">
        <v>20.924208250880003</v>
      </c>
      <c r="AS185" s="148">
        <v>3.90625E-3</v>
      </c>
      <c r="AT185" s="148">
        <v>0.8154296875</v>
      </c>
      <c r="AU185" s="148">
        <v>10240</v>
      </c>
      <c r="BG185" s="148">
        <v>7.8125E-3</v>
      </c>
      <c r="BH185" s="148">
        <v>0.7802734375</v>
      </c>
      <c r="BI185" s="148">
        <v>39.596814218971438</v>
      </c>
      <c r="BU185" s="148">
        <v>3.90625E-3</v>
      </c>
      <c r="BV185" s="148">
        <v>0.8154296875</v>
      </c>
      <c r="BW185" s="148">
        <v>17522</v>
      </c>
      <c r="CI185" s="148">
        <v>3.90625E-3</v>
      </c>
      <c r="CJ185" s="148">
        <v>0.7666015625</v>
      </c>
      <c r="CK185" s="148">
        <v>51.084492799999992</v>
      </c>
    </row>
    <row r="186" spans="31:89" x14ac:dyDescent="0.2">
      <c r="AE186" s="148">
        <v>3.90625E-3</v>
      </c>
      <c r="AF186" s="148">
        <v>0.7705078125</v>
      </c>
      <c r="AG186" s="148">
        <v>21.409033093120005</v>
      </c>
      <c r="AS186" s="148">
        <v>1.953125E-3</v>
      </c>
      <c r="AT186" s="148">
        <v>0.8173828125</v>
      </c>
      <c r="AU186" s="148">
        <v>10240</v>
      </c>
      <c r="BG186" s="148">
        <v>1.953125E-3</v>
      </c>
      <c r="BH186" s="148">
        <v>0.7822265625</v>
      </c>
      <c r="BI186" s="148">
        <v>41.037107746133337</v>
      </c>
      <c r="BU186" s="148">
        <v>1.953125E-3</v>
      </c>
      <c r="BV186" s="148">
        <v>0.8173828125</v>
      </c>
      <c r="BW186" s="148">
        <v>17522</v>
      </c>
      <c r="CI186" s="148">
        <v>3.90625E-3</v>
      </c>
      <c r="CJ186" s="148">
        <v>0.7705078125</v>
      </c>
      <c r="CK186" s="148">
        <v>52.268147199999994</v>
      </c>
    </row>
    <row r="187" spans="31:89" x14ac:dyDescent="0.2">
      <c r="AE187" s="148">
        <v>9.765625E-4</v>
      </c>
      <c r="AF187" s="148">
        <v>0.771484375</v>
      </c>
      <c r="AG187" s="148">
        <v>21.871785410560001</v>
      </c>
      <c r="AS187" s="148">
        <v>9.765625E-4</v>
      </c>
      <c r="AT187" s="148">
        <v>0.818359375</v>
      </c>
      <c r="AU187" s="148">
        <v>10240</v>
      </c>
      <c r="BG187" s="148">
        <v>1.953125E-3</v>
      </c>
      <c r="BH187" s="148">
        <v>0.7841796875</v>
      </c>
      <c r="BI187" s="148">
        <v>41.61439963545601</v>
      </c>
      <c r="BU187" s="148">
        <v>9.765625E-4</v>
      </c>
      <c r="BV187" s="148">
        <v>0.818359375</v>
      </c>
      <c r="BW187" s="148">
        <v>17522</v>
      </c>
      <c r="CI187" s="148">
        <v>9.765625E-4</v>
      </c>
      <c r="CJ187" s="148">
        <v>0.771484375</v>
      </c>
      <c r="CK187" s="148">
        <v>53.397913599999988</v>
      </c>
    </row>
    <row r="188" spans="31:89" x14ac:dyDescent="0.2">
      <c r="AE188" s="148">
        <v>1.953125E-3</v>
      </c>
      <c r="AF188" s="148">
        <v>0.7734375</v>
      </c>
      <c r="AG188" s="148">
        <v>21.871785410560001</v>
      </c>
      <c r="AS188" s="148">
        <v>1.953125E-3</v>
      </c>
      <c r="AT188" s="148">
        <v>0.8203125</v>
      </c>
      <c r="AU188" s="148">
        <v>10240</v>
      </c>
      <c r="BG188" s="148">
        <v>3.90625E-3</v>
      </c>
      <c r="BH188" s="148">
        <v>0.7880859375</v>
      </c>
      <c r="BI188" s="148">
        <v>43.540839792640007</v>
      </c>
      <c r="BU188" s="148">
        <v>1.953125E-3</v>
      </c>
      <c r="BV188" s="148">
        <v>0.8203125</v>
      </c>
      <c r="BW188" s="148">
        <v>17522</v>
      </c>
      <c r="CI188" s="148">
        <v>1.953125E-3</v>
      </c>
      <c r="CJ188" s="148">
        <v>0.7734375</v>
      </c>
      <c r="CK188" s="148">
        <v>53.397913599999988</v>
      </c>
    </row>
    <row r="189" spans="31:89" x14ac:dyDescent="0.2">
      <c r="AE189" s="148">
        <v>3.90625E-3</v>
      </c>
      <c r="AF189" s="148">
        <v>0.77734375</v>
      </c>
      <c r="AG189" s="148">
        <v>21.90503051264</v>
      </c>
      <c r="AS189" s="148">
        <v>1.953125E-3</v>
      </c>
      <c r="AT189" s="148">
        <v>0.822265625</v>
      </c>
      <c r="AU189" s="148">
        <v>10240</v>
      </c>
      <c r="BG189" s="148">
        <v>3.90625E-3</v>
      </c>
      <c r="BH189" s="148">
        <v>0.7919921875</v>
      </c>
      <c r="BI189" s="148">
        <v>43.621652343466678</v>
      </c>
      <c r="BU189" s="148">
        <v>1.953125E-3</v>
      </c>
      <c r="BV189" s="148">
        <v>0.822265625</v>
      </c>
      <c r="BW189" s="148">
        <v>17522</v>
      </c>
      <c r="CI189" s="148">
        <v>3.90625E-3</v>
      </c>
      <c r="CJ189" s="148">
        <v>0.77734375</v>
      </c>
      <c r="CK189" s="148">
        <v>53.479078399999985</v>
      </c>
    </row>
    <row r="190" spans="31:89" x14ac:dyDescent="0.2">
      <c r="AE190" s="148">
        <v>7.8125E-3</v>
      </c>
      <c r="AF190" s="148">
        <v>0.78515625</v>
      </c>
      <c r="AG190" s="148">
        <v>21.905030512640003</v>
      </c>
      <c r="AS190" s="148">
        <v>1.953125E-3</v>
      </c>
      <c r="AT190" s="148">
        <v>0.82421875</v>
      </c>
      <c r="AU190" s="148">
        <v>10240</v>
      </c>
      <c r="BG190" s="148">
        <v>3.90625E-3</v>
      </c>
      <c r="BH190" s="148">
        <v>0.7958984375</v>
      </c>
      <c r="BI190" s="148">
        <v>43.730577326080017</v>
      </c>
      <c r="BU190" s="148">
        <v>1.953125E-3</v>
      </c>
      <c r="BV190" s="148">
        <v>0.82421875</v>
      </c>
      <c r="BW190" s="148">
        <v>17522</v>
      </c>
      <c r="CI190" s="148">
        <v>7.8125E-3</v>
      </c>
      <c r="CJ190" s="148">
        <v>0.78515625</v>
      </c>
      <c r="CK190" s="148">
        <v>53.479078399999992</v>
      </c>
    </row>
    <row r="191" spans="31:89" x14ac:dyDescent="0.2">
      <c r="AE191" s="148">
        <v>1.953125E-3</v>
      </c>
      <c r="AF191" s="148">
        <v>0.787109375</v>
      </c>
      <c r="AG191" s="148">
        <v>22.374286997211428</v>
      </c>
      <c r="AS191" s="148">
        <v>9.765625E-4</v>
      </c>
      <c r="AT191" s="148">
        <v>0.8251953125</v>
      </c>
      <c r="AU191" s="148">
        <v>10240</v>
      </c>
      <c r="BG191" s="148">
        <v>1.953125E-3</v>
      </c>
      <c r="BH191" s="148">
        <v>0.7978515625</v>
      </c>
      <c r="BI191" s="148">
        <v>43.927225237504004</v>
      </c>
      <c r="BU191" s="148">
        <v>9.765625E-4</v>
      </c>
      <c r="BV191" s="148">
        <v>0.8251953125</v>
      </c>
      <c r="BW191" s="148">
        <v>17522</v>
      </c>
      <c r="CI191" s="148">
        <v>1.953125E-3</v>
      </c>
      <c r="CJ191" s="148">
        <v>0.787109375</v>
      </c>
      <c r="CK191" s="148">
        <v>54.624724114285698</v>
      </c>
    </row>
    <row r="192" spans="31:89" x14ac:dyDescent="0.2">
      <c r="AE192" s="148">
        <v>9.765625E-4</v>
      </c>
      <c r="AF192" s="148">
        <v>0.7880859375</v>
      </c>
      <c r="AG192" s="148">
        <v>22.44549908889601</v>
      </c>
      <c r="AS192" s="148">
        <v>1.953125E-3</v>
      </c>
      <c r="AT192" s="148">
        <v>0.8271484375</v>
      </c>
      <c r="AU192" s="148">
        <v>10240</v>
      </c>
      <c r="BG192" s="148">
        <v>7.8125E-3</v>
      </c>
      <c r="BH192" s="148">
        <v>0.8056640625</v>
      </c>
      <c r="BI192" s="148">
        <v>44.036837212160002</v>
      </c>
      <c r="BU192" s="148">
        <v>1.953125E-3</v>
      </c>
      <c r="BV192" s="148">
        <v>0.8271484375</v>
      </c>
      <c r="BW192" s="148">
        <v>17522</v>
      </c>
      <c r="CI192" s="148">
        <v>9.765625E-4</v>
      </c>
      <c r="CJ192" s="148">
        <v>0.7880859375</v>
      </c>
      <c r="CK192" s="148">
        <v>54.798581760000005</v>
      </c>
    </row>
    <row r="193" spans="31:89" x14ac:dyDescent="0.2">
      <c r="AE193" s="148">
        <v>1.5625E-2</v>
      </c>
      <c r="AF193" s="148">
        <v>0.8037109375</v>
      </c>
      <c r="AG193" s="148">
        <v>22.542426658133333</v>
      </c>
      <c r="AS193" s="148">
        <v>9.765625E-4</v>
      </c>
      <c r="AT193" s="148">
        <v>0.828125</v>
      </c>
      <c r="AU193" s="148">
        <v>10240</v>
      </c>
      <c r="BG193" s="148">
        <v>3.90625E-3</v>
      </c>
      <c r="BH193" s="148">
        <v>0.8095703125</v>
      </c>
      <c r="BI193" s="148">
        <v>44.036837212160002</v>
      </c>
      <c r="BU193" s="148">
        <v>9.765625E-4</v>
      </c>
      <c r="BV193" s="148">
        <v>0.828125</v>
      </c>
      <c r="BW193" s="148">
        <v>17522</v>
      </c>
      <c r="CI193" s="148">
        <v>1.5625E-2</v>
      </c>
      <c r="CJ193" s="148">
        <v>0.8037109375</v>
      </c>
      <c r="CK193" s="148">
        <v>55.035221333333318</v>
      </c>
    </row>
    <row r="194" spans="31:89" x14ac:dyDescent="0.2">
      <c r="AE194" s="148">
        <v>1.5625E-2</v>
      </c>
      <c r="AF194" s="148">
        <v>0.8193359375</v>
      </c>
      <c r="AG194" s="148">
        <v>22.772440541866672</v>
      </c>
      <c r="AS194" s="148">
        <v>9.765625E-4</v>
      </c>
      <c r="AT194" s="148">
        <v>0.8291015625</v>
      </c>
      <c r="AU194" s="148">
        <v>10240</v>
      </c>
      <c r="BG194" s="148">
        <v>1.953125E-3</v>
      </c>
      <c r="BH194" s="148">
        <v>0.8115234375</v>
      </c>
      <c r="BI194" s="148">
        <v>44.115131479771435</v>
      </c>
      <c r="BU194" s="148">
        <v>9.765625E-4</v>
      </c>
      <c r="BV194" s="148">
        <v>0.8291015625</v>
      </c>
      <c r="BW194" s="148">
        <v>17522</v>
      </c>
      <c r="CI194" s="148">
        <v>1.5625E-2</v>
      </c>
      <c r="CJ194" s="148">
        <v>0.8193359375</v>
      </c>
      <c r="CK194" s="148">
        <v>55.596778666666665</v>
      </c>
    </row>
    <row r="195" spans="31:89" x14ac:dyDescent="0.2">
      <c r="AE195" s="148">
        <v>3.90625E-3</v>
      </c>
      <c r="AF195" s="148">
        <v>0.8232421875</v>
      </c>
      <c r="AG195" s="148">
        <v>22.844919862613335</v>
      </c>
      <c r="AS195" s="148">
        <v>3.90625E-3</v>
      </c>
      <c r="AT195" s="148">
        <v>0.8330078125</v>
      </c>
      <c r="AU195" s="148">
        <v>10240</v>
      </c>
      <c r="BG195" s="148">
        <v>3.90625E-3</v>
      </c>
      <c r="BH195" s="148">
        <v>0.8154296875</v>
      </c>
      <c r="BI195" s="148">
        <v>44.226574745600004</v>
      </c>
      <c r="BU195" s="148">
        <v>3.90625E-3</v>
      </c>
      <c r="BV195" s="148">
        <v>0.8330078125</v>
      </c>
      <c r="BW195" s="148">
        <v>17522</v>
      </c>
      <c r="CI195" s="148">
        <v>3.90625E-3</v>
      </c>
      <c r="CJ195" s="148">
        <v>0.8232421875</v>
      </c>
      <c r="CK195" s="148">
        <v>55.773730133333316</v>
      </c>
    </row>
    <row r="196" spans="31:89" x14ac:dyDescent="0.2">
      <c r="AE196" s="148">
        <v>3.90625E-3</v>
      </c>
      <c r="AF196" s="148">
        <v>0.8271484375</v>
      </c>
      <c r="AG196" s="148">
        <v>22.927519689386667</v>
      </c>
      <c r="AS196" s="148">
        <v>1.953125E-3</v>
      </c>
      <c r="AT196" s="148">
        <v>0.8349609375</v>
      </c>
      <c r="AU196" s="148">
        <v>10240</v>
      </c>
      <c r="BG196" s="148">
        <v>7.8125E-3</v>
      </c>
      <c r="BH196" s="148">
        <v>0.8232421875</v>
      </c>
      <c r="BI196" s="148">
        <v>44.226574745600011</v>
      </c>
      <c r="BU196" s="148">
        <v>1.953125E-3</v>
      </c>
      <c r="BV196" s="148">
        <v>0.8349609375</v>
      </c>
      <c r="BW196" s="148">
        <v>17522</v>
      </c>
      <c r="CI196" s="148">
        <v>3.90625E-3</v>
      </c>
      <c r="CJ196" s="148">
        <v>0.8271484375</v>
      </c>
      <c r="CK196" s="148">
        <v>55.975389866666653</v>
      </c>
    </row>
    <row r="197" spans="31:89" x14ac:dyDescent="0.2">
      <c r="AE197" s="148">
        <v>1.953125E-3</v>
      </c>
      <c r="AF197" s="148">
        <v>0.8291015625</v>
      </c>
      <c r="AG197" s="148">
        <v>25.109049901056</v>
      </c>
      <c r="AS197" s="148">
        <v>3.90625E-3</v>
      </c>
      <c r="AT197" s="148">
        <v>0.8388671875</v>
      </c>
      <c r="AU197" s="148">
        <v>10240</v>
      </c>
      <c r="BG197" s="148">
        <v>3.90625E-3</v>
      </c>
      <c r="BH197" s="148">
        <v>0.8271484375</v>
      </c>
      <c r="BI197" s="148">
        <v>45.99318795605334</v>
      </c>
      <c r="BU197" s="148">
        <v>3.90625E-3</v>
      </c>
      <c r="BV197" s="148">
        <v>0.8388671875</v>
      </c>
      <c r="BW197" s="148">
        <v>17522</v>
      </c>
      <c r="CI197" s="148">
        <v>1.953125E-3</v>
      </c>
      <c r="CJ197" s="148">
        <v>0.8291015625</v>
      </c>
      <c r="CK197" s="148">
        <v>61.301391359999982</v>
      </c>
    </row>
    <row r="198" spans="31:89" x14ac:dyDescent="0.2">
      <c r="AE198" s="148">
        <v>1.953125E-3</v>
      </c>
      <c r="AF198" s="148">
        <v>0.8310546875</v>
      </c>
      <c r="AG198" s="148">
        <v>25.517082978986668</v>
      </c>
      <c r="AS198" s="148">
        <v>1.953125E-3</v>
      </c>
      <c r="AT198" s="148">
        <v>0.8408203125</v>
      </c>
      <c r="AU198" s="148">
        <v>10240</v>
      </c>
      <c r="BG198" s="148">
        <v>1.5625E-2</v>
      </c>
      <c r="BH198" s="148">
        <v>0.8427734375</v>
      </c>
      <c r="BI198" s="148">
        <v>46.196283255466682</v>
      </c>
      <c r="BU198" s="148">
        <v>1.953125E-3</v>
      </c>
      <c r="BV198" s="148">
        <v>0.8408203125</v>
      </c>
      <c r="BW198" s="148">
        <v>17522</v>
      </c>
      <c r="CI198" s="148">
        <v>1.953125E-3</v>
      </c>
      <c r="CJ198" s="148">
        <v>0.8310546875</v>
      </c>
      <c r="CK198" s="148">
        <v>62.297565866666652</v>
      </c>
    </row>
    <row r="199" spans="31:89" x14ac:dyDescent="0.2">
      <c r="AE199" s="148">
        <v>7.8125E-3</v>
      </c>
      <c r="AF199" s="148">
        <v>0.8388671875</v>
      </c>
      <c r="AG199" s="148">
        <v>25.555868931413332</v>
      </c>
      <c r="AS199" s="148">
        <v>1.953125E-3</v>
      </c>
      <c r="AT199" s="148">
        <v>0.8427734375</v>
      </c>
      <c r="AU199" s="148">
        <v>10240</v>
      </c>
      <c r="BG199" s="148">
        <v>1.953125E-3</v>
      </c>
      <c r="BH199" s="148">
        <v>0.8447265625</v>
      </c>
      <c r="BI199" s="148">
        <v>46.656382173184021</v>
      </c>
      <c r="BU199" s="148">
        <v>1.953125E-3</v>
      </c>
      <c r="BV199" s="148">
        <v>0.8427734375</v>
      </c>
      <c r="BW199" s="148">
        <v>17522</v>
      </c>
      <c r="CI199" s="148">
        <v>7.8125E-3</v>
      </c>
      <c r="CJ199" s="148">
        <v>0.8388671875</v>
      </c>
      <c r="CK199" s="148">
        <v>62.392258133333314</v>
      </c>
    </row>
    <row r="200" spans="31:89" x14ac:dyDescent="0.2">
      <c r="AE200" s="148">
        <v>1.953125E-3</v>
      </c>
      <c r="AF200" s="148">
        <v>0.8408203125</v>
      </c>
      <c r="AG200" s="148">
        <v>25.690839711744008</v>
      </c>
      <c r="AS200" s="148">
        <v>1.953125E-3</v>
      </c>
      <c r="AT200" s="148">
        <v>0.8447265625</v>
      </c>
      <c r="AU200" s="148">
        <v>10240</v>
      </c>
      <c r="BG200" s="148">
        <v>9.765625E-4</v>
      </c>
      <c r="BH200" s="148">
        <v>0.845703125</v>
      </c>
      <c r="BI200" s="148">
        <v>49.244529295360003</v>
      </c>
      <c r="BU200" s="148">
        <v>1.953125E-3</v>
      </c>
      <c r="BV200" s="148">
        <v>0.8447265625</v>
      </c>
      <c r="BW200" s="148">
        <v>17522</v>
      </c>
      <c r="CI200" s="148">
        <v>1.953125E-3</v>
      </c>
      <c r="CJ200" s="148">
        <v>0.8408203125</v>
      </c>
      <c r="CK200" s="148">
        <v>62.721776640000002</v>
      </c>
    </row>
    <row r="201" spans="31:89" x14ac:dyDescent="0.2">
      <c r="AE201" s="148">
        <v>3.90625E-3</v>
      </c>
      <c r="AF201" s="148">
        <v>0.8447265625</v>
      </c>
      <c r="AG201" s="148">
        <v>26.103334830080009</v>
      </c>
      <c r="AS201" s="148">
        <v>9.765625E-4</v>
      </c>
      <c r="AT201" s="148">
        <v>0.845703125</v>
      </c>
      <c r="AU201" s="148">
        <v>10240</v>
      </c>
      <c r="BG201" s="148">
        <v>3.90625E-3</v>
      </c>
      <c r="BH201" s="148">
        <v>0.849609375</v>
      </c>
      <c r="BI201" s="148">
        <v>49.54095194697144</v>
      </c>
      <c r="BU201" s="148">
        <v>9.765625E-4</v>
      </c>
      <c r="BV201" s="148">
        <v>0.845703125</v>
      </c>
      <c r="BW201" s="148">
        <v>17522</v>
      </c>
      <c r="CI201" s="148">
        <v>3.90625E-3</v>
      </c>
      <c r="CJ201" s="148">
        <v>0.8447265625</v>
      </c>
      <c r="CK201" s="148">
        <v>63.728844799999997</v>
      </c>
    </row>
    <row r="202" spans="31:89" x14ac:dyDescent="0.2">
      <c r="AE202" s="148">
        <v>1.953125E-3</v>
      </c>
      <c r="AF202" s="148">
        <v>0.8466796875</v>
      </c>
      <c r="AG202" s="148">
        <v>26.720832248685721</v>
      </c>
      <c r="AS202" s="148">
        <v>1.953125E-3</v>
      </c>
      <c r="AT202" s="148">
        <v>0.84765625</v>
      </c>
      <c r="AU202" s="148">
        <v>10240</v>
      </c>
      <c r="BG202" s="148">
        <v>7.8125E-3</v>
      </c>
      <c r="BH202" s="148">
        <v>0.857421875</v>
      </c>
      <c r="BI202" s="148">
        <v>51.37631008085333</v>
      </c>
      <c r="BU202" s="148">
        <v>1.953125E-3</v>
      </c>
      <c r="BV202" s="148">
        <v>0.84765625</v>
      </c>
      <c r="BW202" s="148">
        <v>17522</v>
      </c>
      <c r="CI202" s="148">
        <v>1.953125E-3</v>
      </c>
      <c r="CJ202" s="148">
        <v>0.8466796875</v>
      </c>
      <c r="CK202" s="148">
        <v>65.236406857142853</v>
      </c>
    </row>
    <row r="203" spans="31:89" x14ac:dyDescent="0.2">
      <c r="AE203" s="148">
        <v>3.90625E-3</v>
      </c>
      <c r="AF203" s="148">
        <v>0.8505859375</v>
      </c>
      <c r="AG203" s="148">
        <v>27.050911989759999</v>
      </c>
      <c r="AS203" s="148">
        <v>3.90625E-3</v>
      </c>
      <c r="AT203" s="148">
        <v>0.8515625</v>
      </c>
      <c r="AU203" s="148">
        <v>10240</v>
      </c>
      <c r="BG203" s="148">
        <v>3.90625E-3</v>
      </c>
      <c r="BH203" s="148">
        <v>0.861328125</v>
      </c>
      <c r="BI203" s="148">
        <v>51.467653393066669</v>
      </c>
      <c r="BU203" s="148">
        <v>3.90625E-3</v>
      </c>
      <c r="BV203" s="148">
        <v>0.8515625</v>
      </c>
      <c r="BW203" s="148">
        <v>17522</v>
      </c>
      <c r="CI203" s="148">
        <v>3.90625E-3</v>
      </c>
      <c r="CJ203" s="148">
        <v>0.8505859375</v>
      </c>
      <c r="CK203" s="148">
        <v>66.042265599999979</v>
      </c>
    </row>
    <row r="204" spans="31:89" x14ac:dyDescent="0.2">
      <c r="AE204" s="148">
        <v>7.8125E-3</v>
      </c>
      <c r="AF204" s="148">
        <v>0.8583984375</v>
      </c>
      <c r="AG204" s="148">
        <v>27.050911989759999</v>
      </c>
      <c r="AS204" s="148">
        <v>3.90625E-3</v>
      </c>
      <c r="AT204" s="148">
        <v>0.85546875</v>
      </c>
      <c r="AU204" s="148">
        <v>10240</v>
      </c>
      <c r="BG204" s="148">
        <v>7.8125E-3</v>
      </c>
      <c r="BH204" s="148">
        <v>0.869140625</v>
      </c>
      <c r="BI204" s="148">
        <v>51.597670536533329</v>
      </c>
      <c r="BU204" s="148">
        <v>3.90625E-3</v>
      </c>
      <c r="BV204" s="148">
        <v>0.85546875</v>
      </c>
      <c r="BW204" s="148">
        <v>17522</v>
      </c>
      <c r="CI204" s="148">
        <v>7.8125E-3</v>
      </c>
      <c r="CJ204" s="148">
        <v>0.8583984375</v>
      </c>
      <c r="CK204" s="148">
        <v>66.042265599999979</v>
      </c>
    </row>
    <row r="205" spans="31:89" x14ac:dyDescent="0.2">
      <c r="AE205" s="148">
        <v>3.90625E-3</v>
      </c>
      <c r="AF205" s="148">
        <v>0.8623046875</v>
      </c>
      <c r="AG205" s="148">
        <v>27.326928650240006</v>
      </c>
      <c r="AS205" s="148">
        <v>3.90625E-3</v>
      </c>
      <c r="AT205" s="148">
        <v>0.859375</v>
      </c>
      <c r="AU205" s="148">
        <v>10240</v>
      </c>
      <c r="BG205" s="148">
        <v>1.953125E-3</v>
      </c>
      <c r="BH205" s="148">
        <v>0.87109375</v>
      </c>
      <c r="BI205" s="148">
        <v>52.24900775116803</v>
      </c>
      <c r="BU205" s="148">
        <v>3.90625E-3</v>
      </c>
      <c r="BV205" s="148">
        <v>0.859375</v>
      </c>
      <c r="BW205" s="148">
        <v>17522</v>
      </c>
      <c r="CI205" s="148">
        <v>7.8125E-3</v>
      </c>
      <c r="CJ205" s="148">
        <v>0.8662109375</v>
      </c>
      <c r="CK205" s="148">
        <v>66.716134400000001</v>
      </c>
    </row>
    <row r="206" spans="31:89" x14ac:dyDescent="0.2">
      <c r="AE206" s="148">
        <v>7.8125E-3</v>
      </c>
      <c r="AF206" s="148">
        <v>0.8701171875</v>
      </c>
      <c r="AG206" s="148">
        <v>27.32692865024001</v>
      </c>
      <c r="AS206" s="148">
        <v>7.8125E-3</v>
      </c>
      <c r="AT206" s="148">
        <v>0.8671875</v>
      </c>
      <c r="AU206" s="148">
        <v>10240</v>
      </c>
      <c r="BG206" s="148">
        <v>9.765625E-4</v>
      </c>
      <c r="BH206" s="148">
        <v>0.8720703125</v>
      </c>
      <c r="BI206" s="148">
        <v>52.345982812160017</v>
      </c>
      <c r="BU206" s="148">
        <v>7.8125E-3</v>
      </c>
      <c r="BV206" s="148">
        <v>0.8671875</v>
      </c>
      <c r="BW206" s="148">
        <v>17522</v>
      </c>
      <c r="CI206" s="148">
        <v>3.90625E-3</v>
      </c>
      <c r="CJ206" s="148">
        <v>0.8701171875</v>
      </c>
      <c r="CK206" s="148">
        <v>66.716134400000001</v>
      </c>
    </row>
    <row r="207" spans="31:89" x14ac:dyDescent="0.2">
      <c r="AE207" s="148">
        <v>1.953125E-3</v>
      </c>
      <c r="AF207" s="148">
        <v>0.8720703125</v>
      </c>
      <c r="AG207" s="148">
        <v>27.413903835136015</v>
      </c>
      <c r="AS207" s="148">
        <v>1.5625E-2</v>
      </c>
      <c r="AT207" s="148">
        <v>0.8828125</v>
      </c>
      <c r="AU207" s="148">
        <v>10240</v>
      </c>
      <c r="BG207" s="148">
        <v>1.953125E-3</v>
      </c>
      <c r="BH207" s="148">
        <v>0.8740234375</v>
      </c>
      <c r="BI207" s="148">
        <v>52.345982812160024</v>
      </c>
      <c r="BU207" s="148">
        <v>1.5625E-2</v>
      </c>
      <c r="BV207" s="148">
        <v>0.8828125</v>
      </c>
      <c r="BW207" s="148">
        <v>17522</v>
      </c>
      <c r="CI207" s="148">
        <v>1.953125E-3</v>
      </c>
      <c r="CJ207" s="148">
        <v>0.8720703125</v>
      </c>
      <c r="CK207" s="148">
        <v>66.928476160000017</v>
      </c>
    </row>
    <row r="208" spans="31:89" x14ac:dyDescent="0.2">
      <c r="AE208" s="148">
        <v>1.953125E-3</v>
      </c>
      <c r="AF208" s="148">
        <v>0.8740234375</v>
      </c>
      <c r="AG208" s="148">
        <v>27.513023627264005</v>
      </c>
      <c r="AS208" s="148">
        <v>7.8125E-3</v>
      </c>
      <c r="AT208" s="148">
        <v>0.890625</v>
      </c>
      <c r="AU208" s="148">
        <v>10240</v>
      </c>
      <c r="BG208" s="148">
        <v>1.953125E-3</v>
      </c>
      <c r="BH208" s="148">
        <v>0.8759765625</v>
      </c>
      <c r="BI208" s="148">
        <v>52.476692791296031</v>
      </c>
      <c r="BU208" s="148">
        <v>7.8125E-3</v>
      </c>
      <c r="BV208" s="148">
        <v>0.890625</v>
      </c>
      <c r="BW208" s="148">
        <v>17522</v>
      </c>
      <c r="CI208" s="148">
        <v>1.953125E-3</v>
      </c>
      <c r="CJ208" s="148">
        <v>0.8740234375</v>
      </c>
      <c r="CK208" s="148">
        <v>67.170467839999986</v>
      </c>
    </row>
    <row r="209" spans="31:89" x14ac:dyDescent="0.2">
      <c r="AE209" s="148">
        <v>3.90625E-3</v>
      </c>
      <c r="AF209" s="148">
        <v>0.8779296875</v>
      </c>
      <c r="AG209" s="148">
        <v>29.891726072685714</v>
      </c>
      <c r="AS209" s="148">
        <v>3.90625E-3</v>
      </c>
      <c r="AT209" s="148">
        <v>0.89453125</v>
      </c>
      <c r="AU209" s="148">
        <v>10240</v>
      </c>
      <c r="BG209" s="148">
        <v>1.953125E-3</v>
      </c>
      <c r="BH209" s="148">
        <v>0.8779296875</v>
      </c>
      <c r="BI209" s="148">
        <v>55.191825547264031</v>
      </c>
      <c r="BU209" s="148">
        <v>3.90625E-3</v>
      </c>
      <c r="BV209" s="148">
        <v>0.89453125</v>
      </c>
      <c r="BW209" s="148">
        <v>17522</v>
      </c>
      <c r="CI209" s="148">
        <v>3.90625E-3</v>
      </c>
      <c r="CJ209" s="148">
        <v>0.8779296875</v>
      </c>
      <c r="CK209" s="148">
        <v>72.977846857142836</v>
      </c>
    </row>
    <row r="210" spans="31:89" x14ac:dyDescent="0.2">
      <c r="AE210" s="148">
        <v>3.90625E-3</v>
      </c>
      <c r="AF210" s="148">
        <v>0.8818359375</v>
      </c>
      <c r="AG210" s="148">
        <v>30.584332990171436</v>
      </c>
      <c r="AS210" s="148">
        <v>3.90625E-3</v>
      </c>
      <c r="AT210" s="148">
        <v>0.8984375</v>
      </c>
      <c r="AU210" s="148">
        <v>10240</v>
      </c>
      <c r="BG210" s="148">
        <v>3.90625E-3</v>
      </c>
      <c r="BH210" s="148">
        <v>0.8818359375</v>
      </c>
      <c r="BI210" s="148">
        <v>55.43553990656001</v>
      </c>
      <c r="BU210" s="148">
        <v>3.90625E-3</v>
      </c>
      <c r="BV210" s="148">
        <v>0.8984375</v>
      </c>
      <c r="BW210" s="148">
        <v>17522</v>
      </c>
      <c r="CI210" s="148">
        <v>3.90625E-3</v>
      </c>
      <c r="CJ210" s="148">
        <v>0.8818359375</v>
      </c>
      <c r="CK210" s="148">
        <v>74.668781714285714</v>
      </c>
    </row>
    <row r="211" spans="31:89" x14ac:dyDescent="0.2">
      <c r="AE211" s="148">
        <v>9.765625E-4</v>
      </c>
      <c r="AF211" s="148">
        <v>0.8828125</v>
      </c>
      <c r="AG211" s="148">
        <v>30.620499574784006</v>
      </c>
      <c r="AS211" s="148">
        <v>3.90625E-3</v>
      </c>
      <c r="AT211" s="148">
        <v>0.90234375</v>
      </c>
      <c r="AU211" s="148">
        <v>10240</v>
      </c>
      <c r="BG211" s="148">
        <v>7.8125E-3</v>
      </c>
      <c r="BH211" s="148">
        <v>0.8896484375</v>
      </c>
      <c r="BI211" s="148">
        <v>55.435539906560038</v>
      </c>
      <c r="BU211" s="148">
        <v>3.90625E-3</v>
      </c>
      <c r="BV211" s="148">
        <v>0.90234375</v>
      </c>
      <c r="BW211" s="148">
        <v>17522</v>
      </c>
      <c r="CI211" s="148">
        <v>9.765625E-4</v>
      </c>
      <c r="CJ211" s="148">
        <v>0.8828125</v>
      </c>
      <c r="CK211" s="148">
        <v>74.757079039999994</v>
      </c>
    </row>
    <row r="212" spans="31:89" x14ac:dyDescent="0.2">
      <c r="AE212" s="148">
        <v>3.90625E-3</v>
      </c>
      <c r="AF212" s="148">
        <v>0.88671875</v>
      </c>
      <c r="AG212" s="148">
        <v>30.667042717696003</v>
      </c>
      <c r="AS212" s="148">
        <v>1.953125E-3</v>
      </c>
      <c r="AT212" s="148">
        <v>0.904296875</v>
      </c>
      <c r="AU212" s="148">
        <v>10240</v>
      </c>
      <c r="BG212" s="148">
        <v>7.8125E-3</v>
      </c>
      <c r="BH212" s="148">
        <v>0.8974609375</v>
      </c>
      <c r="BI212" s="148">
        <v>57.797777271466657</v>
      </c>
      <c r="BU212" s="148">
        <v>1.953125E-3</v>
      </c>
      <c r="BV212" s="148">
        <v>0.904296875</v>
      </c>
      <c r="BW212" s="148">
        <v>17522</v>
      </c>
      <c r="CI212" s="148">
        <v>3.90625E-3</v>
      </c>
      <c r="CJ212" s="148">
        <v>0.88671875</v>
      </c>
      <c r="CK212" s="148">
        <v>74.870709759999983</v>
      </c>
    </row>
    <row r="213" spans="31:89" x14ac:dyDescent="0.2">
      <c r="AE213" s="148">
        <v>3.90625E-3</v>
      </c>
      <c r="AF213" s="148">
        <v>0.890625</v>
      </c>
      <c r="AG213" s="148">
        <v>31.174304290133339</v>
      </c>
      <c r="AS213" s="148">
        <v>9.765625E-4</v>
      </c>
      <c r="AT213" s="148">
        <v>0.9052734375</v>
      </c>
      <c r="AU213" s="148">
        <v>10240</v>
      </c>
      <c r="BG213" s="148">
        <v>9.765625E-4</v>
      </c>
      <c r="BH213" s="148">
        <v>0.8984375</v>
      </c>
      <c r="BI213" s="148">
        <v>59.024001691062871</v>
      </c>
      <c r="BU213" s="148">
        <v>9.765625E-4</v>
      </c>
      <c r="BV213" s="148">
        <v>0.9052734375</v>
      </c>
      <c r="BW213" s="148">
        <v>17522</v>
      </c>
      <c r="CI213" s="148">
        <v>3.90625E-3</v>
      </c>
      <c r="CJ213" s="148">
        <v>0.890625</v>
      </c>
      <c r="CK213" s="148">
        <v>76.109141333333326</v>
      </c>
    </row>
    <row r="214" spans="31:89" x14ac:dyDescent="0.2">
      <c r="AE214" s="148">
        <v>1.953125E-3</v>
      </c>
      <c r="AF214" s="148">
        <v>0.892578125</v>
      </c>
      <c r="AG214" s="148">
        <v>31.324001796096013</v>
      </c>
      <c r="AS214" s="148">
        <v>1.953125E-3</v>
      </c>
      <c r="AT214" s="148">
        <v>0.9072265625</v>
      </c>
      <c r="AU214" s="148">
        <v>10240</v>
      </c>
      <c r="BG214" s="148">
        <v>1.953125E-3</v>
      </c>
      <c r="BH214" s="148">
        <v>0.900390625</v>
      </c>
      <c r="BI214" s="148">
        <v>61.070313280853348</v>
      </c>
      <c r="BU214" s="148">
        <v>1.953125E-3</v>
      </c>
      <c r="BV214" s="148">
        <v>0.9072265625</v>
      </c>
      <c r="BW214" s="148">
        <v>17522</v>
      </c>
      <c r="CI214" s="148">
        <v>1.953125E-3</v>
      </c>
      <c r="CJ214" s="148">
        <v>0.892578125</v>
      </c>
      <c r="CK214" s="148">
        <v>76.474613760000011</v>
      </c>
    </row>
    <row r="215" spans="31:89" x14ac:dyDescent="0.2">
      <c r="AE215" s="148">
        <v>7.8125E-3</v>
      </c>
      <c r="AF215" s="148">
        <v>0.900390625</v>
      </c>
      <c r="AG215" s="148">
        <v>31.559397321386669</v>
      </c>
      <c r="AS215" s="148">
        <v>1.953125E-3</v>
      </c>
      <c r="AT215" s="148">
        <v>0.9091796875</v>
      </c>
      <c r="AU215" s="148">
        <v>10240</v>
      </c>
      <c r="BG215" s="148">
        <v>3.90625E-3</v>
      </c>
      <c r="BH215" s="148">
        <v>0.904296875</v>
      </c>
      <c r="BI215" s="148">
        <v>61.651572097024008</v>
      </c>
      <c r="BU215" s="148">
        <v>1.953125E-3</v>
      </c>
      <c r="BV215" s="148">
        <v>0.9091796875</v>
      </c>
      <c r="BW215" s="148">
        <v>17522</v>
      </c>
      <c r="CI215" s="148">
        <v>7.8125E-3</v>
      </c>
      <c r="CJ215" s="148">
        <v>0.900390625</v>
      </c>
      <c r="CK215" s="148">
        <v>77.049309866666647</v>
      </c>
    </row>
    <row r="216" spans="31:89" x14ac:dyDescent="0.2">
      <c r="AE216" s="148">
        <v>7.8125E-3</v>
      </c>
      <c r="AF216" s="148">
        <v>0.908203125</v>
      </c>
      <c r="AG216" s="148">
        <v>31.881416758613334</v>
      </c>
      <c r="AS216" s="148">
        <v>1.953125E-3</v>
      </c>
      <c r="AT216" s="148">
        <v>0.9111328125</v>
      </c>
      <c r="AU216" s="148">
        <v>10240</v>
      </c>
      <c r="BG216" s="148">
        <v>9.765625E-4</v>
      </c>
      <c r="BH216" s="148">
        <v>0.9052734375</v>
      </c>
      <c r="BI216" s="148">
        <v>61.761184071680013</v>
      </c>
      <c r="BU216" s="148">
        <v>1.953125E-3</v>
      </c>
      <c r="BV216" s="148">
        <v>0.9111328125</v>
      </c>
      <c r="BW216" s="148">
        <v>17522</v>
      </c>
      <c r="CI216" s="148">
        <v>7.8125E-3</v>
      </c>
      <c r="CJ216" s="148">
        <v>0.908203125</v>
      </c>
      <c r="CK216" s="148">
        <v>77.835490133333309</v>
      </c>
    </row>
    <row r="217" spans="31:89" x14ac:dyDescent="0.2">
      <c r="AE217" s="148">
        <v>7.8125E-3</v>
      </c>
      <c r="AF217" s="148">
        <v>0.916015625</v>
      </c>
      <c r="AG217" s="148">
        <v>34.873680418133333</v>
      </c>
      <c r="AS217" s="148">
        <v>3.90625E-3</v>
      </c>
      <c r="AT217" s="148">
        <v>0.9150390625</v>
      </c>
      <c r="AU217" s="148">
        <v>10240</v>
      </c>
      <c r="BG217" s="148">
        <v>1.953125E-3</v>
      </c>
      <c r="BH217" s="148">
        <v>0.9072265625</v>
      </c>
      <c r="BI217" s="148">
        <v>61.761184071680027</v>
      </c>
      <c r="BU217" s="148">
        <v>3.90625E-3</v>
      </c>
      <c r="BV217" s="148">
        <v>0.9150390625</v>
      </c>
      <c r="BW217" s="148">
        <v>17522</v>
      </c>
      <c r="CI217" s="148">
        <v>7.8125E-3</v>
      </c>
      <c r="CJ217" s="148">
        <v>0.916015625</v>
      </c>
      <c r="CK217" s="148">
        <v>85.140821333333307</v>
      </c>
    </row>
    <row r="218" spans="31:89" x14ac:dyDescent="0.2">
      <c r="AE218" s="148">
        <v>9.765625E-4</v>
      </c>
      <c r="AF218" s="148">
        <v>0.9169921875</v>
      </c>
      <c r="AG218" s="148">
        <v>35.057862293211436</v>
      </c>
      <c r="AS218" s="148">
        <v>1.953125E-3</v>
      </c>
      <c r="AT218" s="148">
        <v>0.9169921875</v>
      </c>
      <c r="AU218" s="148">
        <v>10240</v>
      </c>
      <c r="BG218" s="148">
        <v>3.90625E-3</v>
      </c>
      <c r="BH218" s="148">
        <v>0.9111328125</v>
      </c>
      <c r="BI218" s="148">
        <v>61.917204643840009</v>
      </c>
      <c r="BU218" s="148">
        <v>1.953125E-3</v>
      </c>
      <c r="BV218" s="148">
        <v>0.9169921875</v>
      </c>
      <c r="BW218" s="148">
        <v>17522</v>
      </c>
      <c r="CI218" s="148">
        <v>9.765625E-4</v>
      </c>
      <c r="CJ218" s="148">
        <v>0.9169921875</v>
      </c>
      <c r="CK218" s="148">
        <v>85.590484114285701</v>
      </c>
    </row>
    <row r="219" spans="31:89" x14ac:dyDescent="0.2">
      <c r="AE219" s="148">
        <v>7.8125E-3</v>
      </c>
      <c r="AF219" s="148">
        <v>0.9248046875</v>
      </c>
      <c r="AG219" s="148">
        <v>35.681721821866674</v>
      </c>
      <c r="AS219" s="148">
        <v>3.90625E-3</v>
      </c>
      <c r="AT219" s="148">
        <v>0.9208984375</v>
      </c>
      <c r="AU219" s="148">
        <v>10240</v>
      </c>
      <c r="BG219" s="148">
        <v>3.90625E-3</v>
      </c>
      <c r="BH219" s="148">
        <v>0.9150390625</v>
      </c>
      <c r="BI219" s="148">
        <v>62.201199703771444</v>
      </c>
      <c r="BU219" s="148">
        <v>3.90625E-3</v>
      </c>
      <c r="BV219" s="148">
        <v>0.9208984375</v>
      </c>
      <c r="BW219" s="148">
        <v>17522</v>
      </c>
      <c r="CI219" s="148">
        <v>7.8125E-3</v>
      </c>
      <c r="CJ219" s="148">
        <v>0.9248046875</v>
      </c>
      <c r="CK219" s="148">
        <v>87.113578666666655</v>
      </c>
    </row>
    <row r="220" spans="31:89" x14ac:dyDescent="0.2">
      <c r="AE220" s="148">
        <v>3.90625E-3</v>
      </c>
      <c r="AF220" s="148">
        <v>0.9287109375</v>
      </c>
      <c r="AG220" s="148">
        <v>37.290478328685722</v>
      </c>
      <c r="AS220" s="148">
        <v>9.765625E-4</v>
      </c>
      <c r="AT220" s="148">
        <v>0.921875</v>
      </c>
      <c r="AU220" s="148">
        <v>10240</v>
      </c>
      <c r="BG220" s="148">
        <v>3.90625E-3</v>
      </c>
      <c r="BH220" s="148">
        <v>0.9189453125</v>
      </c>
      <c r="BI220" s="148">
        <v>62.472253322971447</v>
      </c>
      <c r="BU220" s="148">
        <v>9.765625E-4</v>
      </c>
      <c r="BV220" s="148">
        <v>0.921875</v>
      </c>
      <c r="BW220" s="148">
        <v>17522</v>
      </c>
      <c r="CI220" s="148">
        <v>3.90625E-3</v>
      </c>
      <c r="CJ220" s="148">
        <v>0.9287109375</v>
      </c>
      <c r="CK220" s="148">
        <v>91.041206857142853</v>
      </c>
    </row>
    <row r="221" spans="31:89" x14ac:dyDescent="0.2">
      <c r="AE221" s="148">
        <v>9.765625E-4</v>
      </c>
      <c r="AF221" s="148">
        <v>0.9296875</v>
      </c>
      <c r="AG221" s="148">
        <v>37.409165148160014</v>
      </c>
      <c r="AS221" s="148">
        <v>9.765625E-4</v>
      </c>
      <c r="AT221" s="148">
        <v>0.9228515625</v>
      </c>
      <c r="AU221" s="148">
        <v>10240</v>
      </c>
      <c r="BG221" s="148">
        <v>7.8125E-3</v>
      </c>
      <c r="BH221" s="148">
        <v>0.9267578125</v>
      </c>
      <c r="BI221" s="148">
        <v>64.674796557653352</v>
      </c>
      <c r="BU221" s="148">
        <v>9.765625E-4</v>
      </c>
      <c r="BV221" s="148">
        <v>0.9228515625</v>
      </c>
      <c r="BW221" s="148">
        <v>17522</v>
      </c>
      <c r="CI221" s="148">
        <v>9.765625E-4</v>
      </c>
      <c r="CJ221" s="148">
        <v>0.9296875</v>
      </c>
      <c r="CK221" s="148">
        <v>91.330969600000003</v>
      </c>
    </row>
    <row r="222" spans="31:89" x14ac:dyDescent="0.2">
      <c r="AE222" s="148">
        <v>1.953125E-3</v>
      </c>
      <c r="AF222" s="148">
        <v>0.931640625</v>
      </c>
      <c r="AG222" s="148">
        <v>37.409165148160021</v>
      </c>
      <c r="AS222" s="148">
        <v>1.953125E-3</v>
      </c>
      <c r="AT222" s="148">
        <v>0.9248046875</v>
      </c>
      <c r="AU222" s="148">
        <v>10240</v>
      </c>
      <c r="BG222" s="148">
        <v>1.953125E-3</v>
      </c>
      <c r="BH222" s="148">
        <v>0.9287109375</v>
      </c>
      <c r="BI222" s="148">
        <v>68.861335306240008</v>
      </c>
      <c r="BU222" s="148">
        <v>1.953125E-3</v>
      </c>
      <c r="BV222" s="148">
        <v>0.9248046875</v>
      </c>
      <c r="BW222" s="148">
        <v>17522</v>
      </c>
      <c r="CI222" s="148">
        <v>1.953125E-3</v>
      </c>
      <c r="CJ222" s="148">
        <v>0.931640625</v>
      </c>
      <c r="CK222" s="148">
        <v>91.330969600000017</v>
      </c>
    </row>
    <row r="223" spans="31:89" x14ac:dyDescent="0.2">
      <c r="AE223" s="148">
        <v>3.90625E-3</v>
      </c>
      <c r="AF223" s="148">
        <v>0.935546875</v>
      </c>
      <c r="AG223" s="148">
        <v>37.871276785664008</v>
      </c>
      <c r="AS223" s="148">
        <v>9.765625E-4</v>
      </c>
      <c r="AT223" s="148">
        <v>0.92578125</v>
      </c>
      <c r="AU223" s="148">
        <v>10240</v>
      </c>
      <c r="BG223" s="148">
        <v>1.953125E-3</v>
      </c>
      <c r="BH223" s="148">
        <v>0.9306640625</v>
      </c>
      <c r="BI223" s="148">
        <v>69.357332725759989</v>
      </c>
      <c r="BU223" s="148">
        <v>9.765625E-4</v>
      </c>
      <c r="BV223" s="148">
        <v>0.92578125</v>
      </c>
      <c r="BW223" s="148">
        <v>17522</v>
      </c>
      <c r="CI223" s="148">
        <v>3.90625E-3</v>
      </c>
      <c r="CJ223" s="148">
        <v>0.935546875</v>
      </c>
      <c r="CK223" s="148">
        <v>92.459171839999996</v>
      </c>
    </row>
    <row r="224" spans="31:89" x14ac:dyDescent="0.2">
      <c r="AE224" s="148">
        <v>3.90625E-3</v>
      </c>
      <c r="AF224" s="148">
        <v>0.939453125</v>
      </c>
      <c r="AG224" s="148">
        <v>38.257700110336025</v>
      </c>
      <c r="AS224" s="148">
        <v>1.953125E-3</v>
      </c>
      <c r="AT224" s="148">
        <v>0.927734375</v>
      </c>
      <c r="AU224" s="148">
        <v>10240</v>
      </c>
      <c r="BG224" s="148">
        <v>3.90625E-3</v>
      </c>
      <c r="BH224" s="148">
        <v>0.9345703125</v>
      </c>
      <c r="BI224" s="148">
        <v>69.357332725760003</v>
      </c>
      <c r="BU224" s="148">
        <v>1.953125E-3</v>
      </c>
      <c r="BV224" s="148">
        <v>0.927734375</v>
      </c>
      <c r="BW224" s="148">
        <v>17522</v>
      </c>
      <c r="CI224" s="148">
        <v>3.90625E-3</v>
      </c>
      <c r="CJ224" s="148">
        <v>0.939453125</v>
      </c>
      <c r="CK224" s="148">
        <v>93.402588160000036</v>
      </c>
    </row>
    <row r="225" spans="31:89" x14ac:dyDescent="0.2">
      <c r="AE225" s="148">
        <v>1.953125E-3</v>
      </c>
      <c r="AF225" s="148">
        <v>0.94140625</v>
      </c>
      <c r="AG225" s="148">
        <v>40.900839342080012</v>
      </c>
      <c r="AS225" s="148">
        <v>1.953125E-3</v>
      </c>
      <c r="AT225" s="148">
        <v>0.9296875</v>
      </c>
      <c r="AU225" s="148">
        <v>10240</v>
      </c>
      <c r="BG225" s="148">
        <v>1.953125E-3</v>
      </c>
      <c r="BH225" s="148">
        <v>0.9365234375</v>
      </c>
      <c r="BI225" s="148">
        <v>72.054714750293357</v>
      </c>
      <c r="BU225" s="148">
        <v>1.953125E-3</v>
      </c>
      <c r="BV225" s="148">
        <v>0.9296875</v>
      </c>
      <c r="BW225" s="148">
        <v>17522</v>
      </c>
      <c r="CI225" s="148">
        <v>1.953125E-3</v>
      </c>
      <c r="CJ225" s="148">
        <v>0.94140625</v>
      </c>
      <c r="CK225" s="148">
        <v>99.855564799999996</v>
      </c>
    </row>
    <row r="226" spans="31:89" x14ac:dyDescent="0.2">
      <c r="AE226" s="148">
        <v>1.953125E-3</v>
      </c>
      <c r="AF226" s="148">
        <v>0.943359375</v>
      </c>
      <c r="AG226" s="148">
        <v>41.848416501760006</v>
      </c>
      <c r="AS226" s="148">
        <v>1.953125E-3</v>
      </c>
      <c r="AT226" s="148">
        <v>0.931640625</v>
      </c>
      <c r="AU226" s="148">
        <v>10240</v>
      </c>
      <c r="BG226" s="148">
        <v>7.8125E-3</v>
      </c>
      <c r="BH226" s="148">
        <v>0.9443359375</v>
      </c>
      <c r="BI226" s="148">
        <v>72.568066321066681</v>
      </c>
      <c r="BU226" s="148">
        <v>1.953125E-3</v>
      </c>
      <c r="BV226" s="148">
        <v>0.931640625</v>
      </c>
      <c r="BW226" s="148">
        <v>17522</v>
      </c>
      <c r="CI226" s="148">
        <v>1.953125E-3</v>
      </c>
      <c r="CJ226" s="148">
        <v>0.943359375</v>
      </c>
      <c r="CK226" s="148">
        <v>102.16898559999998</v>
      </c>
    </row>
    <row r="227" spans="31:89" x14ac:dyDescent="0.2">
      <c r="AE227" s="148">
        <v>3.90625E-3</v>
      </c>
      <c r="AF227" s="148">
        <v>0.947265625</v>
      </c>
      <c r="AG227" s="148">
        <v>41.848416501760006</v>
      </c>
      <c r="AS227" s="148">
        <v>9.765625E-4</v>
      </c>
      <c r="AT227" s="148">
        <v>0.9326171875</v>
      </c>
      <c r="AU227" s="148">
        <v>10240</v>
      </c>
      <c r="BG227" s="148">
        <v>7.8125E-3</v>
      </c>
      <c r="BH227" s="148">
        <v>0.9521484375</v>
      </c>
      <c r="BI227" s="148">
        <v>72.884295543466692</v>
      </c>
      <c r="BU227" s="148">
        <v>9.765625E-4</v>
      </c>
      <c r="BV227" s="148">
        <v>0.9326171875</v>
      </c>
      <c r="BW227" s="148">
        <v>17522</v>
      </c>
      <c r="CI227" s="148">
        <v>3.90625E-3</v>
      </c>
      <c r="CJ227" s="148">
        <v>0.947265625</v>
      </c>
      <c r="CK227" s="148">
        <v>102.16898559999998</v>
      </c>
    </row>
    <row r="228" spans="31:89" x14ac:dyDescent="0.2">
      <c r="AE228" s="148">
        <v>1.953125E-3</v>
      </c>
      <c r="AF228" s="148">
        <v>0.94921875</v>
      </c>
      <c r="AG228" s="148">
        <v>42.81806618624001</v>
      </c>
      <c r="AS228" s="148">
        <v>1.953125E-3</v>
      </c>
      <c r="AT228" s="148">
        <v>0.9345703125</v>
      </c>
      <c r="AU228" s="148">
        <v>10240</v>
      </c>
      <c r="BG228" s="148">
        <v>9.765625E-4</v>
      </c>
      <c r="BH228" s="148">
        <v>0.953125</v>
      </c>
      <c r="BI228" s="148">
        <v>73.284375937024024</v>
      </c>
      <c r="BU228" s="148">
        <v>1.953125E-3</v>
      </c>
      <c r="BV228" s="148">
        <v>0.9345703125</v>
      </c>
      <c r="BW228" s="148">
        <v>17522</v>
      </c>
      <c r="CI228" s="148">
        <v>1.953125E-3</v>
      </c>
      <c r="CJ228" s="148">
        <v>0.94921875</v>
      </c>
      <c r="CK228" s="148">
        <v>104.53629439999999</v>
      </c>
    </row>
    <row r="229" spans="31:89" x14ac:dyDescent="0.2">
      <c r="AE229" s="148">
        <v>3.90625E-3</v>
      </c>
      <c r="AF229" s="148">
        <v>0.953125</v>
      </c>
      <c r="AG229" s="148">
        <v>42.818066186240017</v>
      </c>
      <c r="AS229" s="148">
        <v>3.90625E-3</v>
      </c>
      <c r="AT229" s="148">
        <v>0.9384765625</v>
      </c>
      <c r="AU229" s="148">
        <v>10240</v>
      </c>
      <c r="BG229" s="148">
        <v>3.90625E-3</v>
      </c>
      <c r="BH229" s="148">
        <v>0.95703125</v>
      </c>
      <c r="BI229" s="148">
        <v>77.609755869184028</v>
      </c>
      <c r="BU229" s="148">
        <v>3.90625E-3</v>
      </c>
      <c r="BV229" s="148">
        <v>0.9384765625</v>
      </c>
      <c r="BW229" s="148">
        <v>17522</v>
      </c>
      <c r="CI229" s="148">
        <v>3.90625E-3</v>
      </c>
      <c r="CJ229" s="148">
        <v>0.953125</v>
      </c>
      <c r="CK229" s="148">
        <v>104.5362944</v>
      </c>
    </row>
    <row r="230" spans="31:89" x14ac:dyDescent="0.2">
      <c r="AE230" s="148">
        <v>7.8125E-3</v>
      </c>
      <c r="AF230" s="148">
        <v>0.9609375</v>
      </c>
      <c r="AG230" s="148">
        <v>43.505558050133345</v>
      </c>
      <c r="AS230" s="148">
        <v>3.90625E-3</v>
      </c>
      <c r="AT230" s="148">
        <v>0.9423828125</v>
      </c>
      <c r="AU230" s="148">
        <v>10240</v>
      </c>
      <c r="BG230" s="148">
        <v>3.90625E-3</v>
      </c>
      <c r="BH230" s="148">
        <v>0.9609375</v>
      </c>
      <c r="BI230" s="148">
        <v>80.916888180053348</v>
      </c>
      <c r="BU230" s="148">
        <v>3.90625E-3</v>
      </c>
      <c r="BV230" s="148">
        <v>0.9423828125</v>
      </c>
      <c r="BW230" s="148">
        <v>17522</v>
      </c>
      <c r="CI230" s="148">
        <v>7.8125E-3</v>
      </c>
      <c r="CJ230" s="148">
        <v>0.9609375</v>
      </c>
      <c r="CK230" s="148">
        <v>106.21474133333332</v>
      </c>
    </row>
    <row r="231" spans="31:89" x14ac:dyDescent="0.2">
      <c r="AE231" s="148">
        <v>1.953125E-3</v>
      </c>
      <c r="AF231" s="148">
        <v>0.962890625</v>
      </c>
      <c r="AG231" s="148">
        <v>43.644026006186678</v>
      </c>
      <c r="AS231" s="148">
        <v>3.90625E-3</v>
      </c>
      <c r="AT231" s="148">
        <v>0.9462890625</v>
      </c>
      <c r="AU231" s="148">
        <v>10240</v>
      </c>
      <c r="BG231" s="148">
        <v>9.765625E-4</v>
      </c>
      <c r="BH231" s="148">
        <v>0.9619140625</v>
      </c>
      <c r="BI231" s="148">
        <v>82.633602367488038</v>
      </c>
      <c r="BU231" s="148">
        <v>3.90625E-3</v>
      </c>
      <c r="BV231" s="148">
        <v>0.9462890625</v>
      </c>
      <c r="BW231" s="148">
        <v>17522</v>
      </c>
      <c r="CI231" s="148">
        <v>1.953125E-3</v>
      </c>
      <c r="CJ231" s="148">
        <v>0.962890625</v>
      </c>
      <c r="CK231" s="148">
        <v>106.55279786666667</v>
      </c>
    </row>
    <row r="232" spans="31:89" x14ac:dyDescent="0.2">
      <c r="AE232" s="148">
        <v>3.90625E-3</v>
      </c>
      <c r="AF232" s="148">
        <v>0.966796875</v>
      </c>
      <c r="AG232" s="148">
        <v>48.823152585386673</v>
      </c>
      <c r="AS232" s="148">
        <v>7.8125E-3</v>
      </c>
      <c r="AT232" s="148">
        <v>0.9541015625</v>
      </c>
      <c r="AU232" s="148">
        <v>10240</v>
      </c>
      <c r="BG232" s="148">
        <v>9.765625E-4</v>
      </c>
      <c r="BH232" s="148">
        <v>0.962890625</v>
      </c>
      <c r="BI232" s="148">
        <v>86.46565770035204</v>
      </c>
      <c r="BU232" s="148">
        <v>7.8125E-3</v>
      </c>
      <c r="BV232" s="148">
        <v>0.9541015625</v>
      </c>
      <c r="BW232" s="148">
        <v>17522</v>
      </c>
      <c r="CI232" s="148">
        <v>3.90625E-3</v>
      </c>
      <c r="CJ232" s="148">
        <v>0.966796875</v>
      </c>
      <c r="CK232" s="148">
        <v>119.19714986666665</v>
      </c>
    </row>
    <row r="233" spans="31:89" x14ac:dyDescent="0.2">
      <c r="AE233" s="148">
        <v>9.765625E-4</v>
      </c>
      <c r="AF233" s="148">
        <v>0.9677734375</v>
      </c>
      <c r="AG233" s="148">
        <v>49.081007210496033</v>
      </c>
      <c r="AS233" s="148">
        <v>3.90625E-3</v>
      </c>
      <c r="AT233" s="148">
        <v>0.9580078125</v>
      </c>
      <c r="AU233" s="148">
        <v>10240</v>
      </c>
      <c r="BG233" s="148">
        <v>1.953125E-3</v>
      </c>
      <c r="BH233" s="148">
        <v>0.96484375</v>
      </c>
      <c r="BI233" s="148">
        <v>87.081679585280014</v>
      </c>
      <c r="BU233" s="148">
        <v>3.90625E-3</v>
      </c>
      <c r="BV233" s="148">
        <v>0.9580078125</v>
      </c>
      <c r="BW233" s="148">
        <v>17522</v>
      </c>
      <c r="CI233" s="148">
        <v>9.765625E-4</v>
      </c>
      <c r="CJ233" s="148">
        <v>0.9677734375</v>
      </c>
      <c r="CK233" s="148">
        <v>119.82667776000004</v>
      </c>
    </row>
    <row r="234" spans="31:89" x14ac:dyDescent="0.2">
      <c r="AE234" s="148">
        <v>3.90625E-3</v>
      </c>
      <c r="AF234" s="148">
        <v>0.9716796875</v>
      </c>
      <c r="AG234" s="148">
        <v>49.954410550613339</v>
      </c>
      <c r="AS234" s="148">
        <v>7.8125E-3</v>
      </c>
      <c r="AT234" s="148">
        <v>0.9658203125</v>
      </c>
      <c r="AU234" s="148">
        <v>10240</v>
      </c>
      <c r="BG234" s="148">
        <v>3.90625E-3</v>
      </c>
      <c r="BH234" s="148">
        <v>0.96875</v>
      </c>
      <c r="BI234" s="148">
        <v>87.081679585280028</v>
      </c>
      <c r="BU234" s="148">
        <v>7.8125E-3</v>
      </c>
      <c r="BV234" s="148">
        <v>0.9658203125</v>
      </c>
      <c r="BW234" s="148">
        <v>17522</v>
      </c>
      <c r="CI234" s="148">
        <v>3.90625E-3</v>
      </c>
      <c r="CJ234" s="148">
        <v>0.9716796875</v>
      </c>
      <c r="CK234" s="148">
        <v>121.95901013333331</v>
      </c>
    </row>
    <row r="235" spans="31:89" x14ac:dyDescent="0.2">
      <c r="AE235" s="148">
        <v>1.953125E-3</v>
      </c>
      <c r="AF235" s="148">
        <v>0.9736328125</v>
      </c>
      <c r="AG235" s="148">
        <v>52.206669660160017</v>
      </c>
      <c r="AS235" s="148">
        <v>7.8125E-3</v>
      </c>
      <c r="AT235" s="148">
        <v>0.9736328125</v>
      </c>
      <c r="AU235" s="148">
        <v>10240</v>
      </c>
      <c r="BG235" s="148">
        <v>1.953125E-3</v>
      </c>
      <c r="BH235" s="148">
        <v>0.970703125</v>
      </c>
      <c r="BI235" s="148">
        <v>87.461154652160019</v>
      </c>
      <c r="BU235" s="148">
        <v>7.8125E-3</v>
      </c>
      <c r="BV235" s="148">
        <v>0.9736328125</v>
      </c>
      <c r="BW235" s="148">
        <v>17522</v>
      </c>
      <c r="CI235" s="148">
        <v>1.953125E-3</v>
      </c>
      <c r="CJ235" s="148">
        <v>0.9736328125</v>
      </c>
      <c r="CK235" s="148">
        <v>127.45768959999999</v>
      </c>
    </row>
    <row r="236" spans="31:89" x14ac:dyDescent="0.2">
      <c r="AE236" s="148">
        <v>3.90625E-3</v>
      </c>
      <c r="AF236" s="148">
        <v>0.9775390625</v>
      </c>
      <c r="AG236" s="148">
        <v>52.206669660160024</v>
      </c>
      <c r="AS236" s="148">
        <v>1.953125E-3</v>
      </c>
      <c r="AT236" s="148">
        <v>0.9755859375</v>
      </c>
      <c r="AU236" s="148">
        <v>10240</v>
      </c>
      <c r="BG236" s="148">
        <v>3.90625E-3</v>
      </c>
      <c r="BH236" s="148">
        <v>0.974609375</v>
      </c>
      <c r="BI236" s="148">
        <v>87.461154652160062</v>
      </c>
      <c r="BU236" s="148">
        <v>1.953125E-3</v>
      </c>
      <c r="BV236" s="148">
        <v>0.9755859375</v>
      </c>
      <c r="BW236" s="148">
        <v>17522</v>
      </c>
      <c r="CI236" s="148">
        <v>3.90625E-3</v>
      </c>
      <c r="CJ236" s="148">
        <v>0.9775390625</v>
      </c>
      <c r="CK236" s="148">
        <v>127.45768960000002</v>
      </c>
    </row>
    <row r="237" spans="31:89" x14ac:dyDescent="0.2">
      <c r="AE237" s="148">
        <v>9.765625E-4</v>
      </c>
      <c r="AF237" s="148">
        <v>0.978515625</v>
      </c>
      <c r="AG237" s="148">
        <v>52.372831207424021</v>
      </c>
      <c r="AS237" s="148">
        <v>3.90625E-3</v>
      </c>
      <c r="AT237" s="148">
        <v>0.9794921875</v>
      </c>
      <c r="AU237" s="148">
        <v>10240</v>
      </c>
      <c r="BG237" s="148">
        <v>1.953125E-3</v>
      </c>
      <c r="BH237" s="148">
        <v>0.9765625</v>
      </c>
      <c r="BI237" s="148">
        <v>97.100265816063995</v>
      </c>
      <c r="BU237" s="148">
        <v>3.90625E-3</v>
      </c>
      <c r="BV237" s="148">
        <v>0.9794921875</v>
      </c>
      <c r="BW237" s="148">
        <v>17522</v>
      </c>
      <c r="CI237" s="148">
        <v>9.765625E-4</v>
      </c>
      <c r="CJ237" s="148">
        <v>0.978515625</v>
      </c>
      <c r="CK237" s="148">
        <v>127.86335744000002</v>
      </c>
    </row>
    <row r="238" spans="31:89" x14ac:dyDescent="0.2">
      <c r="AE238" s="148">
        <v>1.953125E-3</v>
      </c>
      <c r="AF238" s="148">
        <v>0.98046875</v>
      </c>
      <c r="AG238" s="148">
        <v>58.429770488685719</v>
      </c>
      <c r="AS238" s="148">
        <v>1.953125E-3</v>
      </c>
      <c r="AT238" s="148">
        <v>0.9814453125</v>
      </c>
      <c r="AU238" s="148">
        <v>10240</v>
      </c>
      <c r="BG238" s="148">
        <v>1.953125E-3</v>
      </c>
      <c r="BH238" s="148">
        <v>0.978515625</v>
      </c>
      <c r="BI238" s="148">
        <v>98.373336151771454</v>
      </c>
      <c r="BU238" s="148">
        <v>1.953125E-3</v>
      </c>
      <c r="BV238" s="148">
        <v>0.9814453125</v>
      </c>
      <c r="BW238" s="148">
        <v>17522</v>
      </c>
      <c r="CI238" s="148">
        <v>1.953125E-3</v>
      </c>
      <c r="CJ238" s="148">
        <v>0.98046875</v>
      </c>
      <c r="CK238" s="148">
        <v>142.65080685714281</v>
      </c>
    </row>
    <row r="239" spans="31:89" x14ac:dyDescent="0.2">
      <c r="AE239" s="148">
        <v>1.953125E-3</v>
      </c>
      <c r="AF239" s="148">
        <v>0.982421875</v>
      </c>
      <c r="AG239" s="148">
        <v>58.587783102464009</v>
      </c>
      <c r="AS239" s="148">
        <v>9.765625E-4</v>
      </c>
      <c r="AT239" s="148">
        <v>0.982421875</v>
      </c>
      <c r="AU239" s="148">
        <v>10240</v>
      </c>
      <c r="BG239" s="148">
        <v>3.90625E-3</v>
      </c>
      <c r="BH239" s="148">
        <v>0.982421875</v>
      </c>
      <c r="BI239" s="148">
        <v>101.59529284949336</v>
      </c>
      <c r="BU239" s="148">
        <v>9.765625E-4</v>
      </c>
      <c r="BV239" s="148">
        <v>0.982421875</v>
      </c>
      <c r="BW239" s="148">
        <v>17522</v>
      </c>
      <c r="CI239" s="148">
        <v>1.953125E-3</v>
      </c>
      <c r="CJ239" s="148">
        <v>0.982421875</v>
      </c>
      <c r="CK239" s="148">
        <v>143.03657983999997</v>
      </c>
    </row>
    <row r="240" spans="31:89" x14ac:dyDescent="0.2">
      <c r="AE240" s="148">
        <v>1.953125E-3</v>
      </c>
      <c r="AF240" s="148">
        <v>0.984375</v>
      </c>
      <c r="AG240" s="148">
        <v>59.945292660736037</v>
      </c>
      <c r="AS240" s="148">
        <v>3.90625E-3</v>
      </c>
      <c r="AT240" s="148">
        <v>0.986328125</v>
      </c>
      <c r="AU240" s="148">
        <v>10240</v>
      </c>
      <c r="BG240" s="148">
        <v>3.90625E-3</v>
      </c>
      <c r="BH240" s="148">
        <v>0.986328125</v>
      </c>
      <c r="BI240" s="148">
        <v>102.03801376085336</v>
      </c>
      <c r="BU240" s="148">
        <v>3.90625E-3</v>
      </c>
      <c r="BV240" s="148">
        <v>0.986328125</v>
      </c>
      <c r="BW240" s="148">
        <v>17522</v>
      </c>
      <c r="CI240" s="148">
        <v>1.953125E-3</v>
      </c>
      <c r="CJ240" s="148">
        <v>0.984375</v>
      </c>
      <c r="CK240" s="148">
        <v>146.35081216000003</v>
      </c>
    </row>
    <row r="241" spans="31:89" x14ac:dyDescent="0.2">
      <c r="AE241" s="148">
        <v>3.90625E-3</v>
      </c>
      <c r="AF241" s="148">
        <v>0.98828125</v>
      </c>
      <c r="AG241" s="148">
        <v>60.907781270186682</v>
      </c>
      <c r="AS241" s="148">
        <v>9.765625E-4</v>
      </c>
      <c r="AT241" s="148">
        <v>0.9873046875</v>
      </c>
      <c r="AU241" s="148">
        <v>10240</v>
      </c>
      <c r="BG241" s="148">
        <v>3.90625E-3</v>
      </c>
      <c r="BH241" s="148">
        <v>0.990234375</v>
      </c>
      <c r="BI241" s="148">
        <v>114.76889217706668</v>
      </c>
      <c r="BU241" s="148">
        <v>9.765625E-4</v>
      </c>
      <c r="BV241" s="148">
        <v>0.9873046875</v>
      </c>
      <c r="BW241" s="148">
        <v>17522</v>
      </c>
      <c r="CI241" s="148">
        <v>3.90625E-3</v>
      </c>
      <c r="CJ241" s="148">
        <v>0.98828125</v>
      </c>
      <c r="CK241" s="148">
        <v>148.70063786666665</v>
      </c>
    </row>
    <row r="242" spans="31:89" x14ac:dyDescent="0.2">
      <c r="AE242" s="148">
        <v>3.90625E-3</v>
      </c>
      <c r="AF242" s="148">
        <v>0.9921875</v>
      </c>
      <c r="AG242" s="148">
        <v>68.168065570133336</v>
      </c>
      <c r="AS242" s="148">
        <v>1.953125E-3</v>
      </c>
      <c r="AT242" s="148">
        <v>0.9892578125</v>
      </c>
      <c r="AU242" s="148">
        <v>10240</v>
      </c>
      <c r="BG242" s="148">
        <v>1.953125E-3</v>
      </c>
      <c r="BH242" s="148">
        <v>0.9921875</v>
      </c>
      <c r="BI242" s="148">
        <v>121.91435141939203</v>
      </c>
      <c r="BU242" s="148">
        <v>1.953125E-3</v>
      </c>
      <c r="BV242" s="148">
        <v>0.9892578125</v>
      </c>
      <c r="BW242" s="148">
        <v>17522</v>
      </c>
      <c r="CI242" s="148">
        <v>3.90625E-3</v>
      </c>
      <c r="CJ242" s="148">
        <v>0.9921875</v>
      </c>
      <c r="CK242" s="148">
        <v>166.4259413333333</v>
      </c>
    </row>
    <row r="243" spans="31:89" x14ac:dyDescent="0.2">
      <c r="AE243" s="148">
        <v>1.953125E-3</v>
      </c>
      <c r="AF243" s="148">
        <v>0.994140625</v>
      </c>
      <c r="AG243" s="148">
        <v>73.089337524224021</v>
      </c>
      <c r="AS243" s="148">
        <v>3.90625E-3</v>
      </c>
      <c r="AT243" s="148">
        <v>0.9931640625</v>
      </c>
      <c r="AU243" s="148">
        <v>10240</v>
      </c>
      <c r="BG243" s="148">
        <v>1.953125E-3</v>
      </c>
      <c r="BH243" s="148">
        <v>0.994140625</v>
      </c>
      <c r="BI243" s="148">
        <v>122.44561651302405</v>
      </c>
      <c r="BU243" s="148">
        <v>3.90625E-3</v>
      </c>
      <c r="BV243" s="148">
        <v>0.9931640625</v>
      </c>
      <c r="BW243" s="148">
        <v>17522</v>
      </c>
      <c r="CI243" s="148">
        <v>1.953125E-3</v>
      </c>
      <c r="CJ243" s="148">
        <v>0.994140625</v>
      </c>
      <c r="CK243" s="148">
        <v>178.44076544000001</v>
      </c>
    </row>
    <row r="244" spans="31:89" x14ac:dyDescent="0.2">
      <c r="AE244" s="148">
        <v>9.765625E-4</v>
      </c>
      <c r="AF244" s="148">
        <v>0.9951171875</v>
      </c>
      <c r="AG244" s="148">
        <v>81.801678684160009</v>
      </c>
      <c r="AS244" s="148">
        <v>1.953125E-3</v>
      </c>
      <c r="AT244" s="148">
        <v>0.9951171875</v>
      </c>
      <c r="AU244" s="148">
        <v>10240</v>
      </c>
      <c r="BG244" s="148">
        <v>9.765625E-4</v>
      </c>
      <c r="BH244" s="148">
        <v>0.9951171875</v>
      </c>
      <c r="BI244" s="148">
        <v>137.72267061248002</v>
      </c>
      <c r="BU244" s="148">
        <v>1.953125E-3</v>
      </c>
      <c r="BV244" s="148">
        <v>0.9951171875</v>
      </c>
      <c r="BW244" s="148">
        <v>17522</v>
      </c>
      <c r="CI244" s="148">
        <v>9.765625E-4</v>
      </c>
      <c r="CJ244" s="148">
        <v>0.9951171875</v>
      </c>
      <c r="CK244" s="148">
        <v>199.71112959999996</v>
      </c>
    </row>
    <row r="245" spans="31:89" x14ac:dyDescent="0.2">
      <c r="AE245" s="148">
        <v>1.953125E-3</v>
      </c>
      <c r="AF245" s="148">
        <v>0.9970703125</v>
      </c>
      <c r="AG245" s="148">
        <v>81.801678684160038</v>
      </c>
      <c r="AS245" s="148">
        <v>1.953125E-3</v>
      </c>
      <c r="AT245" s="148">
        <v>0.9970703125</v>
      </c>
      <c r="AU245" s="148">
        <v>10240</v>
      </c>
      <c r="BG245" s="148">
        <v>1.953125E-3</v>
      </c>
      <c r="BH245" s="148">
        <v>0.9970703125</v>
      </c>
      <c r="BI245" s="148">
        <v>137.72267061248004</v>
      </c>
      <c r="BU245" s="148">
        <v>1.953125E-3</v>
      </c>
      <c r="BV245" s="148">
        <v>0.9970703125</v>
      </c>
      <c r="BW245" s="148">
        <v>17522</v>
      </c>
      <c r="CI245" s="148">
        <v>1.953125E-3</v>
      </c>
      <c r="CJ245" s="148">
        <v>0.9970703125</v>
      </c>
      <c r="CK245" s="148">
        <v>199.71112960000002</v>
      </c>
    </row>
    <row r="246" spans="31:89" x14ac:dyDescent="0.2">
      <c r="AE246" s="148">
        <v>1.953125E-3</v>
      </c>
      <c r="AF246" s="148">
        <v>0.9990234375</v>
      </c>
      <c r="AG246" s="148">
        <v>95.435291798186682</v>
      </c>
      <c r="AS246" s="148">
        <v>1.953125E-3</v>
      </c>
      <c r="AT246" s="148">
        <v>0.9990234375</v>
      </c>
      <c r="AU246" s="148">
        <v>10240</v>
      </c>
      <c r="BG246" s="148">
        <v>1.953125E-3</v>
      </c>
      <c r="BH246" s="148">
        <v>0.9990234375</v>
      </c>
      <c r="BI246" s="148">
        <v>160.67644904789336</v>
      </c>
      <c r="BU246" s="148">
        <v>1.953125E-3</v>
      </c>
      <c r="BV246" s="148">
        <v>0.9990234375</v>
      </c>
      <c r="BW246" s="148">
        <v>17522</v>
      </c>
      <c r="CI246" s="148">
        <v>1.953125E-3</v>
      </c>
      <c r="CJ246" s="148">
        <v>0.9990234375</v>
      </c>
      <c r="CK246" s="148">
        <v>232.99631786666663</v>
      </c>
    </row>
    <row r="247" spans="31:89" x14ac:dyDescent="0.2">
      <c r="AE247" s="148">
        <v>9.765625E-4</v>
      </c>
      <c r="AF247" s="148">
        <v>1</v>
      </c>
      <c r="AG247" s="148">
        <v>114.52235015782404</v>
      </c>
      <c r="AS247" s="148">
        <v>9.765625E-4</v>
      </c>
      <c r="AT247" s="148">
        <v>1</v>
      </c>
      <c r="AU247" s="148">
        <v>10240</v>
      </c>
      <c r="BG247" s="148">
        <v>9.765625E-4</v>
      </c>
      <c r="BH247" s="148">
        <v>1</v>
      </c>
      <c r="BI247" s="148">
        <v>192.81173885747208</v>
      </c>
      <c r="BU247" s="148">
        <v>9.765625E-4</v>
      </c>
      <c r="BV247" s="148">
        <v>1</v>
      </c>
      <c r="BW247" s="148">
        <v>17522</v>
      </c>
      <c r="CI247" s="148">
        <v>9.765625E-4</v>
      </c>
      <c r="CJ247" s="148">
        <v>1</v>
      </c>
      <c r="CK247" s="148">
        <v>279.59558143999999</v>
      </c>
    </row>
  </sheetData>
  <mergeCells count="20">
    <mergeCell ref="EQ2:FC2"/>
    <mergeCell ref="FA3:FC3"/>
    <mergeCell ref="CM2:CY2"/>
    <mergeCell ref="CW3:CY3"/>
    <mergeCell ref="DA2:DM2"/>
    <mergeCell ref="DK3:DM3"/>
    <mergeCell ref="DO2:EA2"/>
    <mergeCell ref="DY3:EA3"/>
    <mergeCell ref="BK2:BW2"/>
    <mergeCell ref="BU3:BW3"/>
    <mergeCell ref="BY2:CK2"/>
    <mergeCell ref="CI3:CK3"/>
    <mergeCell ref="EC2:EO2"/>
    <mergeCell ref="EM3:EO3"/>
    <mergeCell ref="U2:AG2"/>
    <mergeCell ref="AE3:AG3"/>
    <mergeCell ref="AI2:AU2"/>
    <mergeCell ref="AS3:AU3"/>
    <mergeCell ref="AW2:BI2"/>
    <mergeCell ref="BG3:BI3"/>
  </mergeCells>
  <dataValidations count="1">
    <dataValidation type="list" allowBlank="1" showInputMessage="1" showErrorMessage="1" sqref="C2" xr:uid="{8051957F-CA3D-9C42-8EC7-46E3064F9816}">
      <formula1>$S$3:$S$12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UpdateTornado">
                <anchor moveWithCells="1" sizeWithCells="1">
                  <from>
                    <xdr:col>0</xdr:col>
                    <xdr:colOff>939800</xdr:colOff>
                    <xdr:row>2</xdr:row>
                    <xdr:rowOff>25400</xdr:rowOff>
                  </from>
                  <to>
                    <xdr:col>2</xdr:col>
                    <xdr:colOff>1308100</xdr:colOff>
                    <xdr:row>4</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6E231A-9583-D341-8927-2A2071ADF682}">
  <sheetPr codeName="Sheet6"/>
  <dimension ref="C2:T250"/>
  <sheetViews>
    <sheetView workbookViewId="0">
      <selection activeCell="S7" sqref="S7"/>
    </sheetView>
  </sheetViews>
  <sheetFormatPr baseColWidth="10" defaultRowHeight="14" x14ac:dyDescent="0.2"/>
  <cols>
    <col min="1" max="1" width="10.7109375" style="145"/>
    <col min="2" max="3" width="14.7109375" style="145" bestFit="1" customWidth="1"/>
    <col min="4" max="13" width="10.7109375" style="145"/>
    <col min="14" max="14" width="12.5703125" style="145" bestFit="1" customWidth="1"/>
    <col min="15" max="15" width="10.7109375" style="145"/>
    <col min="16" max="16" width="12" style="145" bestFit="1" customWidth="1"/>
    <col min="17" max="18" width="10.7109375" style="145"/>
    <col min="19" max="19" width="13" style="145" bestFit="1" customWidth="1"/>
    <col min="20" max="16384" width="10.7109375" style="145"/>
  </cols>
  <sheetData>
    <row r="2" spans="3:20" ht="19" x14ac:dyDescent="0.25">
      <c r="C2" s="218" t="s">
        <v>144</v>
      </c>
      <c r="D2" s="219">
        <f>SUMPRODUCT(R6:R250,T6:T250)</f>
        <v>15.02594153618289</v>
      </c>
    </row>
    <row r="3" spans="3:20" x14ac:dyDescent="0.2">
      <c r="M3" s="211" t="s">
        <v>132</v>
      </c>
    </row>
    <row r="5" spans="3:20" x14ac:dyDescent="0.2">
      <c r="M5" s="332" t="s">
        <v>120</v>
      </c>
      <c r="N5" s="333"/>
      <c r="O5" s="334"/>
      <c r="P5" s="212"/>
      <c r="R5" s="159" t="s">
        <v>118</v>
      </c>
      <c r="S5" s="215" t="s">
        <v>119</v>
      </c>
      <c r="T5" s="216" t="s">
        <v>9</v>
      </c>
    </row>
    <row r="6" spans="3:20" x14ac:dyDescent="0.2">
      <c r="M6" s="240" t="s">
        <v>118</v>
      </c>
      <c r="N6" s="241" t="s">
        <v>119</v>
      </c>
      <c r="O6" s="242" t="s">
        <v>9</v>
      </c>
      <c r="P6" s="214" t="s">
        <v>143</v>
      </c>
      <c r="R6" s="145">
        <v>0</v>
      </c>
      <c r="S6" s="169">
        <v>0</v>
      </c>
      <c r="T6" s="217">
        <v>0</v>
      </c>
    </row>
    <row r="7" spans="3:20" x14ac:dyDescent="0.2">
      <c r="M7" s="243">
        <f>Tornado!CI5</f>
        <v>9.765625E-4</v>
      </c>
      <c r="N7" s="244">
        <f>Tornado!CJ5</f>
        <v>9.765625E-4</v>
      </c>
      <c r="O7" s="213">
        <f>Tornado!CK5</f>
        <v>1.7613531428571421</v>
      </c>
      <c r="P7" s="148">
        <f t="shared" ref="P7:P70" si="0">pCrossChasm_total * N7</f>
        <v>4.0000000000000013E-4</v>
      </c>
      <c r="R7" s="145">
        <f>S7-S6</f>
        <v>0.59039999999999981</v>
      </c>
      <c r="S7" s="146">
        <f>1-pCrossChasm_total</f>
        <v>0.59039999999999981</v>
      </c>
      <c r="T7" s="148">
        <v>0</v>
      </c>
    </row>
    <row r="8" spans="3:20" x14ac:dyDescent="0.2">
      <c r="M8" s="146">
        <f>Tornado!CI6</f>
        <v>1.953125E-3</v>
      </c>
      <c r="N8" s="147">
        <f>Tornado!CJ6</f>
        <v>2.9296875E-3</v>
      </c>
      <c r="O8" s="148">
        <f>Tornado!CK6</f>
        <v>2.0549119999999994</v>
      </c>
      <c r="P8" s="148">
        <f t="shared" si="0"/>
        <v>1.2000000000000003E-3</v>
      </c>
      <c r="R8" s="145">
        <f t="shared" ref="R8:R71" si="1">S8-S7</f>
        <v>3.9999999999995595E-4</v>
      </c>
      <c r="S8" s="146">
        <f>P7+$S$7</f>
        <v>0.59079999999999977</v>
      </c>
      <c r="T8" s="148">
        <f>O7</f>
        <v>1.7613531428571421</v>
      </c>
    </row>
    <row r="9" spans="3:20" x14ac:dyDescent="0.2">
      <c r="M9" s="146">
        <f>Tornado!CI7</f>
        <v>1.953125E-3</v>
      </c>
      <c r="N9" s="147">
        <f>Tornado!CJ7</f>
        <v>4.8828125E-3</v>
      </c>
      <c r="O9" s="148">
        <f>Tornado!CK7</f>
        <v>2.3661531428571423</v>
      </c>
      <c r="P9" s="148">
        <f t="shared" si="0"/>
        <v>2.0000000000000005E-3</v>
      </c>
      <c r="R9" s="145">
        <f t="shared" si="1"/>
        <v>8.0000000000002292E-4</v>
      </c>
      <c r="S9" s="146">
        <f t="shared" ref="S9:S72" si="2">P8+$S$7</f>
        <v>0.59159999999999979</v>
      </c>
      <c r="T9" s="148">
        <f t="shared" ref="T9:T39" si="3">O8</f>
        <v>2.0549119999999994</v>
      </c>
    </row>
    <row r="10" spans="3:20" x14ac:dyDescent="0.2">
      <c r="M10" s="146">
        <f>Tornado!CI8</f>
        <v>9.765625E-4</v>
      </c>
      <c r="N10" s="147">
        <f>Tornado!CJ8</f>
        <v>5.859375E-3</v>
      </c>
      <c r="O10" s="148">
        <f>Tornado!CK8</f>
        <v>2.4658943999999998</v>
      </c>
      <c r="P10" s="148">
        <f t="shared" si="0"/>
        <v>2.4000000000000007E-3</v>
      </c>
      <c r="R10" s="145">
        <f t="shared" si="1"/>
        <v>8.0000000000002292E-4</v>
      </c>
      <c r="S10" s="146">
        <f t="shared" si="2"/>
        <v>0.59239999999999982</v>
      </c>
      <c r="T10" s="148">
        <f t="shared" si="3"/>
        <v>2.3661531428571423</v>
      </c>
    </row>
    <row r="11" spans="3:20" x14ac:dyDescent="0.2">
      <c r="M11" s="146">
        <f>Tornado!CI9</f>
        <v>3.90625E-3</v>
      </c>
      <c r="N11" s="147">
        <f>Tornado!CJ9</f>
        <v>9.765625E-3</v>
      </c>
      <c r="O11" s="148">
        <f>Tornado!CK9</f>
        <v>2.7605119999999994</v>
      </c>
      <c r="P11" s="148">
        <f t="shared" si="0"/>
        <v>4.000000000000001E-3</v>
      </c>
      <c r="R11" s="145">
        <f t="shared" si="1"/>
        <v>3.9999999999995595E-4</v>
      </c>
      <c r="S11" s="146">
        <f t="shared" si="2"/>
        <v>0.59279999999999977</v>
      </c>
      <c r="T11" s="148">
        <f t="shared" si="3"/>
        <v>2.4658943999999998</v>
      </c>
    </row>
    <row r="12" spans="3:20" x14ac:dyDescent="0.2">
      <c r="M12" s="146">
        <f>Tornado!CI10</f>
        <v>1.953125E-3</v>
      </c>
      <c r="N12" s="147">
        <f>Tornado!CJ10</f>
        <v>1.171875E-2</v>
      </c>
      <c r="O12" s="148">
        <f>Tornado!CK10</f>
        <v>2.9355885714285708</v>
      </c>
      <c r="P12" s="148">
        <f t="shared" si="0"/>
        <v>4.8000000000000013E-3</v>
      </c>
      <c r="R12" s="145">
        <f t="shared" si="1"/>
        <v>1.6000000000000458E-3</v>
      </c>
      <c r="S12" s="146">
        <f t="shared" si="2"/>
        <v>0.59439999999999982</v>
      </c>
      <c r="T12" s="148">
        <f t="shared" si="3"/>
        <v>2.7605119999999994</v>
      </c>
    </row>
    <row r="13" spans="3:20" x14ac:dyDescent="0.2">
      <c r="M13" s="146">
        <f>Tornado!CI11</f>
        <v>1.953125E-3</v>
      </c>
      <c r="N13" s="147">
        <f>Tornado!CJ11</f>
        <v>1.3671875E-2</v>
      </c>
      <c r="O13" s="148">
        <f>Tornado!CK11</f>
        <v>3.2128731428571418</v>
      </c>
      <c r="P13" s="148">
        <f t="shared" si="0"/>
        <v>5.6000000000000017E-3</v>
      </c>
      <c r="R13" s="145">
        <f t="shared" si="1"/>
        <v>8.0000000000002292E-4</v>
      </c>
      <c r="S13" s="146">
        <f t="shared" si="2"/>
        <v>0.59519999999999984</v>
      </c>
      <c r="T13" s="148">
        <f t="shared" si="3"/>
        <v>2.9355885714285708</v>
      </c>
    </row>
    <row r="14" spans="3:20" x14ac:dyDescent="0.2">
      <c r="M14" s="146">
        <f>Tornado!CI12</f>
        <v>1.953125E-3</v>
      </c>
      <c r="N14" s="147">
        <f>Tornado!CJ12</f>
        <v>1.5625E-2</v>
      </c>
      <c r="O14" s="148">
        <f>Tornado!CK12</f>
        <v>3.3126143999999993</v>
      </c>
      <c r="P14" s="148">
        <f t="shared" si="0"/>
        <v>6.400000000000002E-3</v>
      </c>
      <c r="R14" s="145">
        <f t="shared" si="1"/>
        <v>8.0000000000002292E-4</v>
      </c>
      <c r="S14" s="146">
        <f t="shared" si="2"/>
        <v>0.59599999999999986</v>
      </c>
      <c r="T14" s="148">
        <f t="shared" si="3"/>
        <v>3.2128731428571418</v>
      </c>
    </row>
    <row r="15" spans="3:20" x14ac:dyDescent="0.2">
      <c r="M15" s="146">
        <f>Tornado!CI13</f>
        <v>3.90625E-3</v>
      </c>
      <c r="N15" s="147">
        <f>Tornado!CJ13</f>
        <v>1.953125E-2</v>
      </c>
      <c r="O15" s="148">
        <f>Tornado!CK13</f>
        <v>3.4248533333333326</v>
      </c>
      <c r="P15" s="148">
        <f t="shared" si="0"/>
        <v>8.0000000000000019E-3</v>
      </c>
      <c r="R15" s="145">
        <f t="shared" si="1"/>
        <v>7.9999999999991189E-4</v>
      </c>
      <c r="S15" s="146">
        <f t="shared" si="2"/>
        <v>0.59679999999999978</v>
      </c>
      <c r="T15" s="148">
        <f t="shared" si="3"/>
        <v>3.3126143999999993</v>
      </c>
    </row>
    <row r="16" spans="3:20" x14ac:dyDescent="0.2">
      <c r="M16" s="146">
        <f>Tornado!CI14</f>
        <v>9.765625E-4</v>
      </c>
      <c r="N16" s="147">
        <f>Tornado!CJ14</f>
        <v>2.05078125E-2</v>
      </c>
      <c r="O16" s="148">
        <f>Tornado!CK14</f>
        <v>3.5757531428571414</v>
      </c>
      <c r="P16" s="148">
        <f t="shared" si="0"/>
        <v>8.400000000000003E-3</v>
      </c>
      <c r="R16" s="145">
        <f t="shared" si="1"/>
        <v>1.6000000000000458E-3</v>
      </c>
      <c r="S16" s="146">
        <f t="shared" si="2"/>
        <v>0.59839999999999982</v>
      </c>
      <c r="T16" s="148">
        <f t="shared" si="3"/>
        <v>3.4248533333333326</v>
      </c>
    </row>
    <row r="17" spans="13:20" x14ac:dyDescent="0.2">
      <c r="M17" s="146">
        <f>Tornado!CI15</f>
        <v>3.90625E-3</v>
      </c>
      <c r="N17" s="147">
        <f>Tornado!CJ15</f>
        <v>2.44140625E-2</v>
      </c>
      <c r="O17" s="148">
        <f>Tornado!CK15</f>
        <v>3.7483519999999992</v>
      </c>
      <c r="P17" s="148">
        <f t="shared" si="0"/>
        <v>1.0000000000000004E-2</v>
      </c>
      <c r="R17" s="145">
        <f t="shared" si="1"/>
        <v>3.9999999999995595E-4</v>
      </c>
      <c r="S17" s="146">
        <f t="shared" si="2"/>
        <v>0.59879999999999978</v>
      </c>
      <c r="T17" s="148">
        <f t="shared" si="3"/>
        <v>3.5757531428571414</v>
      </c>
    </row>
    <row r="18" spans="13:20" x14ac:dyDescent="0.2">
      <c r="M18" s="146">
        <f>Tornado!CI16</f>
        <v>3.90625E-3</v>
      </c>
      <c r="N18" s="147">
        <f>Tornado!CJ16</f>
        <v>2.83203125E-2</v>
      </c>
      <c r="O18" s="148">
        <f>Tornado!CK16</f>
        <v>3.9435885714285703</v>
      </c>
      <c r="P18" s="148">
        <f t="shared" si="0"/>
        <v>1.1600000000000004E-2</v>
      </c>
      <c r="R18" s="145">
        <f t="shared" si="1"/>
        <v>1.6000000000000458E-3</v>
      </c>
      <c r="S18" s="146">
        <f t="shared" si="2"/>
        <v>0.60039999999999982</v>
      </c>
      <c r="T18" s="148">
        <f t="shared" si="3"/>
        <v>3.7483519999999992</v>
      </c>
    </row>
    <row r="19" spans="13:20" x14ac:dyDescent="0.2">
      <c r="M19" s="146">
        <f>Tornado!CI17</f>
        <v>9.765625E-4</v>
      </c>
      <c r="N19" s="147">
        <f>Tornado!CJ17</f>
        <v>2.9296875E-2</v>
      </c>
      <c r="O19" s="148">
        <f>Tornado!CK17</f>
        <v>4.1098239999999988</v>
      </c>
      <c r="P19" s="148">
        <f t="shared" si="0"/>
        <v>1.2000000000000004E-2</v>
      </c>
      <c r="R19" s="145">
        <f t="shared" si="1"/>
        <v>1.6000000000000458E-3</v>
      </c>
      <c r="S19" s="146">
        <f t="shared" si="2"/>
        <v>0.60199999999999987</v>
      </c>
      <c r="T19" s="148">
        <f t="shared" si="3"/>
        <v>3.9435885714285703</v>
      </c>
    </row>
    <row r="20" spans="13:20" x14ac:dyDescent="0.2">
      <c r="M20" s="146">
        <f>Tornado!CI18</f>
        <v>1.953125E-3</v>
      </c>
      <c r="N20" s="147">
        <f>Tornado!CJ18</f>
        <v>3.125E-2</v>
      </c>
      <c r="O20" s="148">
        <f>Tornado!CK18</f>
        <v>4.1098239999999997</v>
      </c>
      <c r="P20" s="148">
        <f t="shared" si="0"/>
        <v>1.2800000000000004E-2</v>
      </c>
      <c r="R20" s="145">
        <f t="shared" si="1"/>
        <v>3.9999999999995595E-4</v>
      </c>
      <c r="S20" s="146">
        <f t="shared" si="2"/>
        <v>0.60239999999999982</v>
      </c>
      <c r="T20" s="148">
        <f t="shared" si="3"/>
        <v>4.1098239999999988</v>
      </c>
    </row>
    <row r="21" spans="13:20" x14ac:dyDescent="0.2">
      <c r="M21" s="146">
        <f>Tornado!CI19</f>
        <v>1.953125E-3</v>
      </c>
      <c r="N21" s="147">
        <f>Tornado!CJ19</f>
        <v>3.3203125E-2</v>
      </c>
      <c r="O21" s="148">
        <f>Tornado!CK19</f>
        <v>4.1717119999999985</v>
      </c>
      <c r="P21" s="148">
        <f t="shared" si="0"/>
        <v>1.3600000000000004E-2</v>
      </c>
      <c r="R21" s="145">
        <f t="shared" si="1"/>
        <v>8.0000000000002292E-4</v>
      </c>
      <c r="S21" s="146">
        <f t="shared" si="2"/>
        <v>0.60319999999999985</v>
      </c>
      <c r="T21" s="148">
        <f t="shared" si="3"/>
        <v>4.1098239999999997</v>
      </c>
    </row>
    <row r="22" spans="13:20" x14ac:dyDescent="0.2">
      <c r="M22" s="146">
        <f>Tornado!CI20</f>
        <v>3.90625E-3</v>
      </c>
      <c r="N22" s="147">
        <f>Tornado!CJ20</f>
        <v>3.7109375E-2</v>
      </c>
      <c r="O22" s="148">
        <f>Tornado!CK20</f>
        <v>4.4224731428571413</v>
      </c>
      <c r="P22" s="148">
        <f t="shared" si="0"/>
        <v>1.5200000000000005E-2</v>
      </c>
      <c r="R22" s="145">
        <f t="shared" si="1"/>
        <v>8.0000000000002292E-4</v>
      </c>
      <c r="S22" s="146">
        <f t="shared" si="2"/>
        <v>0.60399999999999987</v>
      </c>
      <c r="T22" s="148">
        <f t="shared" si="3"/>
        <v>4.1717119999999985</v>
      </c>
    </row>
    <row r="23" spans="13:20" x14ac:dyDescent="0.2">
      <c r="M23" s="146">
        <f>Tornado!CI21</f>
        <v>1.953125E-3</v>
      </c>
      <c r="N23" s="147">
        <f>Tornado!CJ21</f>
        <v>3.90625E-2</v>
      </c>
      <c r="O23" s="148">
        <f>Tornado!CK21</f>
        <v>4.4980223999999991</v>
      </c>
      <c r="P23" s="148">
        <f t="shared" si="0"/>
        <v>1.6000000000000004E-2</v>
      </c>
      <c r="R23" s="145">
        <f t="shared" si="1"/>
        <v>1.5999999999999348E-3</v>
      </c>
      <c r="S23" s="146">
        <f t="shared" si="2"/>
        <v>0.60559999999999981</v>
      </c>
      <c r="T23" s="148">
        <f t="shared" si="3"/>
        <v>4.4224731428571413</v>
      </c>
    </row>
    <row r="24" spans="13:20" x14ac:dyDescent="0.2">
      <c r="M24" s="146">
        <f>Tornado!CI22</f>
        <v>7.8125E-3</v>
      </c>
      <c r="N24" s="147">
        <f>Tornado!CJ22</f>
        <v>4.6875E-2</v>
      </c>
      <c r="O24" s="148">
        <f>Tornado!CK22</f>
        <v>4.6008533333333324</v>
      </c>
      <c r="P24" s="148">
        <f t="shared" si="0"/>
        <v>1.9200000000000005E-2</v>
      </c>
      <c r="R24" s="145">
        <f t="shared" si="1"/>
        <v>8.0000000000002292E-4</v>
      </c>
      <c r="S24" s="146">
        <f t="shared" si="2"/>
        <v>0.60639999999999983</v>
      </c>
      <c r="T24" s="148">
        <f t="shared" si="3"/>
        <v>4.4980223999999991</v>
      </c>
    </row>
    <row r="25" spans="13:20" x14ac:dyDescent="0.2">
      <c r="M25" s="146">
        <f>Tornado!CI23</f>
        <v>1.953125E-3</v>
      </c>
      <c r="N25" s="147">
        <f>Tornado!CJ23</f>
        <v>4.8828125E-2</v>
      </c>
      <c r="O25" s="148">
        <f>Tornado!CK23</f>
        <v>4.7947946666666654</v>
      </c>
      <c r="P25" s="148">
        <f t="shared" si="0"/>
        <v>2.0000000000000007E-2</v>
      </c>
      <c r="R25" s="145">
        <f t="shared" si="1"/>
        <v>3.1999999999999806E-3</v>
      </c>
      <c r="S25" s="146">
        <f t="shared" si="2"/>
        <v>0.60959999999999981</v>
      </c>
      <c r="T25" s="148">
        <f t="shared" si="3"/>
        <v>4.6008533333333324</v>
      </c>
    </row>
    <row r="26" spans="13:20" x14ac:dyDescent="0.2">
      <c r="M26" s="146">
        <f>Tornado!CI24</f>
        <v>9.765625E-4</v>
      </c>
      <c r="N26" s="147">
        <f>Tornado!CJ24</f>
        <v>4.98046875E-2</v>
      </c>
      <c r="O26" s="148">
        <f>Tornado!CK24</f>
        <v>5.0060543999999991</v>
      </c>
      <c r="P26" s="148">
        <f t="shared" si="0"/>
        <v>2.0400000000000005E-2</v>
      </c>
      <c r="R26" s="145">
        <f t="shared" si="1"/>
        <v>8.0000000000002292E-4</v>
      </c>
      <c r="S26" s="146">
        <f t="shared" si="2"/>
        <v>0.61039999999999983</v>
      </c>
      <c r="T26" s="148">
        <f t="shared" si="3"/>
        <v>4.7947946666666654</v>
      </c>
    </row>
    <row r="27" spans="13:20" x14ac:dyDescent="0.2">
      <c r="M27" s="146">
        <f>Tornado!CI25</f>
        <v>7.8125E-3</v>
      </c>
      <c r="N27" s="147">
        <f>Tornado!CJ25</f>
        <v>5.76171875E-2</v>
      </c>
      <c r="O27" s="148">
        <f>Tornado!CK25</f>
        <v>5.1595519999999988</v>
      </c>
      <c r="P27" s="148">
        <f t="shared" si="0"/>
        <v>2.3600000000000006E-2</v>
      </c>
      <c r="R27" s="145">
        <f t="shared" si="1"/>
        <v>3.9999999999995595E-4</v>
      </c>
      <c r="S27" s="146">
        <f t="shared" si="2"/>
        <v>0.61079999999999979</v>
      </c>
      <c r="T27" s="148">
        <f t="shared" si="3"/>
        <v>5.0060543999999991</v>
      </c>
    </row>
    <row r="28" spans="13:20" x14ac:dyDescent="0.2">
      <c r="M28" s="146">
        <f>Tornado!CI26</f>
        <v>3.90625E-3</v>
      </c>
      <c r="N28" s="147">
        <f>Tornado!CJ26</f>
        <v>6.15234375E-2</v>
      </c>
      <c r="O28" s="148">
        <f>Tornado!CK26</f>
        <v>5.3547885714285703</v>
      </c>
      <c r="P28" s="148">
        <f t="shared" si="0"/>
        <v>2.5200000000000007E-2</v>
      </c>
      <c r="R28" s="145">
        <f t="shared" si="1"/>
        <v>3.1999999999999806E-3</v>
      </c>
      <c r="S28" s="146">
        <f t="shared" si="2"/>
        <v>0.61399999999999977</v>
      </c>
      <c r="T28" s="148">
        <f t="shared" si="3"/>
        <v>5.1595519999999988</v>
      </c>
    </row>
    <row r="29" spans="13:20" x14ac:dyDescent="0.2">
      <c r="M29" s="146">
        <f>Tornado!CI27</f>
        <v>3.90625E-3</v>
      </c>
      <c r="N29" s="147">
        <f>Tornado!CJ27</f>
        <v>6.54296875E-2</v>
      </c>
      <c r="O29" s="148">
        <f>Tornado!CK27</f>
        <v>5.5210239999999988</v>
      </c>
      <c r="P29" s="148">
        <f t="shared" si="0"/>
        <v>2.6800000000000008E-2</v>
      </c>
      <c r="R29" s="145">
        <f t="shared" si="1"/>
        <v>1.6000000000000458E-3</v>
      </c>
      <c r="S29" s="146">
        <f t="shared" si="2"/>
        <v>0.61559999999999981</v>
      </c>
      <c r="T29" s="148">
        <f t="shared" si="3"/>
        <v>5.3547885714285703</v>
      </c>
    </row>
    <row r="30" spans="13:20" x14ac:dyDescent="0.2">
      <c r="M30" s="146">
        <f>Tornado!CI28</f>
        <v>1.953125E-3</v>
      </c>
      <c r="N30" s="147">
        <f>Tornado!CJ28</f>
        <v>6.73828125E-2</v>
      </c>
      <c r="O30" s="148">
        <f>Tornado!CK28</f>
        <v>5.5210239999999988</v>
      </c>
      <c r="P30" s="148">
        <f t="shared" si="0"/>
        <v>2.760000000000001E-2</v>
      </c>
      <c r="R30" s="145">
        <f t="shared" si="1"/>
        <v>1.6000000000000458E-3</v>
      </c>
      <c r="S30" s="146">
        <f t="shared" si="2"/>
        <v>0.61719999999999986</v>
      </c>
      <c r="T30" s="148">
        <f t="shared" si="3"/>
        <v>5.5210239999999988</v>
      </c>
    </row>
    <row r="31" spans="13:20" x14ac:dyDescent="0.2">
      <c r="M31" s="146">
        <f>Tornado!CI29</f>
        <v>9.765625E-4</v>
      </c>
      <c r="N31" s="147">
        <f>Tornado!CJ29</f>
        <v>6.8359375E-2</v>
      </c>
      <c r="O31" s="148">
        <f>Tornado!CK29</f>
        <v>5.7537535999999996</v>
      </c>
      <c r="P31" s="148">
        <f t="shared" si="0"/>
        <v>2.8000000000000008E-2</v>
      </c>
      <c r="R31" s="145">
        <f t="shared" si="1"/>
        <v>7.9999999999991189E-4</v>
      </c>
      <c r="S31" s="146">
        <f t="shared" si="2"/>
        <v>0.61799999999999977</v>
      </c>
      <c r="T31" s="148">
        <f t="shared" si="3"/>
        <v>5.5210239999999988</v>
      </c>
    </row>
    <row r="32" spans="13:20" x14ac:dyDescent="0.2">
      <c r="M32" s="146">
        <f>Tornado!CI30</f>
        <v>1.953125E-3</v>
      </c>
      <c r="N32" s="147">
        <f>Tornado!CJ30</f>
        <v>7.03125E-2</v>
      </c>
      <c r="O32" s="148">
        <f>Tornado!CK30</f>
        <v>5.9005330285714273</v>
      </c>
      <c r="P32" s="148">
        <f t="shared" si="0"/>
        <v>2.880000000000001E-2</v>
      </c>
      <c r="R32" s="145">
        <f t="shared" si="1"/>
        <v>4.0000000000006697E-4</v>
      </c>
      <c r="S32" s="146">
        <f t="shared" si="2"/>
        <v>0.61839999999999984</v>
      </c>
      <c r="T32" s="148">
        <f t="shared" si="3"/>
        <v>5.7537535999999996</v>
      </c>
    </row>
    <row r="33" spans="13:20" x14ac:dyDescent="0.2">
      <c r="M33" s="146">
        <f>Tornado!CI31</f>
        <v>1.953125E-3</v>
      </c>
      <c r="N33" s="147">
        <f>Tornado!CJ31</f>
        <v>7.2265625E-2</v>
      </c>
      <c r="O33" s="148">
        <f>Tornado!CK31</f>
        <v>5.9595885714285703</v>
      </c>
      <c r="P33" s="148">
        <f t="shared" si="0"/>
        <v>2.9600000000000008E-2</v>
      </c>
      <c r="R33" s="145">
        <f t="shared" si="1"/>
        <v>8.0000000000002292E-4</v>
      </c>
      <c r="S33" s="146">
        <f t="shared" si="2"/>
        <v>0.61919999999999986</v>
      </c>
      <c r="T33" s="148">
        <f t="shared" si="3"/>
        <v>5.9005330285714273</v>
      </c>
    </row>
    <row r="34" spans="13:20" x14ac:dyDescent="0.2">
      <c r="M34" s="146">
        <f>Tornado!CI32</f>
        <v>9.765625E-4</v>
      </c>
      <c r="N34" s="147">
        <f>Tornado!CJ32</f>
        <v>7.32421875E-2</v>
      </c>
      <c r="O34" s="148">
        <f>Tornado!CK32</f>
        <v>6.115913142857142</v>
      </c>
      <c r="P34" s="148">
        <f t="shared" si="0"/>
        <v>3.0000000000000009E-2</v>
      </c>
      <c r="R34" s="145">
        <f t="shared" si="1"/>
        <v>7.9999999999991189E-4</v>
      </c>
      <c r="S34" s="146">
        <f t="shared" si="2"/>
        <v>0.61999999999999977</v>
      </c>
      <c r="T34" s="148">
        <f t="shared" si="3"/>
        <v>5.9595885714285703</v>
      </c>
    </row>
    <row r="35" spans="13:20" x14ac:dyDescent="0.2">
      <c r="M35" s="146">
        <f>Tornado!CI33</f>
        <v>3.90625E-3</v>
      </c>
      <c r="N35" s="147">
        <f>Tornado!CJ33</f>
        <v>7.71484375E-2</v>
      </c>
      <c r="O35" s="148">
        <f>Tornado!CK33</f>
        <v>6.191462399999998</v>
      </c>
      <c r="P35" s="148">
        <f t="shared" si="0"/>
        <v>3.160000000000001E-2</v>
      </c>
      <c r="R35" s="145">
        <f t="shared" si="1"/>
        <v>4.0000000000006697E-4</v>
      </c>
      <c r="S35" s="146">
        <f t="shared" si="2"/>
        <v>0.62039999999999984</v>
      </c>
      <c r="T35" s="148">
        <f t="shared" si="3"/>
        <v>6.115913142857142</v>
      </c>
    </row>
    <row r="36" spans="13:20" x14ac:dyDescent="0.2">
      <c r="M36" s="146">
        <f>Tornado!CI34</f>
        <v>7.8125E-3</v>
      </c>
      <c r="N36" s="147">
        <f>Tornado!CJ34</f>
        <v>8.49609375E-2</v>
      </c>
      <c r="O36" s="148">
        <f>Tornado!CK34</f>
        <v>6.2472533333333322</v>
      </c>
      <c r="P36" s="148">
        <f t="shared" si="0"/>
        <v>3.4800000000000011E-2</v>
      </c>
      <c r="R36" s="145">
        <f t="shared" si="1"/>
        <v>1.5999999999999348E-3</v>
      </c>
      <c r="S36" s="146">
        <f t="shared" si="2"/>
        <v>0.62199999999999978</v>
      </c>
      <c r="T36" s="148">
        <f t="shared" si="3"/>
        <v>6.191462399999998</v>
      </c>
    </row>
    <row r="37" spans="13:20" x14ac:dyDescent="0.2">
      <c r="M37" s="146">
        <f>Tornado!CI35</f>
        <v>3.90625E-3</v>
      </c>
      <c r="N37" s="147">
        <f>Tornado!CJ35</f>
        <v>8.88671875E-2</v>
      </c>
      <c r="O37" s="148">
        <f>Tornado!CK35</f>
        <v>6.4411946666666653</v>
      </c>
      <c r="P37" s="148">
        <f t="shared" si="0"/>
        <v>3.6400000000000009E-2</v>
      </c>
      <c r="R37" s="145">
        <f t="shared" si="1"/>
        <v>3.2000000000000917E-3</v>
      </c>
      <c r="S37" s="146">
        <f t="shared" si="2"/>
        <v>0.62519999999999987</v>
      </c>
      <c r="T37" s="148">
        <f t="shared" si="3"/>
        <v>6.2472533333333322</v>
      </c>
    </row>
    <row r="38" spans="13:20" x14ac:dyDescent="0.2">
      <c r="M38" s="146">
        <f>Tornado!CI36</f>
        <v>1.953125E-3</v>
      </c>
      <c r="N38" s="147">
        <f>Tornado!CJ36</f>
        <v>9.08203125E-2</v>
      </c>
      <c r="O38" s="148">
        <f>Tornado!CK36</f>
        <v>6.8416731428571396</v>
      </c>
      <c r="P38" s="148">
        <f t="shared" si="0"/>
        <v>3.7200000000000011E-2</v>
      </c>
      <c r="R38" s="145">
        <f t="shared" si="1"/>
        <v>1.5999999999999348E-3</v>
      </c>
      <c r="S38" s="146">
        <f t="shared" si="2"/>
        <v>0.6267999999999998</v>
      </c>
      <c r="T38" s="148">
        <f t="shared" si="3"/>
        <v>6.4411946666666653</v>
      </c>
    </row>
    <row r="39" spans="13:20" x14ac:dyDescent="0.2">
      <c r="M39" s="146">
        <f>Tornado!CI37</f>
        <v>3.90625E-3</v>
      </c>
      <c r="N39" s="147">
        <f>Tornado!CJ37</f>
        <v>9.47265625E-2</v>
      </c>
      <c r="O39" s="148">
        <f>Tornado!CK37</f>
        <v>6.8839551999999982</v>
      </c>
      <c r="P39" s="148">
        <f t="shared" si="0"/>
        <v>3.8800000000000015E-2</v>
      </c>
      <c r="R39" s="145">
        <f t="shared" si="1"/>
        <v>8.0000000000002292E-4</v>
      </c>
      <c r="S39" s="146">
        <f t="shared" si="2"/>
        <v>0.62759999999999982</v>
      </c>
      <c r="T39" s="148">
        <f t="shared" si="3"/>
        <v>6.8416731428571396</v>
      </c>
    </row>
    <row r="40" spans="13:20" x14ac:dyDescent="0.2">
      <c r="M40" s="146">
        <f>Tornado!CI38</f>
        <v>3.90625E-3</v>
      </c>
      <c r="N40" s="147">
        <f>Tornado!CJ38</f>
        <v>9.86328125E-2</v>
      </c>
      <c r="O40" s="148">
        <f>Tornado!CK38</f>
        <v>6.9528533333333318</v>
      </c>
      <c r="P40" s="148">
        <f t="shared" si="0"/>
        <v>4.0400000000000012E-2</v>
      </c>
      <c r="R40" s="145">
        <f t="shared" si="1"/>
        <v>1.6000000000000458E-3</v>
      </c>
      <c r="S40" s="146">
        <f t="shared" si="2"/>
        <v>0.62919999999999987</v>
      </c>
      <c r="T40" s="148">
        <f t="shared" ref="T40:T76" si="4">O39</f>
        <v>6.8839551999999982</v>
      </c>
    </row>
    <row r="41" spans="13:20" x14ac:dyDescent="0.2">
      <c r="M41" s="146">
        <f>Tornado!CI39</f>
        <v>1.953125E-3</v>
      </c>
      <c r="N41" s="147">
        <f>Tornado!CJ39</f>
        <v>0.1005859375</v>
      </c>
      <c r="O41" s="148">
        <f>Tornado!CK39</f>
        <v>7.1352319999999994</v>
      </c>
      <c r="P41" s="148">
        <f t="shared" si="0"/>
        <v>4.1200000000000014E-2</v>
      </c>
      <c r="R41" s="145">
        <f t="shared" si="1"/>
        <v>1.5999999999999348E-3</v>
      </c>
      <c r="S41" s="146">
        <f t="shared" si="2"/>
        <v>0.63079999999999981</v>
      </c>
      <c r="T41" s="148">
        <f t="shared" si="4"/>
        <v>6.9528533333333318</v>
      </c>
    </row>
    <row r="42" spans="13:20" x14ac:dyDescent="0.2">
      <c r="M42" s="146">
        <f>Tornado!CI40</f>
        <v>7.8125E-3</v>
      </c>
      <c r="N42" s="147">
        <f>Tornado!CJ40</f>
        <v>0.1083984375</v>
      </c>
      <c r="O42" s="148">
        <f>Tornado!CK40</f>
        <v>7.3707885714285686</v>
      </c>
      <c r="P42" s="148">
        <f t="shared" si="0"/>
        <v>4.4400000000000016E-2</v>
      </c>
      <c r="R42" s="145">
        <f t="shared" si="1"/>
        <v>8.0000000000002292E-4</v>
      </c>
      <c r="S42" s="146">
        <f t="shared" si="2"/>
        <v>0.63159999999999983</v>
      </c>
      <c r="T42" s="148">
        <f t="shared" si="4"/>
        <v>7.1352319999999994</v>
      </c>
    </row>
    <row r="43" spans="13:20" x14ac:dyDescent="0.2">
      <c r="M43" s="146">
        <f>Tornado!CI41</f>
        <v>3.90625E-3</v>
      </c>
      <c r="N43" s="147">
        <f>Tornado!CJ41</f>
        <v>0.1123046875</v>
      </c>
      <c r="O43" s="148">
        <f>Tornado!CK41</f>
        <v>7.4967039999999985</v>
      </c>
      <c r="P43" s="148">
        <f t="shared" si="0"/>
        <v>4.6000000000000013E-2</v>
      </c>
      <c r="R43" s="145">
        <f t="shared" si="1"/>
        <v>3.1999999999999806E-3</v>
      </c>
      <c r="S43" s="146">
        <f t="shared" si="2"/>
        <v>0.63479999999999981</v>
      </c>
      <c r="T43" s="148">
        <f t="shared" si="4"/>
        <v>7.3707885714285686</v>
      </c>
    </row>
    <row r="44" spans="13:20" x14ac:dyDescent="0.2">
      <c r="M44" s="146">
        <f>Tornado!CI42</f>
        <v>1.953125E-3</v>
      </c>
      <c r="N44" s="147">
        <f>Tornado!CJ42</f>
        <v>0.1142578125</v>
      </c>
      <c r="O44" s="148">
        <f>Tornado!CK42</f>
        <v>7.4967039999999985</v>
      </c>
      <c r="P44" s="148">
        <f t="shared" si="0"/>
        <v>4.6800000000000015E-2</v>
      </c>
      <c r="R44" s="145">
        <f t="shared" si="1"/>
        <v>1.6000000000000458E-3</v>
      </c>
      <c r="S44" s="146">
        <f t="shared" si="2"/>
        <v>0.63639999999999985</v>
      </c>
      <c r="T44" s="148">
        <f t="shared" si="4"/>
        <v>7.4967039999999985</v>
      </c>
    </row>
    <row r="45" spans="13:20" x14ac:dyDescent="0.2">
      <c r="M45" s="146">
        <f>Tornado!CI43</f>
        <v>1.953125E-3</v>
      </c>
      <c r="N45" s="147">
        <f>Tornado!CJ43</f>
        <v>0.1162109375</v>
      </c>
      <c r="O45" s="148">
        <f>Tornado!CK43</f>
        <v>7.7294335999999983</v>
      </c>
      <c r="P45" s="148">
        <f t="shared" si="0"/>
        <v>4.7600000000000017E-2</v>
      </c>
      <c r="R45" s="145">
        <f t="shared" si="1"/>
        <v>8.0000000000002292E-4</v>
      </c>
      <c r="S45" s="146">
        <f t="shared" si="2"/>
        <v>0.63719999999999988</v>
      </c>
      <c r="T45" s="148">
        <f t="shared" si="4"/>
        <v>7.4967039999999985</v>
      </c>
    </row>
    <row r="46" spans="13:20" x14ac:dyDescent="0.2">
      <c r="M46" s="146">
        <f>Tornado!CI44</f>
        <v>3.90625E-3</v>
      </c>
      <c r="N46" s="147">
        <f>Tornado!CJ44</f>
        <v>0.1201171875</v>
      </c>
      <c r="O46" s="148">
        <f>Tornado!CK44</f>
        <v>7.9266130285714258</v>
      </c>
      <c r="P46" s="148">
        <f t="shared" si="0"/>
        <v>4.9200000000000015E-2</v>
      </c>
      <c r="R46" s="145">
        <f t="shared" si="1"/>
        <v>7.9999999999991189E-4</v>
      </c>
      <c r="S46" s="146">
        <f t="shared" si="2"/>
        <v>0.63799999999999979</v>
      </c>
      <c r="T46" s="148">
        <f t="shared" si="4"/>
        <v>7.7294335999999983</v>
      </c>
    </row>
    <row r="47" spans="13:20" x14ac:dyDescent="0.2">
      <c r="M47" s="146">
        <f>Tornado!CI45</f>
        <v>3.90625E-3</v>
      </c>
      <c r="N47" s="147">
        <f>Tornado!CJ45</f>
        <v>0.1240234375</v>
      </c>
      <c r="O47" s="148">
        <f>Tornado!CK45</f>
        <v>7.981951999999997</v>
      </c>
      <c r="P47" s="148">
        <f t="shared" si="0"/>
        <v>5.0800000000000019E-2</v>
      </c>
      <c r="R47" s="145">
        <f t="shared" si="1"/>
        <v>1.6000000000000458E-3</v>
      </c>
      <c r="S47" s="146">
        <f t="shared" si="2"/>
        <v>0.63959999999999984</v>
      </c>
      <c r="T47" s="148">
        <f t="shared" si="4"/>
        <v>7.9266130285714258</v>
      </c>
    </row>
    <row r="48" spans="13:20" x14ac:dyDescent="0.2">
      <c r="M48" s="146">
        <f>Tornado!CI46</f>
        <v>1.953125E-3</v>
      </c>
      <c r="N48" s="147">
        <f>Tornado!CJ46</f>
        <v>0.1259765625</v>
      </c>
      <c r="O48" s="148">
        <f>Tornado!CK46</f>
        <v>8.2607462399999978</v>
      </c>
      <c r="P48" s="148">
        <f t="shared" si="0"/>
        <v>5.1600000000000014E-2</v>
      </c>
      <c r="R48" s="145">
        <f t="shared" si="1"/>
        <v>1.6000000000000458E-3</v>
      </c>
      <c r="S48" s="146">
        <f t="shared" si="2"/>
        <v>0.64119999999999988</v>
      </c>
      <c r="T48" s="148">
        <f t="shared" si="4"/>
        <v>7.981951999999997</v>
      </c>
    </row>
    <row r="49" spans="13:20" x14ac:dyDescent="0.2">
      <c r="M49" s="146">
        <f>Tornado!CI47</f>
        <v>9.765625E-4</v>
      </c>
      <c r="N49" s="147">
        <f>Tornado!CJ47</f>
        <v>0.126953125</v>
      </c>
      <c r="O49" s="148">
        <f>Tornado!CK47</f>
        <v>8.3434239999999971</v>
      </c>
      <c r="P49" s="148">
        <f t="shared" si="0"/>
        <v>5.2000000000000018E-2</v>
      </c>
      <c r="R49" s="145">
        <f t="shared" si="1"/>
        <v>7.9999999999991189E-4</v>
      </c>
      <c r="S49" s="146">
        <f t="shared" si="2"/>
        <v>0.64199999999999979</v>
      </c>
      <c r="T49" s="148">
        <f t="shared" si="4"/>
        <v>8.2607462399999978</v>
      </c>
    </row>
    <row r="50" spans="13:20" x14ac:dyDescent="0.2">
      <c r="M50" s="146">
        <f>Tornado!CI48</f>
        <v>1.953125E-3</v>
      </c>
      <c r="N50" s="147">
        <f>Tornado!CJ48</f>
        <v>0.12890625</v>
      </c>
      <c r="O50" s="148">
        <f>Tornado!CK48</f>
        <v>8.3434239999999971</v>
      </c>
      <c r="P50" s="148">
        <f t="shared" si="0"/>
        <v>5.2800000000000014E-2</v>
      </c>
      <c r="R50" s="145">
        <f t="shared" si="1"/>
        <v>4.0000000000006697E-4</v>
      </c>
      <c r="S50" s="146">
        <f t="shared" si="2"/>
        <v>0.64239999999999986</v>
      </c>
      <c r="T50" s="148">
        <f t="shared" si="4"/>
        <v>8.3434239999999971</v>
      </c>
    </row>
    <row r="51" spans="13:20" x14ac:dyDescent="0.2">
      <c r="M51" s="146">
        <f>Tornado!CI49</f>
        <v>1.953125E-3</v>
      </c>
      <c r="N51" s="147">
        <f>Tornado!CJ49</f>
        <v>0.130859375</v>
      </c>
      <c r="O51" s="148">
        <f>Tornado!CK49</f>
        <v>8.5351131428571403</v>
      </c>
      <c r="P51" s="148">
        <f t="shared" si="0"/>
        <v>5.3600000000000016E-2</v>
      </c>
      <c r="R51" s="145">
        <f t="shared" si="1"/>
        <v>7.9999999999991189E-4</v>
      </c>
      <c r="S51" s="146">
        <f t="shared" si="2"/>
        <v>0.64319999999999977</v>
      </c>
      <c r="T51" s="148">
        <f t="shared" si="4"/>
        <v>8.3434239999999971</v>
      </c>
    </row>
    <row r="52" spans="13:20" x14ac:dyDescent="0.2">
      <c r="M52" s="146">
        <f>Tornado!CI50</f>
        <v>9.765625E-4</v>
      </c>
      <c r="N52" s="147">
        <f>Tornado!CJ50</f>
        <v>0.1318359375</v>
      </c>
      <c r="O52" s="148">
        <f>Tornado!CK50</f>
        <v>8.5622784000000003</v>
      </c>
      <c r="P52" s="148">
        <f t="shared" si="0"/>
        <v>5.400000000000002E-2</v>
      </c>
      <c r="R52" s="145">
        <f t="shared" si="1"/>
        <v>8.0000000000002292E-4</v>
      </c>
      <c r="S52" s="146">
        <f t="shared" si="2"/>
        <v>0.64399999999999979</v>
      </c>
      <c r="T52" s="148">
        <f t="shared" si="4"/>
        <v>8.5351131428571403</v>
      </c>
    </row>
    <row r="53" spans="13:20" x14ac:dyDescent="0.2">
      <c r="M53" s="146">
        <f>Tornado!CI51</f>
        <v>1.5625E-2</v>
      </c>
      <c r="N53" s="147">
        <f>Tornado!CJ51</f>
        <v>0.1474609375</v>
      </c>
      <c r="O53" s="148">
        <f>Tornado!CK51</f>
        <v>8.5992533333333316</v>
      </c>
      <c r="P53" s="148">
        <f t="shared" si="0"/>
        <v>6.0400000000000016E-2</v>
      </c>
      <c r="R53" s="145">
        <f t="shared" si="1"/>
        <v>4.0000000000006697E-4</v>
      </c>
      <c r="S53" s="146">
        <f t="shared" si="2"/>
        <v>0.64439999999999986</v>
      </c>
      <c r="T53" s="148">
        <f t="shared" si="4"/>
        <v>8.5622784000000003</v>
      </c>
    </row>
    <row r="54" spans="13:20" x14ac:dyDescent="0.2">
      <c r="M54" s="146">
        <f>Tornado!CI52</f>
        <v>3.90625E-3</v>
      </c>
      <c r="N54" s="147">
        <f>Tornado!CJ52</f>
        <v>0.1513671875</v>
      </c>
      <c r="O54" s="148">
        <f>Tornado!CK52</f>
        <v>8.7461546666666639</v>
      </c>
      <c r="P54" s="148">
        <f t="shared" si="0"/>
        <v>6.200000000000002E-2</v>
      </c>
      <c r="R54" s="145">
        <f t="shared" si="1"/>
        <v>6.3999999999999613E-3</v>
      </c>
      <c r="S54" s="146">
        <f t="shared" si="2"/>
        <v>0.65079999999999982</v>
      </c>
      <c r="T54" s="148">
        <f t="shared" si="4"/>
        <v>8.5992533333333316</v>
      </c>
    </row>
    <row r="55" spans="13:20" x14ac:dyDescent="0.2">
      <c r="M55" s="146">
        <f>Tornado!CI53</f>
        <v>7.8125E-3</v>
      </c>
      <c r="N55" s="147">
        <f>Tornado!CJ53</f>
        <v>0.1591796875</v>
      </c>
      <c r="O55" s="148">
        <f>Tornado!CK53</f>
        <v>9.2477151999999965</v>
      </c>
      <c r="P55" s="148">
        <f t="shared" si="0"/>
        <v>6.5200000000000022E-2</v>
      </c>
      <c r="R55" s="145">
        <f t="shared" si="1"/>
        <v>1.6000000000000458E-3</v>
      </c>
      <c r="S55" s="146">
        <f t="shared" si="2"/>
        <v>0.65239999999999987</v>
      </c>
      <c r="T55" s="148">
        <f t="shared" si="4"/>
        <v>8.7461546666666639</v>
      </c>
    </row>
    <row r="56" spans="13:20" x14ac:dyDescent="0.2">
      <c r="M56" s="146">
        <f>Tornado!CI54</f>
        <v>1.953125E-3</v>
      </c>
      <c r="N56" s="147">
        <f>Tornado!CJ54</f>
        <v>0.1611328125</v>
      </c>
      <c r="O56" s="148">
        <f>Tornado!CK54</f>
        <v>9.5783423999999968</v>
      </c>
      <c r="P56" s="148">
        <f t="shared" si="0"/>
        <v>6.6000000000000017E-2</v>
      </c>
      <c r="R56" s="145">
        <f t="shared" si="1"/>
        <v>3.1999999999999806E-3</v>
      </c>
      <c r="S56" s="146">
        <f t="shared" si="2"/>
        <v>0.65559999999999985</v>
      </c>
      <c r="T56" s="148">
        <f t="shared" si="4"/>
        <v>9.2477151999999965</v>
      </c>
    </row>
    <row r="57" spans="13:20" x14ac:dyDescent="0.2">
      <c r="M57" s="146">
        <f>Tornado!CI55</f>
        <v>1.953125E-3</v>
      </c>
      <c r="N57" s="147">
        <f>Tornado!CJ55</f>
        <v>0.1630859375</v>
      </c>
      <c r="O57" s="148">
        <f>Tornado!CK55</f>
        <v>9.7339946666666641</v>
      </c>
      <c r="P57" s="148">
        <f t="shared" si="0"/>
        <v>6.6800000000000026E-2</v>
      </c>
      <c r="R57" s="145">
        <f t="shared" si="1"/>
        <v>8.0000000000002292E-4</v>
      </c>
      <c r="S57" s="146">
        <f t="shared" si="2"/>
        <v>0.65639999999999987</v>
      </c>
      <c r="T57" s="148">
        <f t="shared" si="4"/>
        <v>9.5783423999999968</v>
      </c>
    </row>
    <row r="58" spans="13:20" x14ac:dyDescent="0.2">
      <c r="M58" s="146">
        <f>Tornado!CI56</f>
        <v>3.90625E-3</v>
      </c>
      <c r="N58" s="147">
        <f>Tornado!CJ56</f>
        <v>0.1669921875</v>
      </c>
      <c r="O58" s="148">
        <f>Tornado!CK56</f>
        <v>9.8342217142857127</v>
      </c>
      <c r="P58" s="148">
        <f t="shared" si="0"/>
        <v>6.8400000000000016E-2</v>
      </c>
      <c r="R58" s="145">
        <f t="shared" si="1"/>
        <v>7.9999999999991189E-4</v>
      </c>
      <c r="S58" s="146">
        <f t="shared" si="2"/>
        <v>0.65719999999999978</v>
      </c>
      <c r="T58" s="148">
        <f t="shared" si="4"/>
        <v>9.7339946666666641</v>
      </c>
    </row>
    <row r="59" spans="13:20" x14ac:dyDescent="0.2">
      <c r="M59" s="146">
        <f>Tornado!CI57</f>
        <v>3.90625E-3</v>
      </c>
      <c r="N59" s="147">
        <f>Tornado!CJ57</f>
        <v>0.1708984375</v>
      </c>
      <c r="O59" s="148">
        <f>Tornado!CK57</f>
        <v>9.9576320000000003</v>
      </c>
      <c r="P59" s="148">
        <f t="shared" si="0"/>
        <v>7.0000000000000021E-2</v>
      </c>
      <c r="R59" s="145">
        <f t="shared" si="1"/>
        <v>1.6000000000000458E-3</v>
      </c>
      <c r="S59" s="146">
        <f t="shared" si="2"/>
        <v>0.65879999999999983</v>
      </c>
      <c r="T59" s="148">
        <f t="shared" si="4"/>
        <v>9.8342217142857127</v>
      </c>
    </row>
    <row r="60" spans="13:20" x14ac:dyDescent="0.2">
      <c r="M60" s="146">
        <f>Tornado!CI58</f>
        <v>1.953125E-3</v>
      </c>
      <c r="N60" s="147">
        <f>Tornado!CJ58</f>
        <v>0.1728515625</v>
      </c>
      <c r="O60" s="148">
        <f>Tornado!CK58</f>
        <v>10.193188571428571</v>
      </c>
      <c r="P60" s="148">
        <f t="shared" si="0"/>
        <v>7.0800000000000016E-2</v>
      </c>
      <c r="R60" s="145">
        <f t="shared" si="1"/>
        <v>1.6000000000000458E-3</v>
      </c>
      <c r="S60" s="146">
        <f t="shared" si="2"/>
        <v>0.66039999999999988</v>
      </c>
      <c r="T60" s="148">
        <f t="shared" si="4"/>
        <v>9.9576320000000003</v>
      </c>
    </row>
    <row r="61" spans="13:20" x14ac:dyDescent="0.2">
      <c r="M61" s="146">
        <f>Tornado!CI59</f>
        <v>7.8125E-3</v>
      </c>
      <c r="N61" s="147">
        <f>Tornado!CJ59</f>
        <v>0.1806640625</v>
      </c>
      <c r="O61" s="148">
        <f>Tornado!CK59</f>
        <v>10.319103999999998</v>
      </c>
      <c r="P61" s="148">
        <f t="shared" si="0"/>
        <v>7.4000000000000024E-2</v>
      </c>
      <c r="R61" s="145">
        <f t="shared" si="1"/>
        <v>7.9999999999991189E-4</v>
      </c>
      <c r="S61" s="146">
        <f t="shared" si="2"/>
        <v>0.66119999999999979</v>
      </c>
      <c r="T61" s="148">
        <f t="shared" si="4"/>
        <v>10.193188571428571</v>
      </c>
    </row>
    <row r="62" spans="13:20" x14ac:dyDescent="0.2">
      <c r="M62" s="146">
        <f>Tornado!CI60</f>
        <v>3.90625E-3</v>
      </c>
      <c r="N62" s="147">
        <f>Tornado!CJ60</f>
        <v>0.1845703125</v>
      </c>
      <c r="O62" s="148">
        <f>Tornado!CK60</f>
        <v>10.319103999999998</v>
      </c>
      <c r="P62" s="148">
        <f t="shared" si="0"/>
        <v>7.5600000000000028E-2</v>
      </c>
      <c r="R62" s="145">
        <f t="shared" si="1"/>
        <v>3.2000000000000917E-3</v>
      </c>
      <c r="S62" s="146">
        <f t="shared" si="2"/>
        <v>0.66439999999999988</v>
      </c>
      <c r="T62" s="148">
        <f t="shared" si="4"/>
        <v>10.319103999999998</v>
      </c>
    </row>
    <row r="63" spans="13:20" x14ac:dyDescent="0.2">
      <c r="M63" s="146">
        <f>Tornado!CI61</f>
        <v>1.953125E-3</v>
      </c>
      <c r="N63" s="147">
        <f>Tornado!CJ61</f>
        <v>0.1865234375</v>
      </c>
      <c r="O63" s="148">
        <f>Tornado!CK61</f>
        <v>10.495385599999999</v>
      </c>
      <c r="P63" s="148">
        <f t="shared" si="0"/>
        <v>7.6400000000000023E-2</v>
      </c>
      <c r="R63" s="145">
        <f t="shared" si="1"/>
        <v>1.5999999999999348E-3</v>
      </c>
      <c r="S63" s="146">
        <f t="shared" si="2"/>
        <v>0.66599999999999981</v>
      </c>
      <c r="T63" s="148">
        <f t="shared" si="4"/>
        <v>10.319103999999998</v>
      </c>
    </row>
    <row r="64" spans="13:20" x14ac:dyDescent="0.2">
      <c r="M64" s="146">
        <f>Tornado!CI62</f>
        <v>3.90625E-3</v>
      </c>
      <c r="N64" s="147">
        <f>Tornado!CJ62</f>
        <v>0.1904296875</v>
      </c>
      <c r="O64" s="148">
        <f>Tornado!CK62</f>
        <v>10.763125028571427</v>
      </c>
      <c r="P64" s="148">
        <f t="shared" si="0"/>
        <v>7.8000000000000028E-2</v>
      </c>
      <c r="R64" s="145">
        <f t="shared" si="1"/>
        <v>8.0000000000002292E-4</v>
      </c>
      <c r="S64" s="146">
        <f t="shared" si="2"/>
        <v>0.66679999999999984</v>
      </c>
      <c r="T64" s="148">
        <f t="shared" si="4"/>
        <v>10.495385599999999</v>
      </c>
    </row>
    <row r="65" spans="13:20" x14ac:dyDescent="0.2">
      <c r="M65" s="146">
        <f>Tornado!CI63</f>
        <v>3.90625E-3</v>
      </c>
      <c r="N65" s="147">
        <f>Tornado!CJ63</f>
        <v>0.1943359375</v>
      </c>
      <c r="O65" s="148">
        <f>Tornado!CK63</f>
        <v>11.097258239999999</v>
      </c>
      <c r="P65" s="148">
        <f t="shared" si="0"/>
        <v>7.9600000000000032E-2</v>
      </c>
      <c r="R65" s="145">
        <f t="shared" si="1"/>
        <v>1.6000000000000458E-3</v>
      </c>
      <c r="S65" s="146">
        <f t="shared" si="2"/>
        <v>0.66839999999999988</v>
      </c>
      <c r="T65" s="148">
        <f t="shared" si="4"/>
        <v>10.763125028571427</v>
      </c>
    </row>
    <row r="66" spans="13:20" x14ac:dyDescent="0.2">
      <c r="M66" s="146">
        <f>Tornado!CI64</f>
        <v>9.765625E-4</v>
      </c>
      <c r="N66" s="147">
        <f>Tornado!CJ64</f>
        <v>0.1953125</v>
      </c>
      <c r="O66" s="148">
        <f>Tornado!CK64</f>
        <v>11.272660114285712</v>
      </c>
      <c r="P66" s="148">
        <f t="shared" si="0"/>
        <v>8.0000000000000029E-2</v>
      </c>
      <c r="R66" s="145">
        <f t="shared" si="1"/>
        <v>1.5999999999999348E-3</v>
      </c>
      <c r="S66" s="146">
        <f t="shared" si="2"/>
        <v>0.66999999999999982</v>
      </c>
      <c r="T66" s="148">
        <f t="shared" si="4"/>
        <v>11.097258239999999</v>
      </c>
    </row>
    <row r="67" spans="13:20" x14ac:dyDescent="0.2">
      <c r="M67" s="146">
        <f>Tornado!CI65</f>
        <v>3.90625E-3</v>
      </c>
      <c r="N67" s="147">
        <f>Tornado!CJ65</f>
        <v>0.19921875</v>
      </c>
      <c r="O67" s="148">
        <f>Tornado!CK65</f>
        <v>11.402788571428569</v>
      </c>
      <c r="P67" s="148">
        <f t="shared" si="0"/>
        <v>8.160000000000002E-2</v>
      </c>
      <c r="R67" s="145">
        <f t="shared" si="1"/>
        <v>4.0000000000006697E-4</v>
      </c>
      <c r="S67" s="146">
        <f t="shared" si="2"/>
        <v>0.67039999999999988</v>
      </c>
      <c r="T67" s="148">
        <f t="shared" si="4"/>
        <v>11.272660114285712</v>
      </c>
    </row>
    <row r="68" spans="13:20" x14ac:dyDescent="0.2">
      <c r="M68" s="146">
        <f>Tornado!CI66</f>
        <v>7.8125E-3</v>
      </c>
      <c r="N68" s="147">
        <f>Tornado!CJ66</f>
        <v>0.20703125</v>
      </c>
      <c r="O68" s="148">
        <f>Tornado!CK66</f>
        <v>11.473258666666663</v>
      </c>
      <c r="P68" s="148">
        <f t="shared" si="0"/>
        <v>8.4800000000000028E-2</v>
      </c>
      <c r="R68" s="145">
        <f t="shared" si="1"/>
        <v>1.5999999999999348E-3</v>
      </c>
      <c r="S68" s="146">
        <f t="shared" si="2"/>
        <v>0.67199999999999982</v>
      </c>
      <c r="T68" s="148">
        <f t="shared" si="4"/>
        <v>11.402788571428569</v>
      </c>
    </row>
    <row r="69" spans="13:20" x14ac:dyDescent="0.2">
      <c r="M69" s="146">
        <f>Tornado!CI67</f>
        <v>9.765625E-4</v>
      </c>
      <c r="N69" s="147">
        <f>Tornado!CJ67</f>
        <v>0.2080078125</v>
      </c>
      <c r="O69" s="148">
        <f>Tornado!CK67</f>
        <v>11.680793599999998</v>
      </c>
      <c r="P69" s="148">
        <f t="shared" si="0"/>
        <v>8.5200000000000026E-2</v>
      </c>
      <c r="R69" s="145">
        <f t="shared" si="1"/>
        <v>3.1999999999999806E-3</v>
      </c>
      <c r="S69" s="146">
        <f t="shared" si="2"/>
        <v>0.6751999999999998</v>
      </c>
      <c r="T69" s="148">
        <f t="shared" si="4"/>
        <v>11.473258666666663</v>
      </c>
    </row>
    <row r="70" spans="13:20" x14ac:dyDescent="0.2">
      <c r="M70" s="146">
        <f>Tornado!CI68</f>
        <v>3.90625E-3</v>
      </c>
      <c r="N70" s="147">
        <f>Tornado!CJ68</f>
        <v>0.2119140625</v>
      </c>
      <c r="O70" s="148">
        <f>Tornado!CK68</f>
        <v>11.892053333333333</v>
      </c>
      <c r="P70" s="148">
        <f t="shared" si="0"/>
        <v>8.680000000000003E-2</v>
      </c>
      <c r="R70" s="145">
        <f t="shared" si="1"/>
        <v>4.0000000000006697E-4</v>
      </c>
      <c r="S70" s="146">
        <f t="shared" si="2"/>
        <v>0.67559999999999987</v>
      </c>
      <c r="T70" s="148">
        <f t="shared" si="4"/>
        <v>11.680793599999998</v>
      </c>
    </row>
    <row r="71" spans="13:20" x14ac:dyDescent="0.2">
      <c r="M71" s="146">
        <f>Tornado!CI69</f>
        <v>1.953125E-3</v>
      </c>
      <c r="N71" s="147">
        <f>Tornado!CJ69</f>
        <v>0.2138671875</v>
      </c>
      <c r="O71" s="148">
        <f>Tornado!CK69</f>
        <v>11.949158399999998</v>
      </c>
      <c r="P71" s="148">
        <f t="shared" ref="P71:P134" si="5">pCrossChasm_total * N71</f>
        <v>8.7600000000000025E-2</v>
      </c>
      <c r="R71" s="145">
        <f t="shared" si="1"/>
        <v>1.5999999999999348E-3</v>
      </c>
      <c r="S71" s="146">
        <f t="shared" si="2"/>
        <v>0.6771999999999998</v>
      </c>
      <c r="T71" s="148">
        <f t="shared" si="4"/>
        <v>11.892053333333333</v>
      </c>
    </row>
    <row r="72" spans="13:20" x14ac:dyDescent="0.2">
      <c r="M72" s="146">
        <f>Tornado!CI70</f>
        <v>1.953125E-3</v>
      </c>
      <c r="N72" s="147">
        <f>Tornado!CJ70</f>
        <v>0.2158203125</v>
      </c>
      <c r="O72" s="148">
        <f>Tornado!CK70</f>
        <v>11.978773028571426</v>
      </c>
      <c r="P72" s="148">
        <f t="shared" si="5"/>
        <v>8.8400000000000034E-2</v>
      </c>
      <c r="R72" s="145">
        <f t="shared" ref="R72:R135" si="6">S72-S71</f>
        <v>8.0000000000002292E-4</v>
      </c>
      <c r="S72" s="146">
        <f t="shared" si="2"/>
        <v>0.67799999999999983</v>
      </c>
      <c r="T72" s="148">
        <f t="shared" si="4"/>
        <v>11.949158399999998</v>
      </c>
    </row>
    <row r="73" spans="13:20" x14ac:dyDescent="0.2">
      <c r="M73" s="146">
        <f>Tornado!CI71</f>
        <v>7.8125E-3</v>
      </c>
      <c r="N73" s="147">
        <f>Tornado!CJ71</f>
        <v>0.2236328125</v>
      </c>
      <c r="O73" s="148">
        <f>Tornado!CK71</f>
        <v>12.038954666666662</v>
      </c>
      <c r="P73" s="148">
        <f t="shared" si="5"/>
        <v>9.1600000000000029E-2</v>
      </c>
      <c r="R73" s="145">
        <f t="shared" si="6"/>
        <v>8.0000000000002292E-4</v>
      </c>
      <c r="S73" s="146">
        <f t="shared" ref="S73:S76" si="7">P72+$S$7</f>
        <v>0.67879999999999985</v>
      </c>
      <c r="T73" s="148">
        <f t="shared" si="4"/>
        <v>11.978773028571426</v>
      </c>
    </row>
    <row r="74" spans="13:20" x14ac:dyDescent="0.2">
      <c r="M74" s="146">
        <f>Tornado!CI72</f>
        <v>7.8125E-3</v>
      </c>
      <c r="N74" s="147">
        <f>Tornado!CJ72</f>
        <v>0.2314453125</v>
      </c>
      <c r="O74" s="148">
        <f>Tornado!CK72</f>
        <v>12.556979199999997</v>
      </c>
      <c r="P74" s="148">
        <f t="shared" si="5"/>
        <v>9.4800000000000037E-2</v>
      </c>
      <c r="R74" s="145">
        <f t="shared" si="6"/>
        <v>3.1999999999999806E-3</v>
      </c>
      <c r="S74" s="146">
        <f t="shared" si="7"/>
        <v>0.68199999999999983</v>
      </c>
      <c r="T74" s="148">
        <f t="shared" si="4"/>
        <v>12.038954666666662</v>
      </c>
    </row>
    <row r="75" spans="13:20" x14ac:dyDescent="0.2">
      <c r="M75" s="146">
        <f>Tornado!CI73</f>
        <v>1.953125E-3</v>
      </c>
      <c r="N75" s="147">
        <f>Tornado!CJ73</f>
        <v>0.2333984375</v>
      </c>
      <c r="O75" s="148">
        <f>Tornado!CK73</f>
        <v>13.151436799999995</v>
      </c>
      <c r="P75" s="148">
        <f t="shared" si="5"/>
        <v>9.5600000000000032E-2</v>
      </c>
      <c r="R75" s="145">
        <f t="shared" si="6"/>
        <v>3.1999999999999806E-3</v>
      </c>
      <c r="S75" s="146">
        <f t="shared" si="7"/>
        <v>0.68519999999999981</v>
      </c>
      <c r="T75" s="148">
        <f t="shared" si="4"/>
        <v>12.556979199999997</v>
      </c>
    </row>
    <row r="76" spans="13:20" x14ac:dyDescent="0.2">
      <c r="M76" s="146">
        <f>Tornado!CI74</f>
        <v>7.8125E-3</v>
      </c>
      <c r="N76" s="147">
        <f>Tornado!CJ74</f>
        <v>0.2412109375</v>
      </c>
      <c r="O76" s="148">
        <f>Tornado!CK74</f>
        <v>13.21102171428571</v>
      </c>
      <c r="P76" s="148">
        <f t="shared" si="5"/>
        <v>9.8800000000000027E-2</v>
      </c>
      <c r="R76" s="145">
        <f t="shared" si="6"/>
        <v>8.0000000000002292E-4</v>
      </c>
      <c r="S76" s="146">
        <f t="shared" si="7"/>
        <v>0.68599999999999983</v>
      </c>
      <c r="T76" s="148">
        <f t="shared" si="4"/>
        <v>13.151436799999995</v>
      </c>
    </row>
    <row r="77" spans="13:20" x14ac:dyDescent="0.2">
      <c r="M77" s="146">
        <f>Tornado!CI75</f>
        <v>7.8125E-3</v>
      </c>
      <c r="N77" s="147">
        <f>Tornado!CJ75</f>
        <v>0.2490234375</v>
      </c>
      <c r="O77" s="148">
        <f>Tornado!CK75</f>
        <v>13.30325333333333</v>
      </c>
      <c r="P77" s="148">
        <f t="shared" si="5"/>
        <v>0.10200000000000004</v>
      </c>
      <c r="R77" s="145">
        <f t="shared" si="6"/>
        <v>3.1999999999999806E-3</v>
      </c>
      <c r="S77" s="146">
        <f t="shared" ref="S77:S115" si="8">P76+$S$7</f>
        <v>0.68919999999999981</v>
      </c>
      <c r="T77" s="148">
        <f t="shared" ref="T77:T115" si="9">O76</f>
        <v>13.21102171428571</v>
      </c>
    </row>
    <row r="78" spans="13:20" x14ac:dyDescent="0.2">
      <c r="M78" s="146">
        <f>Tornado!CI76</f>
        <v>9.765625E-4</v>
      </c>
      <c r="N78" s="147">
        <f>Tornado!CJ76</f>
        <v>0.25</v>
      </c>
      <c r="O78" s="148">
        <f>Tornado!CK76</f>
        <v>13.37351314285714</v>
      </c>
      <c r="P78" s="148">
        <f t="shared" si="5"/>
        <v>0.10240000000000003</v>
      </c>
      <c r="R78" s="145">
        <f t="shared" si="6"/>
        <v>3.2000000000000917E-3</v>
      </c>
      <c r="S78" s="146">
        <f t="shared" si="8"/>
        <v>0.6923999999999999</v>
      </c>
      <c r="T78" s="148">
        <f t="shared" si="9"/>
        <v>13.30325333333333</v>
      </c>
    </row>
    <row r="79" spans="13:20" x14ac:dyDescent="0.2">
      <c r="M79" s="146">
        <f>Tornado!CI77</f>
        <v>1.953125E-3</v>
      </c>
      <c r="N79" s="147">
        <f>Tornado!CJ77</f>
        <v>0.251953125</v>
      </c>
      <c r="O79" s="148">
        <f>Tornado!CK77</f>
        <v>13.767910399999996</v>
      </c>
      <c r="P79" s="148">
        <f t="shared" si="5"/>
        <v>0.10320000000000003</v>
      </c>
      <c r="R79" s="145">
        <f t="shared" si="6"/>
        <v>3.9999999999995595E-4</v>
      </c>
      <c r="S79" s="146">
        <f t="shared" si="8"/>
        <v>0.69279999999999986</v>
      </c>
      <c r="T79" s="148">
        <f t="shared" si="9"/>
        <v>13.37351314285714</v>
      </c>
    </row>
    <row r="80" spans="13:20" x14ac:dyDescent="0.2">
      <c r="M80" s="146">
        <f>Tornado!CI78</f>
        <v>3.90625E-3</v>
      </c>
      <c r="N80" s="147">
        <f>Tornado!CJ78</f>
        <v>0.255859375</v>
      </c>
      <c r="O80" s="148">
        <f>Tornado!CK78</f>
        <v>13.767910399999998</v>
      </c>
      <c r="P80" s="148">
        <f t="shared" si="5"/>
        <v>0.10480000000000003</v>
      </c>
      <c r="R80" s="145">
        <f t="shared" si="6"/>
        <v>8.0000000000002292E-4</v>
      </c>
      <c r="S80" s="146">
        <f t="shared" si="8"/>
        <v>0.69359999999999988</v>
      </c>
      <c r="T80" s="148">
        <f t="shared" si="9"/>
        <v>13.767910399999996</v>
      </c>
    </row>
    <row r="81" spans="13:20" x14ac:dyDescent="0.2">
      <c r="M81" s="146">
        <f>Tornado!CI79</f>
        <v>3.90625E-3</v>
      </c>
      <c r="N81" s="147">
        <f>Tornado!CJ79</f>
        <v>0.259765625</v>
      </c>
      <c r="O81" s="148">
        <f>Tornado!CK79</f>
        <v>13.975235199999995</v>
      </c>
      <c r="P81" s="148">
        <f t="shared" si="5"/>
        <v>0.10640000000000004</v>
      </c>
      <c r="R81" s="145">
        <f t="shared" si="6"/>
        <v>1.5999999999999348E-3</v>
      </c>
      <c r="S81" s="146">
        <f t="shared" si="8"/>
        <v>0.69519999999999982</v>
      </c>
      <c r="T81" s="148">
        <f t="shared" si="9"/>
        <v>13.767910399999998</v>
      </c>
    </row>
    <row r="82" spans="13:20" x14ac:dyDescent="0.2">
      <c r="M82" s="146">
        <f>Tornado!CI80</f>
        <v>3.90625E-3</v>
      </c>
      <c r="N82" s="147">
        <f>Tornado!CJ80</f>
        <v>0.263671875</v>
      </c>
      <c r="O82" s="148">
        <f>Tornado!CK80</f>
        <v>14.225188571428571</v>
      </c>
      <c r="P82" s="148">
        <f t="shared" si="5"/>
        <v>0.10800000000000004</v>
      </c>
      <c r="R82" s="145">
        <f t="shared" si="6"/>
        <v>1.6000000000000458E-3</v>
      </c>
      <c r="S82" s="146">
        <f t="shared" si="8"/>
        <v>0.69679999999999986</v>
      </c>
      <c r="T82" s="148">
        <f t="shared" si="9"/>
        <v>13.975235199999995</v>
      </c>
    </row>
    <row r="83" spans="13:20" x14ac:dyDescent="0.2">
      <c r="M83" s="146">
        <f>Tornado!CI81</f>
        <v>9.765625E-4</v>
      </c>
      <c r="N83" s="147">
        <f>Tornado!CJ81</f>
        <v>0.2646484375</v>
      </c>
      <c r="O83" s="148">
        <f>Tornado!CK81</f>
        <v>14.270463999999999</v>
      </c>
      <c r="P83" s="148">
        <f t="shared" si="5"/>
        <v>0.10840000000000004</v>
      </c>
      <c r="R83" s="145">
        <f t="shared" si="6"/>
        <v>1.6000000000000458E-3</v>
      </c>
      <c r="S83" s="146">
        <f t="shared" si="8"/>
        <v>0.69839999999999991</v>
      </c>
      <c r="T83" s="148">
        <f t="shared" si="9"/>
        <v>14.225188571428571</v>
      </c>
    </row>
    <row r="84" spans="13:20" x14ac:dyDescent="0.2">
      <c r="M84" s="146">
        <f>Tornado!CI82</f>
        <v>1.953125E-3</v>
      </c>
      <c r="N84" s="147">
        <f>Tornado!CJ82</f>
        <v>0.2666015625</v>
      </c>
      <c r="O84" s="148">
        <f>Tornado!CK82</f>
        <v>14.270464</v>
      </c>
      <c r="P84" s="148">
        <f t="shared" si="5"/>
        <v>0.10920000000000003</v>
      </c>
      <c r="R84" s="145">
        <f t="shared" si="6"/>
        <v>3.9999999999995595E-4</v>
      </c>
      <c r="S84" s="146">
        <f t="shared" si="8"/>
        <v>0.69879999999999987</v>
      </c>
      <c r="T84" s="148">
        <f t="shared" si="9"/>
        <v>14.270463999999999</v>
      </c>
    </row>
    <row r="85" spans="13:20" x14ac:dyDescent="0.2">
      <c r="M85" s="146">
        <f>Tornado!CI83</f>
        <v>3.90625E-3</v>
      </c>
      <c r="N85" s="147">
        <f>Tornado!CJ83</f>
        <v>0.2705078125</v>
      </c>
      <c r="O85" s="148">
        <f>Tornado!CK83</f>
        <v>14.446745599999996</v>
      </c>
      <c r="P85" s="148">
        <f t="shared" si="5"/>
        <v>0.11080000000000004</v>
      </c>
      <c r="R85" s="145">
        <f t="shared" si="6"/>
        <v>8.0000000000002292E-4</v>
      </c>
      <c r="S85" s="146">
        <f t="shared" si="8"/>
        <v>0.69959999999999989</v>
      </c>
      <c r="T85" s="148">
        <f t="shared" si="9"/>
        <v>14.270464</v>
      </c>
    </row>
    <row r="86" spans="13:20" x14ac:dyDescent="0.2">
      <c r="M86" s="146">
        <f>Tornado!CI84</f>
        <v>7.8125E-3</v>
      </c>
      <c r="N86" s="147">
        <f>Tornado!CJ84</f>
        <v>0.2783203125</v>
      </c>
      <c r="O86" s="148">
        <f>Tornado!CK84</f>
        <v>14.815285028571424</v>
      </c>
      <c r="P86" s="148">
        <f t="shared" si="5"/>
        <v>0.11400000000000003</v>
      </c>
      <c r="R86" s="145">
        <f t="shared" si="6"/>
        <v>1.5999999999999348E-3</v>
      </c>
      <c r="S86" s="146">
        <f t="shared" si="8"/>
        <v>0.70119999999999982</v>
      </c>
      <c r="T86" s="148">
        <f t="shared" si="9"/>
        <v>14.446745599999996</v>
      </c>
    </row>
    <row r="87" spans="13:20" x14ac:dyDescent="0.2">
      <c r="M87" s="146">
        <f>Tornado!CI85</f>
        <v>3.90625E-3</v>
      </c>
      <c r="N87" s="147">
        <f>Tornado!CJ85</f>
        <v>0.2822265625</v>
      </c>
      <c r="O87" s="148">
        <f>Tornado!CK85</f>
        <v>15.068375039999998</v>
      </c>
      <c r="P87" s="148">
        <f t="shared" si="5"/>
        <v>0.11560000000000004</v>
      </c>
      <c r="R87" s="145">
        <f t="shared" si="6"/>
        <v>3.1999999999999806E-3</v>
      </c>
      <c r="S87" s="146">
        <f t="shared" si="8"/>
        <v>0.7043999999999998</v>
      </c>
      <c r="T87" s="148">
        <f t="shared" si="9"/>
        <v>14.815285028571424</v>
      </c>
    </row>
    <row r="88" spans="13:20" x14ac:dyDescent="0.2">
      <c r="M88" s="146">
        <f>Tornado!CI86</f>
        <v>1.953125E-3</v>
      </c>
      <c r="N88" s="147">
        <f>Tornado!CJ86</f>
        <v>0.2841796875</v>
      </c>
      <c r="O88" s="148">
        <f>Tornado!CK86</f>
        <v>15.143380114285709</v>
      </c>
      <c r="P88" s="148">
        <f t="shared" si="5"/>
        <v>0.11640000000000003</v>
      </c>
      <c r="R88" s="145">
        <f t="shared" si="6"/>
        <v>1.6000000000000458E-3</v>
      </c>
      <c r="S88" s="146">
        <f t="shared" si="8"/>
        <v>0.70599999999999985</v>
      </c>
      <c r="T88" s="148">
        <f t="shared" si="9"/>
        <v>15.068375039999998</v>
      </c>
    </row>
    <row r="89" spans="13:20" x14ac:dyDescent="0.2">
      <c r="M89" s="146">
        <f>Tornado!CI87</f>
        <v>1.5625E-2</v>
      </c>
      <c r="N89" s="147">
        <f>Tornado!CJ87</f>
        <v>0.2998046875</v>
      </c>
      <c r="O89" s="148">
        <f>Tornado!CK87</f>
        <v>15.412858666666661</v>
      </c>
      <c r="P89" s="148">
        <f t="shared" si="5"/>
        <v>0.12280000000000003</v>
      </c>
      <c r="R89" s="145">
        <f t="shared" si="6"/>
        <v>8.0000000000002292E-4</v>
      </c>
      <c r="S89" s="146">
        <f t="shared" si="8"/>
        <v>0.70679999999999987</v>
      </c>
      <c r="T89" s="148">
        <f t="shared" si="9"/>
        <v>15.143380114285709</v>
      </c>
    </row>
    <row r="90" spans="13:20" x14ac:dyDescent="0.2">
      <c r="M90" s="146">
        <f>Tornado!CI88</f>
        <v>1.953125E-3</v>
      </c>
      <c r="N90" s="147">
        <f>Tornado!CJ88</f>
        <v>0.3017578125</v>
      </c>
      <c r="O90" s="148">
        <f>Tornado!CK88</f>
        <v>15.602432</v>
      </c>
      <c r="P90" s="148">
        <f t="shared" si="5"/>
        <v>0.12360000000000004</v>
      </c>
      <c r="R90" s="145">
        <f t="shared" si="6"/>
        <v>6.3999999999999613E-3</v>
      </c>
      <c r="S90" s="146">
        <f t="shared" si="8"/>
        <v>0.71319999999999983</v>
      </c>
      <c r="T90" s="148">
        <f t="shared" si="9"/>
        <v>15.412858666666661</v>
      </c>
    </row>
    <row r="91" spans="13:20" x14ac:dyDescent="0.2">
      <c r="M91" s="146">
        <f>Tornado!CI89</f>
        <v>9.765625E-4</v>
      </c>
      <c r="N91" s="147">
        <f>Tornado!CJ89</f>
        <v>0.302734375</v>
      </c>
      <c r="O91" s="148">
        <f>Tornado!CK89</f>
        <v>15.78172416</v>
      </c>
      <c r="P91" s="148">
        <f t="shared" si="5"/>
        <v>0.12400000000000004</v>
      </c>
      <c r="R91" s="145">
        <f t="shared" si="6"/>
        <v>8.0000000000002292E-4</v>
      </c>
      <c r="S91" s="146">
        <f t="shared" si="8"/>
        <v>0.71399999999999986</v>
      </c>
      <c r="T91" s="148">
        <f t="shared" si="9"/>
        <v>15.602432</v>
      </c>
    </row>
    <row r="92" spans="13:20" x14ac:dyDescent="0.2">
      <c r="M92" s="146">
        <f>Tornado!CI90</f>
        <v>1.953125E-3</v>
      </c>
      <c r="N92" s="147">
        <f>Tornado!CJ90</f>
        <v>0.3046875</v>
      </c>
      <c r="O92" s="148">
        <f>Tornado!CK90</f>
        <v>15.963903999999994</v>
      </c>
      <c r="P92" s="148">
        <f t="shared" si="5"/>
        <v>0.12480000000000004</v>
      </c>
      <c r="R92" s="145">
        <f t="shared" si="6"/>
        <v>3.9999999999995595E-4</v>
      </c>
      <c r="S92" s="146">
        <f t="shared" si="8"/>
        <v>0.71439999999999981</v>
      </c>
      <c r="T92" s="148">
        <f t="shared" si="9"/>
        <v>15.78172416</v>
      </c>
    </row>
    <row r="93" spans="13:20" x14ac:dyDescent="0.2">
      <c r="M93" s="146">
        <f>Tornado!CI91</f>
        <v>3.90625E-3</v>
      </c>
      <c r="N93" s="147">
        <f>Tornado!CJ91</f>
        <v>0.30859375</v>
      </c>
      <c r="O93" s="148">
        <f>Tornado!CK91</f>
        <v>15.963903999999994</v>
      </c>
      <c r="P93" s="148">
        <f t="shared" si="5"/>
        <v>0.12640000000000004</v>
      </c>
      <c r="R93" s="145">
        <f t="shared" si="6"/>
        <v>8.0000000000002292E-4</v>
      </c>
      <c r="S93" s="146">
        <f t="shared" si="8"/>
        <v>0.71519999999999984</v>
      </c>
      <c r="T93" s="148">
        <f t="shared" si="9"/>
        <v>15.963903999999994</v>
      </c>
    </row>
    <row r="94" spans="13:20" x14ac:dyDescent="0.2">
      <c r="M94" s="146">
        <f>Tornado!CI92</f>
        <v>3.90625E-3</v>
      </c>
      <c r="N94" s="147">
        <f>Tornado!CJ92</f>
        <v>0.3125</v>
      </c>
      <c r="O94" s="148">
        <f>Tornado!CK92</f>
        <v>16.06256213333333</v>
      </c>
      <c r="P94" s="148">
        <f t="shared" si="5"/>
        <v>0.12800000000000003</v>
      </c>
      <c r="R94" s="145">
        <f t="shared" si="6"/>
        <v>1.6000000000000458E-3</v>
      </c>
      <c r="S94" s="146">
        <f t="shared" si="8"/>
        <v>0.71679999999999988</v>
      </c>
      <c r="T94" s="148">
        <f t="shared" si="9"/>
        <v>15.963903999999994</v>
      </c>
    </row>
    <row r="95" spans="13:20" x14ac:dyDescent="0.2">
      <c r="M95" s="146">
        <f>Tornado!CI93</f>
        <v>7.8125E-3</v>
      </c>
      <c r="N95" s="147">
        <f>Tornado!CJ93</f>
        <v>0.3203125</v>
      </c>
      <c r="O95" s="148">
        <f>Tornado!CK93</f>
        <v>16.59605333333333</v>
      </c>
      <c r="P95" s="148">
        <f t="shared" si="5"/>
        <v>0.13120000000000004</v>
      </c>
      <c r="R95" s="145">
        <f t="shared" si="6"/>
        <v>1.5999999999999348E-3</v>
      </c>
      <c r="S95" s="146">
        <f t="shared" si="8"/>
        <v>0.71839999999999982</v>
      </c>
      <c r="T95" s="148">
        <f t="shared" si="9"/>
        <v>16.06256213333333</v>
      </c>
    </row>
    <row r="96" spans="13:20" x14ac:dyDescent="0.2">
      <c r="M96" s="146">
        <f>Tornado!CI94</f>
        <v>1.953125E-3</v>
      </c>
      <c r="N96" s="147">
        <f>Tornado!CJ94</f>
        <v>0.322265625</v>
      </c>
      <c r="O96" s="148">
        <f>Tornado!CK94</f>
        <v>16.648874666666661</v>
      </c>
      <c r="P96" s="148">
        <f t="shared" si="5"/>
        <v>0.13200000000000003</v>
      </c>
      <c r="R96" s="145">
        <f t="shared" si="6"/>
        <v>3.1999999999999806E-3</v>
      </c>
      <c r="S96" s="146">
        <f t="shared" si="8"/>
        <v>0.7215999999999998</v>
      </c>
      <c r="T96" s="148">
        <f t="shared" si="9"/>
        <v>16.59605333333333</v>
      </c>
    </row>
    <row r="97" spans="13:20" x14ac:dyDescent="0.2">
      <c r="M97" s="146">
        <f>Tornado!CI95</f>
        <v>1.953125E-3</v>
      </c>
      <c r="N97" s="147">
        <f>Tornado!CJ95</f>
        <v>0.32421875</v>
      </c>
      <c r="O97" s="148">
        <f>Tornado!CK95</f>
        <v>16.770282239999997</v>
      </c>
      <c r="P97" s="148">
        <f t="shared" si="5"/>
        <v>0.13280000000000003</v>
      </c>
      <c r="R97" s="145">
        <f t="shared" si="6"/>
        <v>8.0000000000002292E-4</v>
      </c>
      <c r="S97" s="146">
        <f t="shared" si="8"/>
        <v>0.72239999999999982</v>
      </c>
      <c r="T97" s="148">
        <f t="shared" si="9"/>
        <v>16.648874666666661</v>
      </c>
    </row>
    <row r="98" spans="13:20" x14ac:dyDescent="0.2">
      <c r="M98" s="146">
        <f>Tornado!CI96</f>
        <v>1.5625E-2</v>
      </c>
      <c r="N98" s="147">
        <f>Tornado!CJ96</f>
        <v>0.33984375</v>
      </c>
      <c r="O98" s="148">
        <f>Tornado!CK96</f>
        <v>17.284499199999996</v>
      </c>
      <c r="P98" s="148">
        <f t="shared" si="5"/>
        <v>0.13920000000000005</v>
      </c>
      <c r="R98" s="145">
        <f t="shared" si="6"/>
        <v>8.0000000000002292E-4</v>
      </c>
      <c r="S98" s="146">
        <f t="shared" si="8"/>
        <v>0.72319999999999984</v>
      </c>
      <c r="T98" s="148">
        <f t="shared" si="9"/>
        <v>16.770282239999997</v>
      </c>
    </row>
    <row r="99" spans="13:20" x14ac:dyDescent="0.2">
      <c r="M99" s="146">
        <f>Tornado!CI97</f>
        <v>3.90625E-3</v>
      </c>
      <c r="N99" s="147">
        <f>Tornado!CJ97</f>
        <v>0.34375</v>
      </c>
      <c r="O99" s="148">
        <f>Tornado!CK97</f>
        <v>17.667276799999996</v>
      </c>
      <c r="P99" s="148">
        <f t="shared" si="5"/>
        <v>0.14080000000000004</v>
      </c>
      <c r="R99" s="145">
        <f t="shared" si="6"/>
        <v>6.3999999999999613E-3</v>
      </c>
      <c r="S99" s="146">
        <f t="shared" si="8"/>
        <v>0.7295999999999998</v>
      </c>
      <c r="T99" s="148">
        <f t="shared" si="9"/>
        <v>17.284499199999996</v>
      </c>
    </row>
    <row r="100" spans="13:20" x14ac:dyDescent="0.2">
      <c r="M100" s="146">
        <f>Tornado!CI98</f>
        <v>7.8125E-3</v>
      </c>
      <c r="N100" s="147">
        <f>Tornado!CJ98</f>
        <v>0.3515625</v>
      </c>
      <c r="O100" s="148">
        <f>Tornado!CK98</f>
        <v>17.938541714285709</v>
      </c>
      <c r="P100" s="148">
        <f t="shared" si="5"/>
        <v>0.14400000000000004</v>
      </c>
      <c r="R100" s="145">
        <f t="shared" si="6"/>
        <v>1.6000000000000458E-3</v>
      </c>
      <c r="S100" s="146">
        <f t="shared" si="8"/>
        <v>0.73119999999999985</v>
      </c>
      <c r="T100" s="148">
        <f t="shared" si="9"/>
        <v>17.667276799999996</v>
      </c>
    </row>
    <row r="101" spans="13:20" x14ac:dyDescent="0.2">
      <c r="M101" s="146">
        <f>Tornado!CI99</f>
        <v>3.90625E-3</v>
      </c>
      <c r="N101" s="147">
        <f>Tornado!CJ99</f>
        <v>0.35546875</v>
      </c>
      <c r="O101" s="148">
        <f>Tornado!CK99</f>
        <v>18.495430399999993</v>
      </c>
      <c r="P101" s="148">
        <f t="shared" si="5"/>
        <v>0.14560000000000003</v>
      </c>
      <c r="R101" s="145">
        <f t="shared" si="6"/>
        <v>3.1999999999999806E-3</v>
      </c>
      <c r="S101" s="146">
        <f t="shared" si="8"/>
        <v>0.73439999999999983</v>
      </c>
      <c r="T101" s="148">
        <f t="shared" si="9"/>
        <v>17.938541714285709</v>
      </c>
    </row>
    <row r="102" spans="13:20" x14ac:dyDescent="0.2">
      <c r="M102" s="146">
        <f>Tornado!CI100</f>
        <v>7.8125E-3</v>
      </c>
      <c r="N102" s="147">
        <f>Tornado!CJ100</f>
        <v>0.36328125</v>
      </c>
      <c r="O102" s="148">
        <f>Tornado!CK100</f>
        <v>18.495430399999996</v>
      </c>
      <c r="P102" s="148">
        <f t="shared" si="5"/>
        <v>0.14880000000000004</v>
      </c>
      <c r="R102" s="145">
        <f t="shared" si="6"/>
        <v>1.6000000000000458E-3</v>
      </c>
      <c r="S102" s="146">
        <f t="shared" si="8"/>
        <v>0.73599999999999988</v>
      </c>
      <c r="T102" s="148">
        <f t="shared" si="9"/>
        <v>18.495430399999993</v>
      </c>
    </row>
    <row r="103" spans="13:20" x14ac:dyDescent="0.2">
      <c r="M103" s="146">
        <f>Tornado!CI101</f>
        <v>3.90625E-3</v>
      </c>
      <c r="N103" s="147">
        <f>Tornado!CJ101</f>
        <v>0.3671875</v>
      </c>
      <c r="O103" s="148">
        <f>Tornado!CK101</f>
        <v>18.624554666666661</v>
      </c>
      <c r="P103" s="148">
        <f t="shared" si="5"/>
        <v>0.15040000000000006</v>
      </c>
      <c r="R103" s="145">
        <f t="shared" si="6"/>
        <v>3.1999999999999806E-3</v>
      </c>
      <c r="S103" s="146">
        <f t="shared" si="8"/>
        <v>0.73919999999999986</v>
      </c>
      <c r="T103" s="148">
        <f t="shared" si="9"/>
        <v>18.495430399999996</v>
      </c>
    </row>
    <row r="104" spans="13:20" x14ac:dyDescent="0.2">
      <c r="M104" s="146">
        <f>Tornado!CI102</f>
        <v>9.765625E-4</v>
      </c>
      <c r="N104" s="147">
        <f>Tornado!CJ102</f>
        <v>0.3681640625</v>
      </c>
      <c r="O104" s="148">
        <f>Tornado!CK102</f>
        <v>18.722918400000001</v>
      </c>
      <c r="P104" s="148">
        <f t="shared" si="5"/>
        <v>0.15080000000000005</v>
      </c>
      <c r="R104" s="145">
        <f t="shared" si="6"/>
        <v>1.6000000000000458E-3</v>
      </c>
      <c r="S104" s="146">
        <f t="shared" si="8"/>
        <v>0.7407999999999999</v>
      </c>
      <c r="T104" s="148">
        <f t="shared" si="9"/>
        <v>18.624554666666661</v>
      </c>
    </row>
    <row r="105" spans="13:20" x14ac:dyDescent="0.2">
      <c r="M105" s="146">
        <f>Tornado!CI103</f>
        <v>1.953125E-3</v>
      </c>
      <c r="N105" s="147">
        <f>Tornado!CJ103</f>
        <v>0.3701171875</v>
      </c>
      <c r="O105" s="148">
        <f>Tornado!CK103</f>
        <v>18.787766857142849</v>
      </c>
      <c r="P105" s="148">
        <f t="shared" si="5"/>
        <v>0.15160000000000004</v>
      </c>
      <c r="R105" s="145">
        <f t="shared" si="6"/>
        <v>3.9999999999995595E-4</v>
      </c>
      <c r="S105" s="146">
        <f t="shared" si="8"/>
        <v>0.74119999999999986</v>
      </c>
      <c r="T105" s="148">
        <f t="shared" si="9"/>
        <v>18.722918400000001</v>
      </c>
    </row>
    <row r="106" spans="13:20" x14ac:dyDescent="0.2">
      <c r="M106" s="146">
        <f>Tornado!CI104</f>
        <v>1.953125E-3</v>
      </c>
      <c r="N106" s="147">
        <f>Tornado!CJ104</f>
        <v>0.3720703125</v>
      </c>
      <c r="O106" s="148">
        <f>Tornado!CK104</f>
        <v>19.275074559999997</v>
      </c>
      <c r="P106" s="148">
        <f t="shared" si="5"/>
        <v>0.15240000000000004</v>
      </c>
      <c r="R106" s="145">
        <f t="shared" si="6"/>
        <v>8.0000000000002292E-4</v>
      </c>
      <c r="S106" s="146">
        <f t="shared" si="8"/>
        <v>0.74199999999999988</v>
      </c>
      <c r="T106" s="148">
        <f t="shared" si="9"/>
        <v>18.787766857142849</v>
      </c>
    </row>
    <row r="107" spans="13:20" x14ac:dyDescent="0.2">
      <c r="M107" s="146">
        <f>Tornado!CI105</f>
        <v>1.953125E-3</v>
      </c>
      <c r="N107" s="147">
        <f>Tornado!CJ105</f>
        <v>0.3740234375</v>
      </c>
      <c r="O107" s="148">
        <f>Tornado!CK105</f>
        <v>19.915264000000001</v>
      </c>
      <c r="P107" s="148">
        <f t="shared" si="5"/>
        <v>0.15320000000000006</v>
      </c>
      <c r="R107" s="145">
        <f t="shared" si="6"/>
        <v>8.0000000000002292E-4</v>
      </c>
      <c r="S107" s="146">
        <f t="shared" si="8"/>
        <v>0.7427999999999999</v>
      </c>
      <c r="T107" s="148">
        <f t="shared" si="9"/>
        <v>19.275074559999997</v>
      </c>
    </row>
    <row r="108" spans="13:20" x14ac:dyDescent="0.2">
      <c r="M108" s="146">
        <f>Tornado!CI106</f>
        <v>3.90625E-3</v>
      </c>
      <c r="N108" s="147">
        <f>Tornado!CJ106</f>
        <v>0.3779296875</v>
      </c>
      <c r="O108" s="148">
        <f>Tornado!CK106</f>
        <v>19.915264000000004</v>
      </c>
      <c r="P108" s="148">
        <f t="shared" si="5"/>
        <v>0.15480000000000005</v>
      </c>
      <c r="R108" s="145">
        <f t="shared" si="6"/>
        <v>7.9999999999991189E-4</v>
      </c>
      <c r="S108" s="146">
        <f t="shared" si="8"/>
        <v>0.74359999999999982</v>
      </c>
      <c r="T108" s="148">
        <f t="shared" si="9"/>
        <v>19.915264000000001</v>
      </c>
    </row>
    <row r="109" spans="13:20" x14ac:dyDescent="0.2">
      <c r="M109" s="146">
        <f>Tornado!CI107</f>
        <v>3.90625E-3</v>
      </c>
      <c r="N109" s="147">
        <f>Tornado!CJ107</f>
        <v>0.3818359375</v>
      </c>
      <c r="O109" s="148">
        <f>Tornado!CK107</f>
        <v>19.964621714285709</v>
      </c>
      <c r="P109" s="148">
        <f t="shared" si="5"/>
        <v>0.15640000000000004</v>
      </c>
      <c r="R109" s="145">
        <f t="shared" si="6"/>
        <v>1.6000000000000458E-3</v>
      </c>
      <c r="S109" s="146">
        <f t="shared" si="8"/>
        <v>0.74519999999999986</v>
      </c>
      <c r="T109" s="148">
        <f t="shared" si="9"/>
        <v>19.915264000000004</v>
      </c>
    </row>
    <row r="110" spans="13:20" x14ac:dyDescent="0.2">
      <c r="M110" s="146">
        <f>Tornado!CI108</f>
        <v>9.765625E-4</v>
      </c>
      <c r="N110" s="147">
        <f>Tornado!CJ108</f>
        <v>0.3828125</v>
      </c>
      <c r="O110" s="148">
        <f>Tornado!CK108</f>
        <v>19.978649600000001</v>
      </c>
      <c r="P110" s="148">
        <f t="shared" si="5"/>
        <v>0.15680000000000005</v>
      </c>
      <c r="R110" s="145">
        <f t="shared" si="6"/>
        <v>1.6000000000000458E-3</v>
      </c>
      <c r="S110" s="146">
        <f t="shared" si="8"/>
        <v>0.74679999999999991</v>
      </c>
      <c r="T110" s="148">
        <f t="shared" si="9"/>
        <v>19.964621714285709</v>
      </c>
    </row>
    <row r="111" spans="13:20" x14ac:dyDescent="0.2">
      <c r="M111" s="146">
        <f>Tornado!CI109</f>
        <v>1.953125E-3</v>
      </c>
      <c r="N111" s="147">
        <f>Tornado!CJ109</f>
        <v>0.384765625</v>
      </c>
      <c r="O111" s="148">
        <f>Tornado!CK109</f>
        <v>20.488309028571429</v>
      </c>
      <c r="P111" s="148">
        <f t="shared" si="5"/>
        <v>0.15760000000000005</v>
      </c>
      <c r="R111" s="145">
        <f t="shared" si="6"/>
        <v>3.9999999999995595E-4</v>
      </c>
      <c r="S111" s="146">
        <f t="shared" si="8"/>
        <v>0.74719999999999986</v>
      </c>
      <c r="T111" s="148">
        <f t="shared" si="9"/>
        <v>19.978649600000001</v>
      </c>
    </row>
    <row r="112" spans="13:20" x14ac:dyDescent="0.2">
      <c r="M112" s="146">
        <f>Tornado!CI110</f>
        <v>1.953125E-3</v>
      </c>
      <c r="N112" s="147">
        <f>Tornado!CJ110</f>
        <v>0.38671875</v>
      </c>
      <c r="O112" s="148">
        <f>Tornado!CK110</f>
        <v>20.562388114285707</v>
      </c>
      <c r="P112" s="148">
        <f t="shared" si="5"/>
        <v>0.15840000000000004</v>
      </c>
      <c r="R112" s="145">
        <f t="shared" si="6"/>
        <v>8.0000000000002292E-4</v>
      </c>
      <c r="S112" s="146">
        <f t="shared" si="8"/>
        <v>0.74799999999999989</v>
      </c>
      <c r="T112" s="148">
        <f t="shared" si="9"/>
        <v>20.488309028571429</v>
      </c>
    </row>
    <row r="113" spans="13:20" x14ac:dyDescent="0.2">
      <c r="M113" s="146">
        <f>Tornado!CI111</f>
        <v>7.8125E-3</v>
      </c>
      <c r="N113" s="147">
        <f>Tornado!CJ111</f>
        <v>0.39453125</v>
      </c>
      <c r="O113" s="148">
        <f>Tornado!CK111</f>
        <v>20.741399039999997</v>
      </c>
      <c r="P113" s="148">
        <f t="shared" si="5"/>
        <v>0.16160000000000005</v>
      </c>
      <c r="R113" s="145">
        <f t="shared" si="6"/>
        <v>8.0000000000002292E-4</v>
      </c>
      <c r="S113" s="146">
        <f t="shared" si="8"/>
        <v>0.74879999999999991</v>
      </c>
      <c r="T113" s="148">
        <f t="shared" si="9"/>
        <v>20.562388114285707</v>
      </c>
    </row>
    <row r="114" spans="13:20" x14ac:dyDescent="0.2">
      <c r="M114" s="146">
        <f>Tornado!CI112</f>
        <v>1.5625E-2</v>
      </c>
      <c r="N114" s="147">
        <f>Tornado!CJ112</f>
        <v>0.41015625</v>
      </c>
      <c r="O114" s="148">
        <f>Tornado!CK112</f>
        <v>20.928298666666663</v>
      </c>
      <c r="P114" s="148">
        <f t="shared" si="5"/>
        <v>0.16800000000000007</v>
      </c>
      <c r="R114" s="145">
        <f t="shared" si="6"/>
        <v>3.1999999999999806E-3</v>
      </c>
      <c r="S114" s="146">
        <f t="shared" si="8"/>
        <v>0.75199999999999989</v>
      </c>
      <c r="T114" s="148">
        <f t="shared" si="9"/>
        <v>20.741399039999997</v>
      </c>
    </row>
    <row r="115" spans="13:20" x14ac:dyDescent="0.2">
      <c r="M115" s="146">
        <f>Tornado!CI113</f>
        <v>1.953125E-3</v>
      </c>
      <c r="N115" s="147">
        <f>Tornado!CJ113</f>
        <v>0.412109375</v>
      </c>
      <c r="O115" s="148">
        <f>Tornado!CK113</f>
        <v>21.200732159999998</v>
      </c>
      <c r="P115" s="148">
        <f t="shared" si="5"/>
        <v>0.16880000000000006</v>
      </c>
      <c r="R115" s="145">
        <f t="shared" si="6"/>
        <v>6.3999999999999613E-3</v>
      </c>
      <c r="S115" s="146">
        <f t="shared" si="8"/>
        <v>0.75839999999999985</v>
      </c>
      <c r="T115" s="148">
        <f t="shared" si="9"/>
        <v>20.928298666666663</v>
      </c>
    </row>
    <row r="116" spans="13:20" x14ac:dyDescent="0.2">
      <c r="M116" s="146">
        <f>Tornado!CI114</f>
        <v>7.8125E-3</v>
      </c>
      <c r="N116" s="147">
        <f>Tornado!CJ114</f>
        <v>0.419921875</v>
      </c>
      <c r="O116" s="148">
        <f>Tornado!CK114</f>
        <v>21.578002133333325</v>
      </c>
      <c r="P116" s="148">
        <f t="shared" si="5"/>
        <v>0.17200000000000004</v>
      </c>
      <c r="R116" s="145">
        <f t="shared" si="6"/>
        <v>8.0000000000002292E-4</v>
      </c>
      <c r="S116" s="146">
        <f t="shared" ref="S116:S179" si="10">P115+$S$7</f>
        <v>0.75919999999999987</v>
      </c>
      <c r="T116" s="148">
        <f t="shared" ref="T116:T179" si="11">O115</f>
        <v>21.200732159999998</v>
      </c>
    </row>
    <row r="117" spans="13:20" x14ac:dyDescent="0.2">
      <c r="M117" s="146">
        <f>Tornado!CI115</f>
        <v>3.90625E-3</v>
      </c>
      <c r="N117" s="147">
        <f>Tornado!CJ115</f>
        <v>0.423828125</v>
      </c>
      <c r="O117" s="148">
        <f>Tornado!CK115</f>
        <v>21.919061333333328</v>
      </c>
      <c r="P117" s="148">
        <f t="shared" si="5"/>
        <v>0.17360000000000006</v>
      </c>
      <c r="R117" s="145">
        <f t="shared" si="6"/>
        <v>3.1999999999999806E-3</v>
      </c>
      <c r="S117" s="146">
        <f t="shared" si="10"/>
        <v>0.76239999999999986</v>
      </c>
      <c r="T117" s="148">
        <f t="shared" si="11"/>
        <v>21.578002133333325</v>
      </c>
    </row>
    <row r="118" spans="13:20" x14ac:dyDescent="0.2">
      <c r="M118" s="146">
        <f>Tornado!CI116</f>
        <v>1.953125E-3</v>
      </c>
      <c r="N118" s="147">
        <f>Tornado!CJ116</f>
        <v>0.42578125</v>
      </c>
      <c r="O118" s="148">
        <f>Tornado!CK116</f>
        <v>22.289188571428571</v>
      </c>
      <c r="P118" s="148">
        <f t="shared" si="5"/>
        <v>0.17440000000000005</v>
      </c>
      <c r="R118" s="145">
        <f t="shared" si="6"/>
        <v>1.6000000000000458E-3</v>
      </c>
      <c r="S118" s="146">
        <f t="shared" si="10"/>
        <v>0.7639999999999999</v>
      </c>
      <c r="T118" s="148">
        <f t="shared" si="11"/>
        <v>21.919061333333328</v>
      </c>
    </row>
    <row r="119" spans="13:20" x14ac:dyDescent="0.2">
      <c r="M119" s="146">
        <f>Tornado!CI117</f>
        <v>1.953125E-3</v>
      </c>
      <c r="N119" s="147">
        <f>Tornado!CJ117</f>
        <v>0.427734375</v>
      </c>
      <c r="O119" s="148">
        <f>Tornado!CK117</f>
        <v>22.349465599999995</v>
      </c>
      <c r="P119" s="148">
        <f t="shared" si="5"/>
        <v>0.17520000000000005</v>
      </c>
      <c r="R119" s="145">
        <f t="shared" si="6"/>
        <v>8.0000000000002292E-4</v>
      </c>
      <c r="S119" s="146">
        <f t="shared" si="10"/>
        <v>0.76479999999999992</v>
      </c>
      <c r="T119" s="148">
        <f t="shared" si="11"/>
        <v>22.289188571428571</v>
      </c>
    </row>
    <row r="120" spans="13:20" x14ac:dyDescent="0.2">
      <c r="M120" s="146">
        <f>Tornado!CI118</f>
        <v>9.765625E-4</v>
      </c>
      <c r="N120" s="147">
        <f>Tornado!CJ118</f>
        <v>0.4287109375</v>
      </c>
      <c r="O120" s="148">
        <f>Tornado!CK118</f>
        <v>22.884820114285706</v>
      </c>
      <c r="P120" s="148">
        <f t="shared" si="5"/>
        <v>0.17560000000000006</v>
      </c>
      <c r="R120" s="145">
        <f t="shared" si="6"/>
        <v>7.9999999999991189E-4</v>
      </c>
      <c r="S120" s="146">
        <f t="shared" si="10"/>
        <v>0.76559999999999984</v>
      </c>
      <c r="T120" s="148">
        <f t="shared" si="11"/>
        <v>22.349465599999995</v>
      </c>
    </row>
    <row r="121" spans="13:20" x14ac:dyDescent="0.2">
      <c r="M121" s="146">
        <f>Tornado!CI119</f>
        <v>3.90625E-3</v>
      </c>
      <c r="N121" s="147">
        <f>Tornado!CJ119</f>
        <v>0.4326171875</v>
      </c>
      <c r="O121" s="148">
        <f>Tornado!CK119</f>
        <v>22.919605028571425</v>
      </c>
      <c r="P121" s="148">
        <f t="shared" si="5"/>
        <v>0.17720000000000005</v>
      </c>
      <c r="R121" s="145">
        <f t="shared" si="6"/>
        <v>4.0000000000006697E-4</v>
      </c>
      <c r="S121" s="146">
        <f t="shared" si="10"/>
        <v>0.7659999999999999</v>
      </c>
      <c r="T121" s="148">
        <f t="shared" si="11"/>
        <v>22.884820114285706</v>
      </c>
    </row>
    <row r="122" spans="13:20" x14ac:dyDescent="0.2">
      <c r="M122" s="146">
        <f>Tornado!CI120</f>
        <v>3.90625E-3</v>
      </c>
      <c r="N122" s="147">
        <f>Tornado!CJ120</f>
        <v>0.4365234375</v>
      </c>
      <c r="O122" s="148">
        <f>Tornado!CK120</f>
        <v>23.234474666666667</v>
      </c>
      <c r="P122" s="148">
        <f t="shared" si="5"/>
        <v>0.17880000000000007</v>
      </c>
      <c r="R122" s="145">
        <f t="shared" si="6"/>
        <v>1.5999999999999348E-3</v>
      </c>
      <c r="S122" s="146">
        <f t="shared" si="10"/>
        <v>0.76759999999999984</v>
      </c>
      <c r="T122" s="148">
        <f t="shared" si="11"/>
        <v>22.919605028571425</v>
      </c>
    </row>
    <row r="123" spans="13:20" x14ac:dyDescent="0.2">
      <c r="M123" s="146">
        <f>Tornado!CI121</f>
        <v>7.8125E-3</v>
      </c>
      <c r="N123" s="147">
        <f>Tornado!CJ121</f>
        <v>0.4443359375</v>
      </c>
      <c r="O123" s="148">
        <f>Tornado!CK121</f>
        <v>23.292058666666662</v>
      </c>
      <c r="P123" s="148">
        <f t="shared" si="5"/>
        <v>0.18200000000000005</v>
      </c>
      <c r="R123" s="145">
        <f t="shared" si="6"/>
        <v>1.6000000000000458E-3</v>
      </c>
      <c r="S123" s="146">
        <f t="shared" si="10"/>
        <v>0.76919999999999988</v>
      </c>
      <c r="T123" s="148">
        <f t="shared" si="11"/>
        <v>23.234474666666667</v>
      </c>
    </row>
    <row r="124" spans="13:20" x14ac:dyDescent="0.2">
      <c r="M124" s="146">
        <f>Tornado!CI122</f>
        <v>3.90625E-3</v>
      </c>
      <c r="N124" s="147">
        <f>Tornado!CJ122</f>
        <v>0.4482421875</v>
      </c>
      <c r="O124" s="148">
        <f>Tornado!CK122</f>
        <v>23.903027199999997</v>
      </c>
      <c r="P124" s="148">
        <f t="shared" si="5"/>
        <v>0.18360000000000007</v>
      </c>
      <c r="R124" s="145">
        <f t="shared" si="6"/>
        <v>3.1999999999999806E-3</v>
      </c>
      <c r="S124" s="146">
        <f t="shared" si="10"/>
        <v>0.77239999999999986</v>
      </c>
      <c r="T124" s="148">
        <f t="shared" si="11"/>
        <v>23.292058666666662</v>
      </c>
    </row>
    <row r="125" spans="13:20" x14ac:dyDescent="0.2">
      <c r="M125" s="146">
        <f>Tornado!CI123</f>
        <v>3.90625E-3</v>
      </c>
      <c r="N125" s="147">
        <f>Tornado!CJ123</f>
        <v>0.4521484375</v>
      </c>
      <c r="O125" s="148">
        <f>Tornado!CK123</f>
        <v>23.989452799999988</v>
      </c>
      <c r="P125" s="148">
        <f t="shared" si="5"/>
        <v>0.18520000000000006</v>
      </c>
      <c r="R125" s="145">
        <f t="shared" si="6"/>
        <v>1.6000000000000458E-3</v>
      </c>
      <c r="S125" s="146">
        <f t="shared" si="10"/>
        <v>0.77399999999999991</v>
      </c>
      <c r="T125" s="148">
        <f t="shared" si="11"/>
        <v>23.903027199999997</v>
      </c>
    </row>
    <row r="126" spans="13:20" x14ac:dyDescent="0.2">
      <c r="M126" s="146">
        <f>Tornado!CI124</f>
        <v>1.5625E-2</v>
      </c>
      <c r="N126" s="147">
        <f>Tornado!CJ124</f>
        <v>0.4677734375</v>
      </c>
      <c r="O126" s="148">
        <f>Tornado!CK124</f>
        <v>24.692141714285707</v>
      </c>
      <c r="P126" s="148">
        <f t="shared" si="5"/>
        <v>0.19160000000000005</v>
      </c>
      <c r="R126" s="145">
        <f t="shared" si="6"/>
        <v>1.5999999999999348E-3</v>
      </c>
      <c r="S126" s="146">
        <f t="shared" si="10"/>
        <v>0.77559999999999985</v>
      </c>
      <c r="T126" s="148">
        <f t="shared" si="11"/>
        <v>23.989452799999988</v>
      </c>
    </row>
    <row r="127" spans="13:20" x14ac:dyDescent="0.2">
      <c r="M127" s="146">
        <f>Tornado!CI125</f>
        <v>7.8125E-3</v>
      </c>
      <c r="N127" s="147">
        <f>Tornado!CJ125</f>
        <v>0.4755859375</v>
      </c>
      <c r="O127" s="148">
        <f>Tornado!CK125</f>
        <v>25.113958399999994</v>
      </c>
      <c r="P127" s="148">
        <f t="shared" si="5"/>
        <v>0.19480000000000006</v>
      </c>
      <c r="R127" s="145">
        <f t="shared" si="6"/>
        <v>6.3999999999999613E-3</v>
      </c>
      <c r="S127" s="146">
        <f t="shared" si="10"/>
        <v>0.78199999999999981</v>
      </c>
      <c r="T127" s="148">
        <f t="shared" si="11"/>
        <v>24.692141714285707</v>
      </c>
    </row>
    <row r="128" spans="13:20" x14ac:dyDescent="0.2">
      <c r="M128" s="146">
        <f>Tornado!CI126</f>
        <v>3.90625E-3</v>
      </c>
      <c r="N128" s="147">
        <f>Tornado!CJ126</f>
        <v>0.4794921875</v>
      </c>
      <c r="O128" s="148">
        <f>Tornado!CK126</f>
        <v>25.113958399999994</v>
      </c>
      <c r="P128" s="148">
        <f t="shared" si="5"/>
        <v>0.19640000000000007</v>
      </c>
      <c r="R128" s="145">
        <f t="shared" si="6"/>
        <v>3.2000000000000917E-3</v>
      </c>
      <c r="S128" s="146">
        <f t="shared" si="10"/>
        <v>0.7851999999999999</v>
      </c>
      <c r="T128" s="148">
        <f t="shared" si="11"/>
        <v>25.113958399999994</v>
      </c>
    </row>
    <row r="129" spans="13:20" x14ac:dyDescent="0.2">
      <c r="M129" s="146">
        <f>Tornado!CI127</f>
        <v>3.90625E-3</v>
      </c>
      <c r="N129" s="147">
        <f>Tornado!CJ127</f>
        <v>0.4833984375</v>
      </c>
      <c r="O129" s="148">
        <f>Tornado!CK127</f>
        <v>25.238966857142852</v>
      </c>
      <c r="P129" s="148">
        <f t="shared" si="5"/>
        <v>0.19800000000000006</v>
      </c>
      <c r="R129" s="145">
        <f t="shared" si="6"/>
        <v>1.6000000000000458E-3</v>
      </c>
      <c r="S129" s="146">
        <f t="shared" si="10"/>
        <v>0.78679999999999994</v>
      </c>
      <c r="T129" s="148">
        <f t="shared" si="11"/>
        <v>25.113958399999994</v>
      </c>
    </row>
    <row r="130" spans="13:20" x14ac:dyDescent="0.2">
      <c r="M130" s="146">
        <f>Tornado!CI128</f>
        <v>3.90625E-3</v>
      </c>
      <c r="N130" s="147">
        <f>Tornado!CJ128</f>
        <v>0.4873046875</v>
      </c>
      <c r="O130" s="148">
        <f>Tornado!CK128</f>
        <v>25.893602559999998</v>
      </c>
      <c r="P130" s="148">
        <f t="shared" si="5"/>
        <v>0.19960000000000006</v>
      </c>
      <c r="R130" s="145">
        <f t="shared" si="6"/>
        <v>1.5999999999999348E-3</v>
      </c>
      <c r="S130" s="146">
        <f t="shared" si="10"/>
        <v>0.78839999999999988</v>
      </c>
      <c r="T130" s="148">
        <f t="shared" si="11"/>
        <v>25.238966857142852</v>
      </c>
    </row>
    <row r="131" spans="13:20" x14ac:dyDescent="0.2">
      <c r="M131" s="146">
        <f>Tornado!CI129</f>
        <v>3.90625E-3</v>
      </c>
      <c r="N131" s="147">
        <f>Tornado!CJ129</f>
        <v>0.4912109375</v>
      </c>
      <c r="O131" s="148">
        <f>Tornado!CK129</f>
        <v>26.004053333333328</v>
      </c>
      <c r="P131" s="148">
        <f t="shared" si="5"/>
        <v>0.20120000000000007</v>
      </c>
      <c r="R131" s="145">
        <f t="shared" si="6"/>
        <v>1.5999999999999348E-3</v>
      </c>
      <c r="S131" s="146">
        <f t="shared" si="10"/>
        <v>0.78999999999999981</v>
      </c>
      <c r="T131" s="148">
        <f t="shared" si="11"/>
        <v>25.893602559999998</v>
      </c>
    </row>
    <row r="132" spans="13:20" x14ac:dyDescent="0.2">
      <c r="M132" s="146">
        <f>Tornado!CI130</f>
        <v>9.765625E-4</v>
      </c>
      <c r="N132" s="147">
        <f>Tornado!CJ130</f>
        <v>0.4921875</v>
      </c>
      <c r="O132" s="148">
        <f>Tornado!CK130</f>
        <v>26.302873599999991</v>
      </c>
      <c r="P132" s="148">
        <f t="shared" si="5"/>
        <v>0.20160000000000006</v>
      </c>
      <c r="R132" s="145">
        <f t="shared" si="6"/>
        <v>1.6000000000000458E-3</v>
      </c>
      <c r="S132" s="146">
        <f t="shared" si="10"/>
        <v>0.79159999999999986</v>
      </c>
      <c r="T132" s="148">
        <f t="shared" si="11"/>
        <v>26.004053333333328</v>
      </c>
    </row>
    <row r="133" spans="13:20" x14ac:dyDescent="0.2">
      <c r="M133" s="146">
        <f>Tornado!CI131</f>
        <v>1.953125E-3</v>
      </c>
      <c r="N133" s="147">
        <f>Tornado!CJ131</f>
        <v>0.494140625</v>
      </c>
      <c r="O133" s="148">
        <f>Tornado!CK131</f>
        <v>26.302873599999991</v>
      </c>
      <c r="P133" s="148">
        <f t="shared" si="5"/>
        <v>0.20240000000000005</v>
      </c>
      <c r="R133" s="145">
        <f t="shared" si="6"/>
        <v>3.9999999999995595E-4</v>
      </c>
      <c r="S133" s="146">
        <f t="shared" si="10"/>
        <v>0.79199999999999982</v>
      </c>
      <c r="T133" s="148">
        <f t="shared" si="11"/>
        <v>26.302873599999991</v>
      </c>
    </row>
    <row r="134" spans="13:20" x14ac:dyDescent="0.2">
      <c r="M134" s="146">
        <f>Tornado!CI132</f>
        <v>1.953125E-3</v>
      </c>
      <c r="N134" s="147">
        <f>Tornado!CJ132</f>
        <v>0.49609375</v>
      </c>
      <c r="O134" s="148">
        <f>Tornado!CK132</f>
        <v>26.698956799999994</v>
      </c>
      <c r="P134" s="148">
        <f t="shared" si="5"/>
        <v>0.20320000000000008</v>
      </c>
      <c r="R134" s="145">
        <f t="shared" si="6"/>
        <v>8.0000000000002292E-4</v>
      </c>
      <c r="S134" s="146">
        <f t="shared" si="10"/>
        <v>0.79279999999999984</v>
      </c>
      <c r="T134" s="148">
        <f t="shared" si="11"/>
        <v>26.302873599999991</v>
      </c>
    </row>
    <row r="135" spans="13:20" x14ac:dyDescent="0.2">
      <c r="M135" s="146">
        <f>Tornado!CI133</f>
        <v>7.8125E-3</v>
      </c>
      <c r="N135" s="147">
        <f>Tornado!CJ133</f>
        <v>0.50390625</v>
      </c>
      <c r="O135" s="148">
        <f>Tornado!CK133</f>
        <v>26.739539199999992</v>
      </c>
      <c r="P135" s="148">
        <f t="shared" ref="P135:P198" si="12">pCrossChasm_total * N135</f>
        <v>0.20640000000000006</v>
      </c>
      <c r="R135" s="145">
        <f t="shared" si="6"/>
        <v>8.0000000000002292E-4</v>
      </c>
      <c r="S135" s="146">
        <f t="shared" si="10"/>
        <v>0.79359999999999986</v>
      </c>
      <c r="T135" s="148">
        <f t="shared" si="11"/>
        <v>26.698956799999994</v>
      </c>
    </row>
    <row r="136" spans="13:20" x14ac:dyDescent="0.2">
      <c r="M136" s="146">
        <f>Tornado!CI134</f>
        <v>1.953125E-3</v>
      </c>
      <c r="N136" s="147">
        <f>Tornado!CJ134</f>
        <v>0.505859375</v>
      </c>
      <c r="O136" s="148">
        <f>Tornado!CK134</f>
        <v>27.881369600000006</v>
      </c>
      <c r="P136" s="148">
        <f t="shared" si="12"/>
        <v>0.20720000000000008</v>
      </c>
      <c r="R136" s="145">
        <f t="shared" ref="R136:R199" si="13">S136-S135</f>
        <v>3.1999999999999806E-3</v>
      </c>
      <c r="S136" s="146">
        <f t="shared" si="10"/>
        <v>0.79679999999999984</v>
      </c>
      <c r="T136" s="148">
        <f t="shared" si="11"/>
        <v>26.739539199999992</v>
      </c>
    </row>
    <row r="137" spans="13:20" x14ac:dyDescent="0.2">
      <c r="M137" s="146">
        <f>Tornado!CI135</f>
        <v>1.953125E-3</v>
      </c>
      <c r="N137" s="147">
        <f>Tornado!CJ135</f>
        <v>0.5078125</v>
      </c>
      <c r="O137" s="148">
        <f>Tornado!CK135</f>
        <v>27.95047039999999</v>
      </c>
      <c r="P137" s="148">
        <f t="shared" si="12"/>
        <v>0.20800000000000007</v>
      </c>
      <c r="R137" s="145">
        <f t="shared" si="13"/>
        <v>8.0000000000002292E-4</v>
      </c>
      <c r="S137" s="146">
        <f t="shared" si="10"/>
        <v>0.79759999999999986</v>
      </c>
      <c r="T137" s="148">
        <f t="shared" si="11"/>
        <v>27.881369600000006</v>
      </c>
    </row>
    <row r="138" spans="13:20" x14ac:dyDescent="0.2">
      <c r="M138" s="146">
        <f>Tornado!CI136</f>
        <v>3.90625E-3</v>
      </c>
      <c r="N138" s="147">
        <f>Tornado!CJ136</f>
        <v>0.51171875</v>
      </c>
      <c r="O138" s="148">
        <f>Tornado!CK136</f>
        <v>27.950470399999997</v>
      </c>
      <c r="P138" s="148">
        <f t="shared" si="12"/>
        <v>0.20960000000000006</v>
      </c>
      <c r="R138" s="145">
        <f t="shared" si="13"/>
        <v>8.0000000000002292E-4</v>
      </c>
      <c r="S138" s="146">
        <f t="shared" si="10"/>
        <v>0.79839999999999989</v>
      </c>
      <c r="T138" s="148">
        <f t="shared" si="11"/>
        <v>27.95047039999999</v>
      </c>
    </row>
    <row r="139" spans="13:20" x14ac:dyDescent="0.2">
      <c r="M139" s="146">
        <f>Tornado!CI137</f>
        <v>3.90625E-3</v>
      </c>
      <c r="N139" s="147">
        <f>Tornado!CJ137</f>
        <v>0.515625</v>
      </c>
      <c r="O139" s="148">
        <f>Tornado!CK137</f>
        <v>28.303828114285704</v>
      </c>
      <c r="P139" s="148">
        <f t="shared" si="12"/>
        <v>0.21120000000000005</v>
      </c>
      <c r="R139" s="145">
        <f t="shared" si="13"/>
        <v>1.5999999999999348E-3</v>
      </c>
      <c r="S139" s="146">
        <f t="shared" si="10"/>
        <v>0.79999999999999982</v>
      </c>
      <c r="T139" s="148">
        <f t="shared" si="11"/>
        <v>27.950470399999997</v>
      </c>
    </row>
    <row r="140" spans="13:20" x14ac:dyDescent="0.2">
      <c r="M140" s="146">
        <f>Tornado!CI138</f>
        <v>3.90625E-3</v>
      </c>
      <c r="N140" s="147">
        <f>Tornado!CJ138</f>
        <v>0.51953125</v>
      </c>
      <c r="O140" s="148">
        <f>Tornado!CK138</f>
        <v>28.592629028571423</v>
      </c>
      <c r="P140" s="148">
        <f t="shared" si="12"/>
        <v>0.21280000000000007</v>
      </c>
      <c r="R140" s="145">
        <f t="shared" si="13"/>
        <v>1.6000000000000458E-3</v>
      </c>
      <c r="S140" s="146">
        <f t="shared" si="10"/>
        <v>0.80159999999999987</v>
      </c>
      <c r="T140" s="148">
        <f t="shared" si="11"/>
        <v>28.303828114285704</v>
      </c>
    </row>
    <row r="141" spans="13:20" x14ac:dyDescent="0.2">
      <c r="M141" s="146">
        <f>Tornado!CI139</f>
        <v>1.953125E-3</v>
      </c>
      <c r="N141" s="147">
        <f>Tornado!CJ139</f>
        <v>0.521484375</v>
      </c>
      <c r="O141" s="148">
        <f>Tornado!CK139</f>
        <v>28.683632640000003</v>
      </c>
      <c r="P141" s="148">
        <f t="shared" si="12"/>
        <v>0.21360000000000007</v>
      </c>
      <c r="R141" s="145">
        <f t="shared" si="13"/>
        <v>1.6000000000000458E-3</v>
      </c>
      <c r="S141" s="146">
        <f t="shared" si="10"/>
        <v>0.80319999999999991</v>
      </c>
      <c r="T141" s="148">
        <f t="shared" si="11"/>
        <v>28.592629028571423</v>
      </c>
    </row>
    <row r="142" spans="13:20" x14ac:dyDescent="0.2">
      <c r="M142" s="146">
        <f>Tornado!CI140</f>
        <v>1.953125E-3</v>
      </c>
      <c r="N142" s="147">
        <f>Tornado!CJ140</f>
        <v>0.5234375</v>
      </c>
      <c r="O142" s="148">
        <f>Tornado!CK140</f>
        <v>28.787343359999994</v>
      </c>
      <c r="P142" s="148">
        <f t="shared" si="12"/>
        <v>0.21440000000000006</v>
      </c>
      <c r="R142" s="145">
        <f t="shared" si="13"/>
        <v>7.9999999999991189E-4</v>
      </c>
      <c r="S142" s="146">
        <f t="shared" si="10"/>
        <v>0.80399999999999983</v>
      </c>
      <c r="T142" s="148">
        <f t="shared" si="11"/>
        <v>28.683632640000003</v>
      </c>
    </row>
    <row r="143" spans="13:20" x14ac:dyDescent="0.2">
      <c r="M143" s="146">
        <f>Tornado!CI141</f>
        <v>3.125E-2</v>
      </c>
      <c r="N143" s="147">
        <f>Tornado!CJ141</f>
        <v>0.5546875</v>
      </c>
      <c r="O143" s="148">
        <f>Tornado!CK141</f>
        <v>28.807498666666657</v>
      </c>
      <c r="P143" s="148">
        <f t="shared" si="12"/>
        <v>0.22720000000000007</v>
      </c>
      <c r="R143" s="145">
        <f t="shared" si="13"/>
        <v>8.0000000000002292E-4</v>
      </c>
      <c r="S143" s="146">
        <f t="shared" si="10"/>
        <v>0.80479999999999985</v>
      </c>
      <c r="T143" s="148">
        <f t="shared" si="11"/>
        <v>28.787343359999994</v>
      </c>
    </row>
    <row r="144" spans="13:20" x14ac:dyDescent="0.2">
      <c r="M144" s="146">
        <f>Tornado!CI142</f>
        <v>7.8125E-3</v>
      </c>
      <c r="N144" s="147">
        <f>Tornado!CJ142</f>
        <v>0.5625</v>
      </c>
      <c r="O144" s="148">
        <f>Tornado!CK142</f>
        <v>29.299618133333322</v>
      </c>
      <c r="P144" s="148">
        <f t="shared" si="12"/>
        <v>0.23040000000000008</v>
      </c>
      <c r="R144" s="145">
        <f t="shared" si="13"/>
        <v>1.2800000000000034E-2</v>
      </c>
      <c r="S144" s="146">
        <f t="shared" si="10"/>
        <v>0.81759999999999988</v>
      </c>
      <c r="T144" s="148">
        <f t="shared" si="11"/>
        <v>28.807498666666657</v>
      </c>
    </row>
    <row r="145" spans="13:20" x14ac:dyDescent="0.2">
      <c r="M145" s="146">
        <f>Tornado!CI143</f>
        <v>7.8125E-3</v>
      </c>
      <c r="N145" s="147">
        <f>Tornado!CJ143</f>
        <v>0.5703125</v>
      </c>
      <c r="O145" s="148">
        <f>Tornado!CK143</f>
        <v>29.445461333333327</v>
      </c>
      <c r="P145" s="148">
        <f t="shared" si="12"/>
        <v>0.23360000000000009</v>
      </c>
      <c r="R145" s="145">
        <f t="shared" si="13"/>
        <v>3.1999999999999806E-3</v>
      </c>
      <c r="S145" s="146">
        <f t="shared" si="10"/>
        <v>0.82079999999999986</v>
      </c>
      <c r="T145" s="148">
        <f t="shared" si="11"/>
        <v>29.299618133333322</v>
      </c>
    </row>
    <row r="146" spans="13:20" x14ac:dyDescent="0.2">
      <c r="M146" s="146">
        <f>Tornado!CI144</f>
        <v>1.953125E-3</v>
      </c>
      <c r="N146" s="147">
        <f>Tornado!CJ144</f>
        <v>0.572265625</v>
      </c>
      <c r="O146" s="148">
        <f>Tornado!CK144</f>
        <v>30.686685866666657</v>
      </c>
      <c r="P146" s="148">
        <f t="shared" si="12"/>
        <v>0.23440000000000008</v>
      </c>
      <c r="R146" s="145">
        <f t="shared" si="13"/>
        <v>3.1999999999999806E-3</v>
      </c>
      <c r="S146" s="146">
        <f t="shared" si="10"/>
        <v>0.82399999999999984</v>
      </c>
      <c r="T146" s="148">
        <f t="shared" si="11"/>
        <v>29.445461333333327</v>
      </c>
    </row>
    <row r="147" spans="13:20" x14ac:dyDescent="0.2">
      <c r="M147" s="146">
        <f>Tornado!CI145</f>
        <v>9.765625E-4</v>
      </c>
      <c r="N147" s="147">
        <f>Tornado!CJ145</f>
        <v>0.5732421875</v>
      </c>
      <c r="O147" s="148">
        <f>Tornado!CK145</f>
        <v>31.204863999999997</v>
      </c>
      <c r="P147" s="148">
        <f t="shared" si="12"/>
        <v>0.23480000000000006</v>
      </c>
      <c r="R147" s="145">
        <f t="shared" si="13"/>
        <v>8.0000000000002292E-4</v>
      </c>
      <c r="S147" s="146">
        <f t="shared" si="10"/>
        <v>0.82479999999999987</v>
      </c>
      <c r="T147" s="148">
        <f t="shared" si="11"/>
        <v>30.686685866666657</v>
      </c>
    </row>
    <row r="148" spans="13:20" x14ac:dyDescent="0.2">
      <c r="M148" s="146">
        <f>Tornado!CI146</f>
        <v>1.953125E-3</v>
      </c>
      <c r="N148" s="147">
        <f>Tornado!CJ146</f>
        <v>0.5751953125</v>
      </c>
      <c r="O148" s="148">
        <f>Tornado!CK146</f>
        <v>31.204864000000004</v>
      </c>
      <c r="P148" s="148">
        <f t="shared" si="12"/>
        <v>0.23560000000000009</v>
      </c>
      <c r="R148" s="145">
        <f t="shared" si="13"/>
        <v>4.0000000000006697E-4</v>
      </c>
      <c r="S148" s="146">
        <f t="shared" si="10"/>
        <v>0.82519999999999993</v>
      </c>
      <c r="T148" s="148">
        <f t="shared" si="11"/>
        <v>31.204863999999997</v>
      </c>
    </row>
    <row r="149" spans="13:20" x14ac:dyDescent="0.2">
      <c r="M149" s="146">
        <f>Tornado!CI147</f>
        <v>9.765625E-4</v>
      </c>
      <c r="N149" s="147">
        <f>Tornado!CJ147</f>
        <v>0.576171875</v>
      </c>
      <c r="O149" s="148">
        <f>Tornado!CK147</f>
        <v>32.03874815999999</v>
      </c>
      <c r="P149" s="148">
        <f t="shared" si="12"/>
        <v>0.23600000000000007</v>
      </c>
      <c r="R149" s="145">
        <f t="shared" si="13"/>
        <v>7.9999999999991189E-4</v>
      </c>
      <c r="S149" s="146">
        <f t="shared" si="10"/>
        <v>0.82599999999999985</v>
      </c>
      <c r="T149" s="148">
        <f t="shared" si="11"/>
        <v>31.204864000000004</v>
      </c>
    </row>
    <row r="150" spans="13:20" x14ac:dyDescent="0.2">
      <c r="M150" s="146">
        <f>Tornado!CI148</f>
        <v>3.90625E-3</v>
      </c>
      <c r="N150" s="147">
        <f>Tornado!CJ148</f>
        <v>0.580078125</v>
      </c>
      <c r="O150" s="148">
        <f>Tornado!CK148</f>
        <v>32.087447039999994</v>
      </c>
      <c r="P150" s="148">
        <f t="shared" si="12"/>
        <v>0.23760000000000009</v>
      </c>
      <c r="R150" s="145">
        <f t="shared" si="13"/>
        <v>4.0000000000006697E-4</v>
      </c>
      <c r="S150" s="146">
        <f t="shared" si="10"/>
        <v>0.82639999999999991</v>
      </c>
      <c r="T150" s="148">
        <f t="shared" si="11"/>
        <v>32.03874815999999</v>
      </c>
    </row>
    <row r="151" spans="13:20" x14ac:dyDescent="0.2">
      <c r="M151" s="146">
        <f>Tornado!CI149</f>
        <v>3.90625E-3</v>
      </c>
      <c r="N151" s="147">
        <f>Tornado!CJ149</f>
        <v>0.583984375</v>
      </c>
      <c r="O151" s="148">
        <f>Tornado!CK149</f>
        <v>32.608882133333324</v>
      </c>
      <c r="P151" s="148">
        <f t="shared" si="12"/>
        <v>0.23920000000000008</v>
      </c>
      <c r="R151" s="145">
        <f t="shared" si="13"/>
        <v>1.5999999999999348E-3</v>
      </c>
      <c r="S151" s="146">
        <f t="shared" si="10"/>
        <v>0.82799999999999985</v>
      </c>
      <c r="T151" s="148">
        <f t="shared" si="11"/>
        <v>32.087447039999994</v>
      </c>
    </row>
    <row r="152" spans="13:20" x14ac:dyDescent="0.2">
      <c r="M152" s="146">
        <f>Tornado!CI150</f>
        <v>7.8125E-3</v>
      </c>
      <c r="N152" s="147">
        <f>Tornado!CJ150</f>
        <v>0.591796875</v>
      </c>
      <c r="O152" s="148">
        <f>Tornado!CK150</f>
        <v>33.02113279999999</v>
      </c>
      <c r="P152" s="148">
        <f t="shared" si="12"/>
        <v>0.24240000000000009</v>
      </c>
      <c r="R152" s="145">
        <f t="shared" si="13"/>
        <v>1.6000000000000458E-3</v>
      </c>
      <c r="S152" s="146">
        <f t="shared" si="10"/>
        <v>0.82959999999999989</v>
      </c>
      <c r="T152" s="148">
        <f t="shared" si="11"/>
        <v>32.608882133333324</v>
      </c>
    </row>
    <row r="153" spans="13:20" x14ac:dyDescent="0.2">
      <c r="M153" s="146">
        <f>Tornado!CI151</f>
        <v>7.8125E-3</v>
      </c>
      <c r="N153" s="147">
        <f>Tornado!CJ151</f>
        <v>0.599609375</v>
      </c>
      <c r="O153" s="148">
        <f>Tornado!CK151</f>
        <v>33.358067200000001</v>
      </c>
      <c r="P153" s="148">
        <f t="shared" si="12"/>
        <v>0.24560000000000007</v>
      </c>
      <c r="R153" s="145">
        <f t="shared" si="13"/>
        <v>3.1999999999999806E-3</v>
      </c>
      <c r="S153" s="146">
        <f t="shared" si="10"/>
        <v>0.83279999999999987</v>
      </c>
      <c r="T153" s="148">
        <f t="shared" si="11"/>
        <v>33.02113279999999</v>
      </c>
    </row>
    <row r="154" spans="13:20" x14ac:dyDescent="0.2">
      <c r="M154" s="146">
        <f>Tornado!CI152</f>
        <v>3.90625E-3</v>
      </c>
      <c r="N154" s="147">
        <f>Tornado!CJ152</f>
        <v>0.603515625</v>
      </c>
      <c r="O154" s="148">
        <f>Tornado!CK152</f>
        <v>34.147181714285708</v>
      </c>
      <c r="P154" s="148">
        <f t="shared" si="12"/>
        <v>0.24720000000000009</v>
      </c>
      <c r="R154" s="145">
        <f t="shared" si="13"/>
        <v>3.1999999999999806E-3</v>
      </c>
      <c r="S154" s="146">
        <f t="shared" si="10"/>
        <v>0.83599999999999985</v>
      </c>
      <c r="T154" s="148">
        <f t="shared" si="11"/>
        <v>33.358067200000001</v>
      </c>
    </row>
    <row r="155" spans="13:20" x14ac:dyDescent="0.2">
      <c r="M155" s="146">
        <f>Tornado!CI153</f>
        <v>3.90625E-3</v>
      </c>
      <c r="N155" s="147">
        <f>Tornado!CJ153</f>
        <v>0.607421875</v>
      </c>
      <c r="O155" s="148">
        <f>Tornado!CK153</f>
        <v>34.270646857142843</v>
      </c>
      <c r="P155" s="148">
        <f t="shared" si="12"/>
        <v>0.24880000000000008</v>
      </c>
      <c r="R155" s="145">
        <f t="shared" si="13"/>
        <v>1.6000000000000458E-3</v>
      </c>
      <c r="S155" s="146">
        <f t="shared" si="10"/>
        <v>0.8375999999999999</v>
      </c>
      <c r="T155" s="148">
        <f t="shared" si="11"/>
        <v>34.147181714285708</v>
      </c>
    </row>
    <row r="156" spans="13:20" x14ac:dyDescent="0.2">
      <c r="M156" s="146">
        <f>Tornado!CI154</f>
        <v>1.5625E-2</v>
      </c>
      <c r="N156" s="147">
        <f>Tornado!CJ154</f>
        <v>0.623046875</v>
      </c>
      <c r="O156" s="148">
        <f>Tornado!CK154</f>
        <v>34.568998399999991</v>
      </c>
      <c r="P156" s="148">
        <f t="shared" si="12"/>
        <v>0.25520000000000009</v>
      </c>
      <c r="R156" s="145">
        <f t="shared" si="13"/>
        <v>1.6000000000000458E-3</v>
      </c>
      <c r="S156" s="146">
        <f t="shared" si="10"/>
        <v>0.83919999999999995</v>
      </c>
      <c r="T156" s="148">
        <f t="shared" si="11"/>
        <v>34.270646857142843</v>
      </c>
    </row>
    <row r="157" spans="13:20" x14ac:dyDescent="0.2">
      <c r="M157" s="146">
        <f>Tornado!CI155</f>
        <v>7.8125E-3</v>
      </c>
      <c r="N157" s="147">
        <f>Tornado!CJ155</f>
        <v>0.630859375</v>
      </c>
      <c r="O157" s="148">
        <f>Tornado!CK155</f>
        <v>34.568998399999991</v>
      </c>
      <c r="P157" s="148">
        <f t="shared" si="12"/>
        <v>0.25840000000000007</v>
      </c>
      <c r="R157" s="145">
        <f t="shared" si="13"/>
        <v>6.3999999999999613E-3</v>
      </c>
      <c r="S157" s="146">
        <f t="shared" si="10"/>
        <v>0.84559999999999991</v>
      </c>
      <c r="T157" s="148">
        <f t="shared" si="11"/>
        <v>34.568998399999991</v>
      </c>
    </row>
    <row r="158" spans="13:20" x14ac:dyDescent="0.2">
      <c r="M158" s="146">
        <f>Tornado!CI156</f>
        <v>3.90625E-3</v>
      </c>
      <c r="N158" s="147">
        <f>Tornado!CJ156</f>
        <v>0.634765625</v>
      </c>
      <c r="O158" s="148">
        <f>Tornado!CK156</f>
        <v>35.159541759999989</v>
      </c>
      <c r="P158" s="148">
        <f t="shared" si="12"/>
        <v>0.26000000000000006</v>
      </c>
      <c r="R158" s="145">
        <f t="shared" si="13"/>
        <v>3.1999999999999806E-3</v>
      </c>
      <c r="S158" s="146">
        <f t="shared" si="10"/>
        <v>0.84879999999999989</v>
      </c>
      <c r="T158" s="148">
        <f t="shared" si="11"/>
        <v>34.568998399999991</v>
      </c>
    </row>
    <row r="159" spans="13:20" x14ac:dyDescent="0.2">
      <c r="M159" s="146">
        <f>Tornado!CI157</f>
        <v>1.953125E-3</v>
      </c>
      <c r="N159" s="147">
        <f>Tornado!CJ157</f>
        <v>0.63671875</v>
      </c>
      <c r="O159" s="148">
        <f>Tornado!CK157</f>
        <v>35.334553599999992</v>
      </c>
      <c r="P159" s="148">
        <f t="shared" si="12"/>
        <v>0.26080000000000009</v>
      </c>
      <c r="R159" s="145">
        <f t="shared" si="13"/>
        <v>1.5999999999999348E-3</v>
      </c>
      <c r="S159" s="146">
        <f t="shared" si="10"/>
        <v>0.85039999999999982</v>
      </c>
      <c r="T159" s="148">
        <f t="shared" si="11"/>
        <v>35.159541759999989</v>
      </c>
    </row>
    <row r="160" spans="13:20" x14ac:dyDescent="0.2">
      <c r="M160" s="146">
        <f>Tornado!CI158</f>
        <v>3.90625E-3</v>
      </c>
      <c r="N160" s="147">
        <f>Tornado!CJ158</f>
        <v>0.640625</v>
      </c>
      <c r="O160" s="148">
        <f>Tornado!CK158</f>
        <v>35.334553599999992</v>
      </c>
      <c r="P160" s="148">
        <f t="shared" si="12"/>
        <v>0.26240000000000008</v>
      </c>
      <c r="R160" s="145">
        <f t="shared" si="13"/>
        <v>8.0000000000013394E-4</v>
      </c>
      <c r="S160" s="146">
        <f t="shared" si="10"/>
        <v>0.85119999999999996</v>
      </c>
      <c r="T160" s="148">
        <f t="shared" si="11"/>
        <v>35.334553599999992</v>
      </c>
    </row>
    <row r="161" spans="13:20" x14ac:dyDescent="0.2">
      <c r="M161" s="146">
        <f>Tornado!CI159</f>
        <v>1.953125E-3</v>
      </c>
      <c r="N161" s="147">
        <f>Tornado!CJ159</f>
        <v>0.642578125</v>
      </c>
      <c r="O161" s="148">
        <f>Tornado!CK159</f>
        <v>36.40567466666667</v>
      </c>
      <c r="P161" s="148">
        <f t="shared" si="12"/>
        <v>0.2632000000000001</v>
      </c>
      <c r="R161" s="145">
        <f t="shared" si="13"/>
        <v>1.5999999999999348E-3</v>
      </c>
      <c r="S161" s="146">
        <f t="shared" si="10"/>
        <v>0.85279999999999989</v>
      </c>
      <c r="T161" s="148">
        <f t="shared" si="11"/>
        <v>35.334553599999992</v>
      </c>
    </row>
    <row r="162" spans="13:20" x14ac:dyDescent="0.2">
      <c r="M162" s="146">
        <f>Tornado!CI160</f>
        <v>9.765625E-4</v>
      </c>
      <c r="N162" s="147">
        <f>Tornado!CJ160</f>
        <v>0.6435546875</v>
      </c>
      <c r="O162" s="148">
        <f>Tornado!CK160</f>
        <v>36.824023039999993</v>
      </c>
      <c r="P162" s="148">
        <f t="shared" si="12"/>
        <v>0.26360000000000006</v>
      </c>
      <c r="R162" s="145">
        <f t="shared" si="13"/>
        <v>8.0000000000002292E-4</v>
      </c>
      <c r="S162" s="146">
        <f t="shared" si="10"/>
        <v>0.85359999999999991</v>
      </c>
      <c r="T162" s="148">
        <f t="shared" si="11"/>
        <v>36.40567466666667</v>
      </c>
    </row>
    <row r="163" spans="13:20" x14ac:dyDescent="0.2">
      <c r="M163" s="146">
        <f>Tornado!CI161</f>
        <v>1.953125E-3</v>
      </c>
      <c r="N163" s="147">
        <f>Tornado!CJ161</f>
        <v>0.6455078125</v>
      </c>
      <c r="O163" s="148">
        <f>Tornado!CK161</f>
        <v>38.141366857142849</v>
      </c>
      <c r="P163" s="148">
        <f t="shared" si="12"/>
        <v>0.26440000000000008</v>
      </c>
      <c r="R163" s="145">
        <f t="shared" si="13"/>
        <v>3.9999999999995595E-4</v>
      </c>
      <c r="S163" s="146">
        <f t="shared" si="10"/>
        <v>0.85399999999999987</v>
      </c>
      <c r="T163" s="148">
        <f t="shared" si="11"/>
        <v>36.824023039999993</v>
      </c>
    </row>
    <row r="164" spans="13:20" x14ac:dyDescent="0.2">
      <c r="M164" s="146">
        <f>Tornado!CI162</f>
        <v>7.8125E-3</v>
      </c>
      <c r="N164" s="147">
        <f>Tornado!CJ162</f>
        <v>0.6533203125</v>
      </c>
      <c r="O164" s="148">
        <f>Tornado!CK162</f>
        <v>38.199341714285701</v>
      </c>
      <c r="P164" s="148">
        <f t="shared" si="12"/>
        <v>0.26760000000000006</v>
      </c>
      <c r="R164" s="145">
        <f t="shared" si="13"/>
        <v>8.0000000000002292E-4</v>
      </c>
      <c r="S164" s="146">
        <f t="shared" si="10"/>
        <v>0.85479999999999989</v>
      </c>
      <c r="T164" s="148">
        <f t="shared" si="11"/>
        <v>38.141366857142849</v>
      </c>
    </row>
    <row r="165" spans="13:20" x14ac:dyDescent="0.2">
      <c r="M165" s="146">
        <f>Tornado!CI163</f>
        <v>1.953125E-3</v>
      </c>
      <c r="N165" s="147">
        <f>Tornado!CJ163</f>
        <v>0.6552734375</v>
      </c>
      <c r="O165" s="148">
        <f>Tornado!CK163</f>
        <v>39.130658559999993</v>
      </c>
      <c r="P165" s="148">
        <f t="shared" si="12"/>
        <v>0.26840000000000008</v>
      </c>
      <c r="R165" s="145">
        <f t="shared" si="13"/>
        <v>3.1999999999999806E-3</v>
      </c>
      <c r="S165" s="146">
        <f t="shared" si="10"/>
        <v>0.85799999999999987</v>
      </c>
      <c r="T165" s="148">
        <f t="shared" si="11"/>
        <v>38.199341714285701</v>
      </c>
    </row>
    <row r="166" spans="13:20" x14ac:dyDescent="0.2">
      <c r="M166" s="146">
        <f>Tornado!CI164</f>
        <v>9.765625E-4</v>
      </c>
      <c r="N166" s="147">
        <f>Tornado!CJ164</f>
        <v>0.65625</v>
      </c>
      <c r="O166" s="148">
        <f>Tornado!CK164</f>
        <v>39.141844114285711</v>
      </c>
      <c r="P166" s="148">
        <f t="shared" si="12"/>
        <v>0.26880000000000009</v>
      </c>
      <c r="R166" s="145">
        <f t="shared" si="13"/>
        <v>8.0000000000002292E-4</v>
      </c>
      <c r="S166" s="146">
        <f t="shared" si="10"/>
        <v>0.8587999999999999</v>
      </c>
      <c r="T166" s="148">
        <f t="shared" si="11"/>
        <v>39.130658559999993</v>
      </c>
    </row>
    <row r="167" spans="13:20" x14ac:dyDescent="0.2">
      <c r="M167" s="146">
        <f>Tornado!CI165</f>
        <v>3.90625E-3</v>
      </c>
      <c r="N167" s="147">
        <f>Tornado!CJ165</f>
        <v>0.66015625</v>
      </c>
      <c r="O167" s="148">
        <f>Tornado!CK165</f>
        <v>39.625359359999997</v>
      </c>
      <c r="P167" s="148">
        <f t="shared" si="12"/>
        <v>0.27040000000000008</v>
      </c>
      <c r="R167" s="145">
        <f t="shared" si="13"/>
        <v>4.0000000000006697E-4</v>
      </c>
      <c r="S167" s="146">
        <f t="shared" si="10"/>
        <v>0.85919999999999996</v>
      </c>
      <c r="T167" s="148">
        <f t="shared" si="11"/>
        <v>39.141844114285711</v>
      </c>
    </row>
    <row r="168" spans="13:20" x14ac:dyDescent="0.2">
      <c r="M168" s="146">
        <f>Tornado!CI166</f>
        <v>7.8125E-3</v>
      </c>
      <c r="N168" s="147">
        <f>Tornado!CJ166</f>
        <v>0.66796875</v>
      </c>
      <c r="O168" s="148">
        <f>Tornado!CK166</f>
        <v>39.838378666666657</v>
      </c>
      <c r="P168" s="148">
        <f t="shared" si="12"/>
        <v>0.27360000000000007</v>
      </c>
      <c r="R168" s="145">
        <f t="shared" si="13"/>
        <v>1.5999999999999348E-3</v>
      </c>
      <c r="S168" s="146">
        <f t="shared" si="10"/>
        <v>0.8607999999999999</v>
      </c>
      <c r="T168" s="148">
        <f t="shared" si="11"/>
        <v>39.625359359999997</v>
      </c>
    </row>
    <row r="169" spans="13:20" x14ac:dyDescent="0.2">
      <c r="M169" s="146">
        <f>Tornado!CI167</f>
        <v>7.8125E-3</v>
      </c>
      <c r="N169" s="147">
        <f>Tornado!CJ167</f>
        <v>0.67578125</v>
      </c>
      <c r="O169" s="148">
        <f>Tornado!CK167</f>
        <v>39.98242133333332</v>
      </c>
      <c r="P169" s="148">
        <f t="shared" si="12"/>
        <v>0.2768000000000001</v>
      </c>
      <c r="R169" s="145">
        <f t="shared" si="13"/>
        <v>3.1999999999999806E-3</v>
      </c>
      <c r="S169" s="146">
        <f t="shared" si="10"/>
        <v>0.86399999999999988</v>
      </c>
      <c r="T169" s="148">
        <f t="shared" si="11"/>
        <v>39.838378666666657</v>
      </c>
    </row>
    <row r="170" spans="13:20" x14ac:dyDescent="0.2">
      <c r="M170" s="146">
        <f>Tornado!CI168</f>
        <v>3.90625E-3</v>
      </c>
      <c r="N170" s="147">
        <f>Tornado!CJ168</f>
        <v>0.6796875</v>
      </c>
      <c r="O170" s="148">
        <f>Tornado!CK168</f>
        <v>40.029680640000009</v>
      </c>
      <c r="P170" s="148">
        <f t="shared" si="12"/>
        <v>0.27840000000000009</v>
      </c>
      <c r="R170" s="145">
        <f t="shared" si="13"/>
        <v>3.2000000000000917E-3</v>
      </c>
      <c r="S170" s="146">
        <f t="shared" si="10"/>
        <v>0.86719999999999997</v>
      </c>
      <c r="T170" s="148">
        <f t="shared" si="11"/>
        <v>39.98242133333332</v>
      </c>
    </row>
    <row r="171" spans="13:20" x14ac:dyDescent="0.2">
      <c r="M171" s="146">
        <f>Tornado!CI169</f>
        <v>1.5625E-2</v>
      </c>
      <c r="N171" s="147">
        <f>Tornado!CJ169</f>
        <v>0.6953125</v>
      </c>
      <c r="O171" s="148">
        <f>Tornado!CK169</f>
        <v>40.330498133333322</v>
      </c>
      <c r="P171" s="148">
        <f t="shared" si="12"/>
        <v>0.28480000000000011</v>
      </c>
      <c r="R171" s="145">
        <f t="shared" si="13"/>
        <v>1.5999999999999348E-3</v>
      </c>
      <c r="S171" s="146">
        <f t="shared" si="10"/>
        <v>0.86879999999999991</v>
      </c>
      <c r="T171" s="148">
        <f t="shared" si="11"/>
        <v>40.029680640000009</v>
      </c>
    </row>
    <row r="172" spans="13:20" x14ac:dyDescent="0.2">
      <c r="M172" s="146">
        <f>Tornado!CI170</f>
        <v>3.90625E-3</v>
      </c>
      <c r="N172" s="147">
        <f>Tornado!CJ170</f>
        <v>0.69921875</v>
      </c>
      <c r="O172" s="148">
        <f>Tornado!CK170</f>
        <v>41.223645866666658</v>
      </c>
      <c r="P172" s="148">
        <f t="shared" si="12"/>
        <v>0.2864000000000001</v>
      </c>
      <c r="R172" s="145">
        <f t="shared" si="13"/>
        <v>6.4000000000000723E-3</v>
      </c>
      <c r="S172" s="146">
        <f t="shared" si="10"/>
        <v>0.87519999999999998</v>
      </c>
      <c r="T172" s="148">
        <f t="shared" si="11"/>
        <v>40.330498133333322</v>
      </c>
    </row>
    <row r="173" spans="13:20" x14ac:dyDescent="0.2">
      <c r="M173" s="146">
        <f>Tornado!CI171</f>
        <v>9.765625E-4</v>
      </c>
      <c r="N173" s="147">
        <f>Tornado!CJ171</f>
        <v>0.7001953125</v>
      </c>
      <c r="O173" s="148">
        <f>Tornado!CK171</f>
        <v>43.686809600000004</v>
      </c>
      <c r="P173" s="148">
        <f t="shared" si="12"/>
        <v>0.28680000000000011</v>
      </c>
      <c r="R173" s="145">
        <f t="shared" si="13"/>
        <v>1.5999999999999348E-3</v>
      </c>
      <c r="S173" s="146">
        <f t="shared" si="10"/>
        <v>0.87679999999999991</v>
      </c>
      <c r="T173" s="148">
        <f t="shared" si="11"/>
        <v>41.223645866666658</v>
      </c>
    </row>
    <row r="174" spans="13:20" x14ac:dyDescent="0.2">
      <c r="M174" s="146">
        <f>Tornado!CI172</f>
        <v>1.953125E-3</v>
      </c>
      <c r="N174" s="147">
        <f>Tornado!CJ172</f>
        <v>0.7021484375</v>
      </c>
      <c r="O174" s="148">
        <f>Tornado!CK172</f>
        <v>43.786708114285702</v>
      </c>
      <c r="P174" s="148">
        <f t="shared" si="12"/>
        <v>0.28760000000000008</v>
      </c>
      <c r="R174" s="145">
        <f t="shared" si="13"/>
        <v>4.0000000000006697E-4</v>
      </c>
      <c r="S174" s="146">
        <f t="shared" si="10"/>
        <v>0.87719999999999998</v>
      </c>
      <c r="T174" s="148">
        <f t="shared" si="11"/>
        <v>43.686809600000004</v>
      </c>
    </row>
    <row r="175" spans="13:20" x14ac:dyDescent="0.2">
      <c r="M175" s="146">
        <f>Tornado!CI173</f>
        <v>3.90625E-3</v>
      </c>
      <c r="N175" s="147">
        <f>Tornado!CJ173</f>
        <v>0.7060546875</v>
      </c>
      <c r="O175" s="148">
        <f>Tornado!CK173</f>
        <v>44.498261333333311</v>
      </c>
      <c r="P175" s="148">
        <f t="shared" si="12"/>
        <v>0.28920000000000007</v>
      </c>
      <c r="R175" s="145">
        <f t="shared" si="13"/>
        <v>7.9999999999991189E-4</v>
      </c>
      <c r="S175" s="146">
        <f t="shared" si="10"/>
        <v>0.87799999999999989</v>
      </c>
      <c r="T175" s="148">
        <f t="shared" si="11"/>
        <v>43.786708114285702</v>
      </c>
    </row>
    <row r="176" spans="13:20" x14ac:dyDescent="0.2">
      <c r="M176" s="146">
        <f>Tornado!CI174</f>
        <v>1.5625E-2</v>
      </c>
      <c r="N176" s="147">
        <f>Tornado!CJ174</f>
        <v>0.7216796875</v>
      </c>
      <c r="O176" s="148">
        <f>Tornado!CK174</f>
        <v>44.565898666666655</v>
      </c>
      <c r="P176" s="148">
        <f t="shared" si="12"/>
        <v>0.29560000000000008</v>
      </c>
      <c r="R176" s="145">
        <f t="shared" si="13"/>
        <v>1.6000000000000458E-3</v>
      </c>
      <c r="S176" s="146">
        <f t="shared" si="10"/>
        <v>0.87959999999999994</v>
      </c>
      <c r="T176" s="148">
        <f t="shared" si="11"/>
        <v>44.498261333333311</v>
      </c>
    </row>
    <row r="177" spans="13:20" x14ac:dyDescent="0.2">
      <c r="M177" s="146">
        <f>Tornado!CI175</f>
        <v>1.953125E-3</v>
      </c>
      <c r="N177" s="147">
        <f>Tornado!CJ175</f>
        <v>0.7236328125</v>
      </c>
      <c r="O177" s="148">
        <f>Tornado!CK175</f>
        <v>44.801269028571426</v>
      </c>
      <c r="P177" s="148">
        <f t="shared" si="12"/>
        <v>0.29640000000000011</v>
      </c>
      <c r="R177" s="145">
        <f t="shared" si="13"/>
        <v>6.3999999999999613E-3</v>
      </c>
      <c r="S177" s="146">
        <f t="shared" si="10"/>
        <v>0.8859999999999999</v>
      </c>
      <c r="T177" s="148">
        <f t="shared" si="11"/>
        <v>44.565898666666655</v>
      </c>
    </row>
    <row r="178" spans="13:20" x14ac:dyDescent="0.2">
      <c r="M178" s="146">
        <f>Tornado!CI176</f>
        <v>1.953125E-3</v>
      </c>
      <c r="N178" s="147">
        <f>Tornado!CJ176</f>
        <v>0.7255859375</v>
      </c>
      <c r="O178" s="148">
        <f>Tornado!CK176</f>
        <v>45.665484800000002</v>
      </c>
      <c r="P178" s="148">
        <f t="shared" si="12"/>
        <v>0.29720000000000008</v>
      </c>
      <c r="R178" s="145">
        <f t="shared" si="13"/>
        <v>8.0000000000002292E-4</v>
      </c>
      <c r="S178" s="146">
        <f t="shared" si="10"/>
        <v>0.88679999999999992</v>
      </c>
      <c r="T178" s="148">
        <f t="shared" si="11"/>
        <v>44.801269028571426</v>
      </c>
    </row>
    <row r="179" spans="13:20" x14ac:dyDescent="0.2">
      <c r="M179" s="146">
        <f>Tornado!CI177</f>
        <v>7.8125E-3</v>
      </c>
      <c r="N179" s="147">
        <f>Tornado!CJ177</f>
        <v>0.7333984375</v>
      </c>
      <c r="O179" s="148">
        <f>Tornado!CK177</f>
        <v>47.173046857142843</v>
      </c>
      <c r="P179" s="148">
        <f t="shared" si="12"/>
        <v>0.30040000000000011</v>
      </c>
      <c r="R179" s="145">
        <f t="shared" si="13"/>
        <v>8.0000000000002292E-4</v>
      </c>
      <c r="S179" s="146">
        <f t="shared" si="10"/>
        <v>0.88759999999999994</v>
      </c>
      <c r="T179" s="148">
        <f t="shared" si="11"/>
        <v>45.665484800000002</v>
      </c>
    </row>
    <row r="180" spans="13:20" x14ac:dyDescent="0.2">
      <c r="M180" s="146">
        <f>Tornado!CI178</f>
        <v>7.8125E-3</v>
      </c>
      <c r="N180" s="147">
        <f>Tornado!CJ178</f>
        <v>0.7412109375</v>
      </c>
      <c r="O180" s="148">
        <f>Tornado!CK178</f>
        <v>47.654381714285705</v>
      </c>
      <c r="P180" s="148">
        <f t="shared" si="12"/>
        <v>0.30360000000000009</v>
      </c>
      <c r="R180" s="145">
        <f t="shared" si="13"/>
        <v>3.1999999999999806E-3</v>
      </c>
      <c r="S180" s="146">
        <f t="shared" ref="S180:S243" si="14">P179+$S$7</f>
        <v>0.89079999999999993</v>
      </c>
      <c r="T180" s="148">
        <f t="shared" ref="T180:T243" si="15">O179</f>
        <v>47.173046857142843</v>
      </c>
    </row>
    <row r="181" spans="13:20" x14ac:dyDescent="0.2">
      <c r="M181" s="146">
        <f>Tornado!CI179</f>
        <v>1.953125E-3</v>
      </c>
      <c r="N181" s="147">
        <f>Tornado!CJ179</f>
        <v>0.7431640625</v>
      </c>
      <c r="O181" s="148">
        <f>Tornado!CK179</f>
        <v>47.806054399999994</v>
      </c>
      <c r="P181" s="148">
        <f t="shared" si="12"/>
        <v>0.30440000000000011</v>
      </c>
      <c r="R181" s="145">
        <f t="shared" si="13"/>
        <v>3.1999999999999806E-3</v>
      </c>
      <c r="S181" s="146">
        <f t="shared" si="14"/>
        <v>0.89399999999999991</v>
      </c>
      <c r="T181" s="148">
        <f t="shared" si="15"/>
        <v>47.654381714285705</v>
      </c>
    </row>
    <row r="182" spans="13:20" x14ac:dyDescent="0.2">
      <c r="M182" s="146">
        <f>Tornado!CI180</f>
        <v>3.90625E-3</v>
      </c>
      <c r="N182" s="147">
        <f>Tornado!CJ180</f>
        <v>0.7470703125</v>
      </c>
      <c r="O182" s="148">
        <f>Tornado!CK180</f>
        <v>47.806054400000008</v>
      </c>
      <c r="P182" s="148">
        <f t="shared" si="12"/>
        <v>0.30600000000000011</v>
      </c>
      <c r="R182" s="145">
        <f t="shared" si="13"/>
        <v>8.0000000000002292E-4</v>
      </c>
      <c r="S182" s="146">
        <f t="shared" si="14"/>
        <v>0.89479999999999993</v>
      </c>
      <c r="T182" s="148">
        <f t="shared" si="15"/>
        <v>47.806054399999994</v>
      </c>
    </row>
    <row r="183" spans="13:20" x14ac:dyDescent="0.2">
      <c r="M183" s="146">
        <f>Tornado!CI181</f>
        <v>3.90625E-3</v>
      </c>
      <c r="N183" s="147">
        <f>Tornado!CJ181</f>
        <v>0.7509765625</v>
      </c>
      <c r="O183" s="148">
        <f>Tornado!CK181</f>
        <v>47.978905599999976</v>
      </c>
      <c r="P183" s="148">
        <f t="shared" si="12"/>
        <v>0.3076000000000001</v>
      </c>
      <c r="R183" s="145">
        <f t="shared" si="13"/>
        <v>1.5999999999999348E-3</v>
      </c>
      <c r="S183" s="146">
        <f t="shared" si="14"/>
        <v>0.89639999999999986</v>
      </c>
      <c r="T183" s="148">
        <f t="shared" si="15"/>
        <v>47.806054400000008</v>
      </c>
    </row>
    <row r="184" spans="13:20" x14ac:dyDescent="0.2">
      <c r="M184" s="146">
        <f>Tornado!CI182</f>
        <v>1.953125E-3</v>
      </c>
      <c r="N184" s="147">
        <f>Tornado!CJ182</f>
        <v>0.7529296875</v>
      </c>
      <c r="O184" s="148">
        <f>Tornado!CK182</f>
        <v>47.978905599999976</v>
      </c>
      <c r="P184" s="148">
        <f t="shared" si="12"/>
        <v>0.30840000000000012</v>
      </c>
      <c r="R184" s="145">
        <f t="shared" si="13"/>
        <v>1.6000000000000458E-3</v>
      </c>
      <c r="S184" s="146">
        <f t="shared" si="14"/>
        <v>0.89799999999999991</v>
      </c>
      <c r="T184" s="148">
        <f t="shared" si="15"/>
        <v>47.978905599999976</v>
      </c>
    </row>
    <row r="185" spans="13:20" x14ac:dyDescent="0.2">
      <c r="M185" s="146">
        <f>Tornado!CI183</f>
        <v>7.8125E-3</v>
      </c>
      <c r="N185" s="147">
        <f>Tornado!CJ183</f>
        <v>0.7607421875</v>
      </c>
      <c r="O185" s="148">
        <f>Tornado!CK183</f>
        <v>48.396597759999992</v>
      </c>
      <c r="P185" s="148">
        <f t="shared" si="12"/>
        <v>0.3116000000000001</v>
      </c>
      <c r="R185" s="145">
        <f t="shared" si="13"/>
        <v>8.0000000000002292E-4</v>
      </c>
      <c r="S185" s="146">
        <f t="shared" si="14"/>
        <v>0.89879999999999993</v>
      </c>
      <c r="T185" s="148">
        <f t="shared" si="15"/>
        <v>47.978905599999976</v>
      </c>
    </row>
    <row r="186" spans="13:20" x14ac:dyDescent="0.2">
      <c r="M186" s="146">
        <f>Tornado!CI184</f>
        <v>1.953125E-3</v>
      </c>
      <c r="N186" s="147">
        <f>Tornado!CJ184</f>
        <v>0.7626953125</v>
      </c>
      <c r="O186" s="148">
        <f>Tornado!CK184</f>
        <v>49.468375039999998</v>
      </c>
      <c r="P186" s="148">
        <f t="shared" si="12"/>
        <v>0.31240000000000012</v>
      </c>
      <c r="R186" s="145">
        <f t="shared" si="13"/>
        <v>3.1999999999999806E-3</v>
      </c>
      <c r="S186" s="146">
        <f t="shared" si="14"/>
        <v>0.90199999999999991</v>
      </c>
      <c r="T186" s="148">
        <f t="shared" si="15"/>
        <v>48.396597759999992</v>
      </c>
    </row>
    <row r="187" spans="13:20" x14ac:dyDescent="0.2">
      <c r="M187" s="146">
        <f>Tornado!CI185</f>
        <v>3.90625E-3</v>
      </c>
      <c r="N187" s="147">
        <f>Tornado!CJ185</f>
        <v>0.7666015625</v>
      </c>
      <c r="O187" s="148">
        <f>Tornado!CK185</f>
        <v>51.084492799999992</v>
      </c>
      <c r="P187" s="148">
        <f t="shared" si="12"/>
        <v>0.31400000000000011</v>
      </c>
      <c r="R187" s="145">
        <f t="shared" si="13"/>
        <v>8.0000000000002292E-4</v>
      </c>
      <c r="S187" s="146">
        <f t="shared" si="14"/>
        <v>0.90279999999999994</v>
      </c>
      <c r="T187" s="148">
        <f t="shared" si="15"/>
        <v>49.468375039999998</v>
      </c>
    </row>
    <row r="188" spans="13:20" x14ac:dyDescent="0.2">
      <c r="M188" s="146">
        <f>Tornado!CI186</f>
        <v>3.90625E-3</v>
      </c>
      <c r="N188" s="147">
        <f>Tornado!CJ186</f>
        <v>0.7705078125</v>
      </c>
      <c r="O188" s="148">
        <f>Tornado!CK186</f>
        <v>52.268147199999994</v>
      </c>
      <c r="P188" s="148">
        <f t="shared" si="12"/>
        <v>0.3156000000000001</v>
      </c>
      <c r="R188" s="145">
        <f t="shared" si="13"/>
        <v>1.5999999999999348E-3</v>
      </c>
      <c r="S188" s="146">
        <f t="shared" si="14"/>
        <v>0.90439999999999987</v>
      </c>
      <c r="T188" s="148">
        <f t="shared" si="15"/>
        <v>51.084492799999992</v>
      </c>
    </row>
    <row r="189" spans="13:20" x14ac:dyDescent="0.2">
      <c r="M189" s="146">
        <f>Tornado!CI187</f>
        <v>9.765625E-4</v>
      </c>
      <c r="N189" s="147">
        <f>Tornado!CJ187</f>
        <v>0.771484375</v>
      </c>
      <c r="O189" s="148">
        <f>Tornado!CK187</f>
        <v>53.397913599999988</v>
      </c>
      <c r="P189" s="148">
        <f t="shared" si="12"/>
        <v>0.31600000000000011</v>
      </c>
      <c r="R189" s="145">
        <f t="shared" si="13"/>
        <v>1.6000000000000458E-3</v>
      </c>
      <c r="S189" s="146">
        <f t="shared" si="14"/>
        <v>0.90599999999999992</v>
      </c>
      <c r="T189" s="148">
        <f t="shared" si="15"/>
        <v>52.268147199999994</v>
      </c>
    </row>
    <row r="190" spans="13:20" x14ac:dyDescent="0.2">
      <c r="M190" s="146">
        <f>Tornado!CI188</f>
        <v>1.953125E-3</v>
      </c>
      <c r="N190" s="147">
        <f>Tornado!CJ188</f>
        <v>0.7734375</v>
      </c>
      <c r="O190" s="148">
        <f>Tornado!CK188</f>
        <v>53.397913599999988</v>
      </c>
      <c r="P190" s="148">
        <f t="shared" si="12"/>
        <v>0.31680000000000008</v>
      </c>
      <c r="R190" s="145">
        <f t="shared" si="13"/>
        <v>3.9999999999995595E-4</v>
      </c>
      <c r="S190" s="146">
        <f t="shared" si="14"/>
        <v>0.90639999999999987</v>
      </c>
      <c r="T190" s="148">
        <f t="shared" si="15"/>
        <v>53.397913599999988</v>
      </c>
    </row>
    <row r="191" spans="13:20" x14ac:dyDescent="0.2">
      <c r="M191" s="146">
        <f>Tornado!CI189</f>
        <v>3.90625E-3</v>
      </c>
      <c r="N191" s="147">
        <f>Tornado!CJ189</f>
        <v>0.77734375</v>
      </c>
      <c r="O191" s="148">
        <f>Tornado!CK189</f>
        <v>53.479078399999985</v>
      </c>
      <c r="P191" s="148">
        <f t="shared" si="12"/>
        <v>0.31840000000000013</v>
      </c>
      <c r="R191" s="145">
        <f t="shared" si="13"/>
        <v>8.0000000000002292E-4</v>
      </c>
      <c r="S191" s="146">
        <f t="shared" si="14"/>
        <v>0.9071999999999999</v>
      </c>
      <c r="T191" s="148">
        <f t="shared" si="15"/>
        <v>53.397913599999988</v>
      </c>
    </row>
    <row r="192" spans="13:20" x14ac:dyDescent="0.2">
      <c r="M192" s="146">
        <f>Tornado!CI190</f>
        <v>7.8125E-3</v>
      </c>
      <c r="N192" s="147">
        <f>Tornado!CJ190</f>
        <v>0.78515625</v>
      </c>
      <c r="O192" s="148">
        <f>Tornado!CK190</f>
        <v>53.479078399999992</v>
      </c>
      <c r="P192" s="148">
        <f t="shared" si="12"/>
        <v>0.32160000000000011</v>
      </c>
      <c r="R192" s="145">
        <f t="shared" si="13"/>
        <v>1.6000000000000458E-3</v>
      </c>
      <c r="S192" s="146">
        <f t="shared" si="14"/>
        <v>0.90879999999999994</v>
      </c>
      <c r="T192" s="148">
        <f t="shared" si="15"/>
        <v>53.479078399999985</v>
      </c>
    </row>
    <row r="193" spans="13:20" x14ac:dyDescent="0.2">
      <c r="M193" s="146">
        <f>Tornado!CI191</f>
        <v>1.953125E-3</v>
      </c>
      <c r="N193" s="147">
        <f>Tornado!CJ191</f>
        <v>0.787109375</v>
      </c>
      <c r="O193" s="148">
        <f>Tornado!CK191</f>
        <v>54.624724114285698</v>
      </c>
      <c r="P193" s="148">
        <f t="shared" si="12"/>
        <v>0.32240000000000008</v>
      </c>
      <c r="R193" s="145">
        <f t="shared" si="13"/>
        <v>3.1999999999999806E-3</v>
      </c>
      <c r="S193" s="146">
        <f t="shared" si="14"/>
        <v>0.91199999999999992</v>
      </c>
      <c r="T193" s="148">
        <f t="shared" si="15"/>
        <v>53.479078399999992</v>
      </c>
    </row>
    <row r="194" spans="13:20" x14ac:dyDescent="0.2">
      <c r="M194" s="146">
        <f>Tornado!CI192</f>
        <v>9.765625E-4</v>
      </c>
      <c r="N194" s="147">
        <f>Tornado!CJ192</f>
        <v>0.7880859375</v>
      </c>
      <c r="O194" s="148">
        <f>Tornado!CK192</f>
        <v>54.798581760000005</v>
      </c>
      <c r="P194" s="148">
        <f t="shared" si="12"/>
        <v>0.32280000000000009</v>
      </c>
      <c r="R194" s="145">
        <f t="shared" si="13"/>
        <v>7.9999999999991189E-4</v>
      </c>
      <c r="S194" s="146">
        <f t="shared" si="14"/>
        <v>0.91279999999999983</v>
      </c>
      <c r="T194" s="148">
        <f t="shared" si="15"/>
        <v>54.624724114285698</v>
      </c>
    </row>
    <row r="195" spans="13:20" x14ac:dyDescent="0.2">
      <c r="M195" s="146">
        <f>Tornado!CI193</f>
        <v>1.5625E-2</v>
      </c>
      <c r="N195" s="147">
        <f>Tornado!CJ193</f>
        <v>0.8037109375</v>
      </c>
      <c r="O195" s="148">
        <f>Tornado!CK193</f>
        <v>55.035221333333318</v>
      </c>
      <c r="P195" s="148">
        <f t="shared" si="12"/>
        <v>0.3292000000000001</v>
      </c>
      <c r="R195" s="145">
        <f t="shared" si="13"/>
        <v>4.0000000000006697E-4</v>
      </c>
      <c r="S195" s="146">
        <f t="shared" si="14"/>
        <v>0.9131999999999999</v>
      </c>
      <c r="T195" s="148">
        <f t="shared" si="15"/>
        <v>54.798581760000005</v>
      </c>
    </row>
    <row r="196" spans="13:20" x14ac:dyDescent="0.2">
      <c r="M196" s="146">
        <f>Tornado!CI194</f>
        <v>1.5625E-2</v>
      </c>
      <c r="N196" s="147">
        <f>Tornado!CJ194</f>
        <v>0.8193359375</v>
      </c>
      <c r="O196" s="148">
        <f>Tornado!CK194</f>
        <v>55.596778666666665</v>
      </c>
      <c r="P196" s="148">
        <f t="shared" si="12"/>
        <v>0.33560000000000012</v>
      </c>
      <c r="R196" s="145">
        <f t="shared" si="13"/>
        <v>6.4000000000000723E-3</v>
      </c>
      <c r="S196" s="146">
        <f t="shared" si="14"/>
        <v>0.91959999999999997</v>
      </c>
      <c r="T196" s="148">
        <f t="shared" si="15"/>
        <v>55.035221333333318</v>
      </c>
    </row>
    <row r="197" spans="13:20" x14ac:dyDescent="0.2">
      <c r="M197" s="146">
        <f>Tornado!CI195</f>
        <v>3.90625E-3</v>
      </c>
      <c r="N197" s="147">
        <f>Tornado!CJ195</f>
        <v>0.8232421875</v>
      </c>
      <c r="O197" s="148">
        <f>Tornado!CK195</f>
        <v>55.773730133333316</v>
      </c>
      <c r="P197" s="148">
        <f t="shared" si="12"/>
        <v>0.33720000000000011</v>
      </c>
      <c r="R197" s="145">
        <f t="shared" si="13"/>
        <v>6.3999999999999613E-3</v>
      </c>
      <c r="S197" s="146">
        <f t="shared" si="14"/>
        <v>0.92599999999999993</v>
      </c>
      <c r="T197" s="148">
        <f t="shared" si="15"/>
        <v>55.596778666666665</v>
      </c>
    </row>
    <row r="198" spans="13:20" x14ac:dyDescent="0.2">
      <c r="M198" s="146">
        <f>Tornado!CI196</f>
        <v>3.90625E-3</v>
      </c>
      <c r="N198" s="147">
        <f>Tornado!CJ196</f>
        <v>0.8271484375</v>
      </c>
      <c r="O198" s="148">
        <f>Tornado!CK196</f>
        <v>55.975389866666653</v>
      </c>
      <c r="P198" s="148">
        <f t="shared" si="12"/>
        <v>0.3388000000000001</v>
      </c>
      <c r="R198" s="145">
        <f t="shared" si="13"/>
        <v>1.6000000000000458E-3</v>
      </c>
      <c r="S198" s="146">
        <f t="shared" si="14"/>
        <v>0.92759999999999998</v>
      </c>
      <c r="T198" s="148">
        <f t="shared" si="15"/>
        <v>55.773730133333316</v>
      </c>
    </row>
    <row r="199" spans="13:20" x14ac:dyDescent="0.2">
      <c r="M199" s="146">
        <f>Tornado!CI197</f>
        <v>1.953125E-3</v>
      </c>
      <c r="N199" s="147">
        <f>Tornado!CJ197</f>
        <v>0.8291015625</v>
      </c>
      <c r="O199" s="148">
        <f>Tornado!CK197</f>
        <v>61.301391359999982</v>
      </c>
      <c r="P199" s="148">
        <f t="shared" ref="P199:P249" si="16">pCrossChasm_total * N199</f>
        <v>0.33960000000000012</v>
      </c>
      <c r="R199" s="145">
        <f t="shared" si="13"/>
        <v>1.5999999999999348E-3</v>
      </c>
      <c r="S199" s="146">
        <f t="shared" si="14"/>
        <v>0.92919999999999991</v>
      </c>
      <c r="T199" s="148">
        <f t="shared" si="15"/>
        <v>55.975389866666653</v>
      </c>
    </row>
    <row r="200" spans="13:20" x14ac:dyDescent="0.2">
      <c r="M200" s="146">
        <f>Tornado!CI198</f>
        <v>1.953125E-3</v>
      </c>
      <c r="N200" s="147">
        <f>Tornado!CJ198</f>
        <v>0.8310546875</v>
      </c>
      <c r="O200" s="148">
        <f>Tornado!CK198</f>
        <v>62.297565866666652</v>
      </c>
      <c r="P200" s="148">
        <f t="shared" si="16"/>
        <v>0.34040000000000009</v>
      </c>
      <c r="R200" s="145">
        <f t="shared" ref="R200:R250" si="17">S200-S199</f>
        <v>8.0000000000002292E-4</v>
      </c>
      <c r="S200" s="146">
        <f t="shared" si="14"/>
        <v>0.92999999999999994</v>
      </c>
      <c r="T200" s="148">
        <f t="shared" si="15"/>
        <v>61.301391359999982</v>
      </c>
    </row>
    <row r="201" spans="13:20" x14ac:dyDescent="0.2">
      <c r="M201" s="146">
        <f>Tornado!CI199</f>
        <v>7.8125E-3</v>
      </c>
      <c r="N201" s="147">
        <f>Tornado!CJ199</f>
        <v>0.8388671875</v>
      </c>
      <c r="O201" s="148">
        <f>Tornado!CK199</f>
        <v>62.392258133333314</v>
      </c>
      <c r="P201" s="148">
        <f t="shared" si="16"/>
        <v>0.34360000000000013</v>
      </c>
      <c r="R201" s="145">
        <f t="shared" si="17"/>
        <v>7.9999999999991189E-4</v>
      </c>
      <c r="S201" s="146">
        <f t="shared" si="14"/>
        <v>0.93079999999999985</v>
      </c>
      <c r="T201" s="148">
        <f t="shared" si="15"/>
        <v>62.297565866666652</v>
      </c>
    </row>
    <row r="202" spans="13:20" x14ac:dyDescent="0.2">
      <c r="M202" s="146">
        <f>Tornado!CI200</f>
        <v>1.953125E-3</v>
      </c>
      <c r="N202" s="147">
        <f>Tornado!CJ200</f>
        <v>0.8408203125</v>
      </c>
      <c r="O202" s="148">
        <f>Tornado!CK200</f>
        <v>62.721776640000002</v>
      </c>
      <c r="P202" s="148">
        <f t="shared" si="16"/>
        <v>0.34440000000000009</v>
      </c>
      <c r="R202" s="145">
        <f t="shared" si="17"/>
        <v>3.2000000000000917E-3</v>
      </c>
      <c r="S202" s="146">
        <f t="shared" si="14"/>
        <v>0.93399999999999994</v>
      </c>
      <c r="T202" s="148">
        <f t="shared" si="15"/>
        <v>62.392258133333314</v>
      </c>
    </row>
    <row r="203" spans="13:20" x14ac:dyDescent="0.2">
      <c r="M203" s="146">
        <f>Tornado!CI201</f>
        <v>3.90625E-3</v>
      </c>
      <c r="N203" s="147">
        <f>Tornado!CJ201</f>
        <v>0.8447265625</v>
      </c>
      <c r="O203" s="148">
        <f>Tornado!CK201</f>
        <v>63.728844799999997</v>
      </c>
      <c r="P203" s="148">
        <f t="shared" si="16"/>
        <v>0.34600000000000009</v>
      </c>
      <c r="R203" s="145">
        <f t="shared" si="17"/>
        <v>7.9999999999991189E-4</v>
      </c>
      <c r="S203" s="146">
        <f t="shared" si="14"/>
        <v>0.93479999999999985</v>
      </c>
      <c r="T203" s="148">
        <f t="shared" si="15"/>
        <v>62.721776640000002</v>
      </c>
    </row>
    <row r="204" spans="13:20" x14ac:dyDescent="0.2">
      <c r="M204" s="146">
        <f>Tornado!CI202</f>
        <v>1.953125E-3</v>
      </c>
      <c r="N204" s="147">
        <f>Tornado!CJ202</f>
        <v>0.8466796875</v>
      </c>
      <c r="O204" s="148">
        <f>Tornado!CK202</f>
        <v>65.236406857142853</v>
      </c>
      <c r="P204" s="148">
        <f t="shared" si="16"/>
        <v>0.34680000000000011</v>
      </c>
      <c r="R204" s="145">
        <f t="shared" si="17"/>
        <v>1.6000000000000458E-3</v>
      </c>
      <c r="S204" s="146">
        <f t="shared" si="14"/>
        <v>0.9363999999999999</v>
      </c>
      <c r="T204" s="148">
        <f t="shared" si="15"/>
        <v>63.728844799999997</v>
      </c>
    </row>
    <row r="205" spans="13:20" x14ac:dyDescent="0.2">
      <c r="M205" s="146">
        <f>Tornado!CI203</f>
        <v>3.90625E-3</v>
      </c>
      <c r="N205" s="147">
        <f>Tornado!CJ203</f>
        <v>0.8505859375</v>
      </c>
      <c r="O205" s="148">
        <f>Tornado!CK203</f>
        <v>66.042265599999979</v>
      </c>
      <c r="P205" s="148">
        <f t="shared" si="16"/>
        <v>0.3484000000000001</v>
      </c>
      <c r="R205" s="145">
        <f t="shared" si="17"/>
        <v>8.0000000000002292E-4</v>
      </c>
      <c r="S205" s="146">
        <f t="shared" si="14"/>
        <v>0.93719999999999992</v>
      </c>
      <c r="T205" s="148">
        <f t="shared" si="15"/>
        <v>65.236406857142853</v>
      </c>
    </row>
    <row r="206" spans="13:20" x14ac:dyDescent="0.2">
      <c r="M206" s="146">
        <f>Tornado!CI204</f>
        <v>7.8125E-3</v>
      </c>
      <c r="N206" s="147">
        <f>Tornado!CJ204</f>
        <v>0.8583984375</v>
      </c>
      <c r="O206" s="148">
        <f>Tornado!CK204</f>
        <v>66.042265599999979</v>
      </c>
      <c r="P206" s="148">
        <f t="shared" si="16"/>
        <v>0.35160000000000013</v>
      </c>
      <c r="R206" s="145">
        <f t="shared" si="17"/>
        <v>1.5999999999999348E-3</v>
      </c>
      <c r="S206" s="146">
        <f t="shared" si="14"/>
        <v>0.93879999999999986</v>
      </c>
      <c r="T206" s="148">
        <f t="shared" si="15"/>
        <v>66.042265599999979</v>
      </c>
    </row>
    <row r="207" spans="13:20" x14ac:dyDescent="0.2">
      <c r="M207" s="146">
        <f>Tornado!CI205</f>
        <v>7.8125E-3</v>
      </c>
      <c r="N207" s="147">
        <f>Tornado!CJ205</f>
        <v>0.8662109375</v>
      </c>
      <c r="O207" s="148">
        <f>Tornado!CK205</f>
        <v>66.716134400000001</v>
      </c>
      <c r="P207" s="148">
        <f t="shared" si="16"/>
        <v>0.35480000000000012</v>
      </c>
      <c r="R207" s="145">
        <f t="shared" si="17"/>
        <v>3.2000000000000917E-3</v>
      </c>
      <c r="S207" s="146">
        <f t="shared" si="14"/>
        <v>0.94199999999999995</v>
      </c>
      <c r="T207" s="148">
        <f t="shared" si="15"/>
        <v>66.042265599999979</v>
      </c>
    </row>
    <row r="208" spans="13:20" x14ac:dyDescent="0.2">
      <c r="M208" s="146">
        <f>Tornado!CI206</f>
        <v>3.90625E-3</v>
      </c>
      <c r="N208" s="147">
        <f>Tornado!CJ206</f>
        <v>0.8701171875</v>
      </c>
      <c r="O208" s="148">
        <f>Tornado!CK206</f>
        <v>66.716134400000001</v>
      </c>
      <c r="P208" s="148">
        <f t="shared" si="16"/>
        <v>0.35640000000000011</v>
      </c>
      <c r="R208" s="145">
        <f t="shared" si="17"/>
        <v>3.1999999999999806E-3</v>
      </c>
      <c r="S208" s="146">
        <f t="shared" si="14"/>
        <v>0.94519999999999993</v>
      </c>
      <c r="T208" s="148">
        <f t="shared" si="15"/>
        <v>66.716134400000001</v>
      </c>
    </row>
    <row r="209" spans="13:20" x14ac:dyDescent="0.2">
      <c r="M209" s="146">
        <f>Tornado!CI207</f>
        <v>1.953125E-3</v>
      </c>
      <c r="N209" s="147">
        <f>Tornado!CJ207</f>
        <v>0.8720703125</v>
      </c>
      <c r="O209" s="148">
        <f>Tornado!CK207</f>
        <v>66.928476160000017</v>
      </c>
      <c r="P209" s="148">
        <f t="shared" si="16"/>
        <v>0.35720000000000013</v>
      </c>
      <c r="R209" s="145">
        <f t="shared" si="17"/>
        <v>1.5999999999999348E-3</v>
      </c>
      <c r="S209" s="146">
        <f t="shared" si="14"/>
        <v>0.94679999999999986</v>
      </c>
      <c r="T209" s="148">
        <f t="shared" si="15"/>
        <v>66.716134400000001</v>
      </c>
    </row>
    <row r="210" spans="13:20" x14ac:dyDescent="0.2">
      <c r="M210" s="146">
        <f>Tornado!CI208</f>
        <v>1.953125E-3</v>
      </c>
      <c r="N210" s="147">
        <f>Tornado!CJ208</f>
        <v>0.8740234375</v>
      </c>
      <c r="O210" s="148">
        <f>Tornado!CK208</f>
        <v>67.170467839999986</v>
      </c>
      <c r="P210" s="148">
        <f t="shared" si="16"/>
        <v>0.3580000000000001</v>
      </c>
      <c r="R210" s="145">
        <f t="shared" si="17"/>
        <v>8.0000000000013394E-4</v>
      </c>
      <c r="S210" s="146">
        <f t="shared" si="14"/>
        <v>0.9476</v>
      </c>
      <c r="T210" s="148">
        <f t="shared" si="15"/>
        <v>66.928476160000017</v>
      </c>
    </row>
    <row r="211" spans="13:20" x14ac:dyDescent="0.2">
      <c r="M211" s="146">
        <f>Tornado!CI209</f>
        <v>3.90625E-3</v>
      </c>
      <c r="N211" s="147">
        <f>Tornado!CJ209</f>
        <v>0.8779296875</v>
      </c>
      <c r="O211" s="148">
        <f>Tornado!CK209</f>
        <v>72.977846857142836</v>
      </c>
      <c r="P211" s="148">
        <f t="shared" si="16"/>
        <v>0.35960000000000014</v>
      </c>
      <c r="R211" s="145">
        <f t="shared" si="17"/>
        <v>7.9999999999991189E-4</v>
      </c>
      <c r="S211" s="146">
        <f t="shared" si="14"/>
        <v>0.94839999999999991</v>
      </c>
      <c r="T211" s="148">
        <f t="shared" si="15"/>
        <v>67.170467839999986</v>
      </c>
    </row>
    <row r="212" spans="13:20" x14ac:dyDescent="0.2">
      <c r="M212" s="146">
        <f>Tornado!CI210</f>
        <v>3.90625E-3</v>
      </c>
      <c r="N212" s="147">
        <f>Tornado!CJ210</f>
        <v>0.8818359375</v>
      </c>
      <c r="O212" s="148">
        <f>Tornado!CK210</f>
        <v>74.668781714285714</v>
      </c>
      <c r="P212" s="148">
        <f t="shared" si="16"/>
        <v>0.36120000000000013</v>
      </c>
      <c r="R212" s="145">
        <f t="shared" si="17"/>
        <v>1.6000000000000458E-3</v>
      </c>
      <c r="S212" s="146">
        <f t="shared" si="14"/>
        <v>0.95</v>
      </c>
      <c r="T212" s="148">
        <f t="shared" si="15"/>
        <v>72.977846857142836</v>
      </c>
    </row>
    <row r="213" spans="13:20" x14ac:dyDescent="0.2">
      <c r="M213" s="146">
        <f>Tornado!CI211</f>
        <v>9.765625E-4</v>
      </c>
      <c r="N213" s="147">
        <f>Tornado!CJ211</f>
        <v>0.8828125</v>
      </c>
      <c r="O213" s="148">
        <f>Tornado!CK211</f>
        <v>74.757079039999994</v>
      </c>
      <c r="P213" s="148">
        <f t="shared" si="16"/>
        <v>0.36160000000000009</v>
      </c>
      <c r="R213" s="145">
        <f t="shared" si="17"/>
        <v>1.6000000000000458E-3</v>
      </c>
      <c r="S213" s="146">
        <f t="shared" si="14"/>
        <v>0.9516</v>
      </c>
      <c r="T213" s="148">
        <f t="shared" si="15"/>
        <v>74.668781714285714</v>
      </c>
    </row>
    <row r="214" spans="13:20" x14ac:dyDescent="0.2">
      <c r="M214" s="146">
        <f>Tornado!CI212</f>
        <v>3.90625E-3</v>
      </c>
      <c r="N214" s="147">
        <f>Tornado!CJ212</f>
        <v>0.88671875</v>
      </c>
      <c r="O214" s="148">
        <f>Tornado!CK212</f>
        <v>74.870709759999983</v>
      </c>
      <c r="P214" s="148">
        <f t="shared" si="16"/>
        <v>0.36320000000000013</v>
      </c>
      <c r="R214" s="145">
        <f t="shared" si="17"/>
        <v>3.9999999999995595E-4</v>
      </c>
      <c r="S214" s="146">
        <f t="shared" si="14"/>
        <v>0.95199999999999996</v>
      </c>
      <c r="T214" s="148">
        <f t="shared" si="15"/>
        <v>74.757079039999994</v>
      </c>
    </row>
    <row r="215" spans="13:20" x14ac:dyDescent="0.2">
      <c r="M215" s="146">
        <f>Tornado!CI213</f>
        <v>3.90625E-3</v>
      </c>
      <c r="N215" s="147">
        <f>Tornado!CJ213</f>
        <v>0.890625</v>
      </c>
      <c r="O215" s="148">
        <f>Tornado!CK213</f>
        <v>76.109141333333326</v>
      </c>
      <c r="P215" s="148">
        <f t="shared" si="16"/>
        <v>0.36480000000000012</v>
      </c>
      <c r="R215" s="145">
        <f t="shared" si="17"/>
        <v>1.6000000000000458E-3</v>
      </c>
      <c r="S215" s="146">
        <f t="shared" si="14"/>
        <v>0.9536</v>
      </c>
      <c r="T215" s="148">
        <f t="shared" si="15"/>
        <v>74.870709759999983</v>
      </c>
    </row>
    <row r="216" spans="13:20" x14ac:dyDescent="0.2">
      <c r="M216" s="146">
        <f>Tornado!CI214</f>
        <v>1.953125E-3</v>
      </c>
      <c r="N216" s="147">
        <f>Tornado!CJ214</f>
        <v>0.892578125</v>
      </c>
      <c r="O216" s="148">
        <f>Tornado!CK214</f>
        <v>76.474613760000011</v>
      </c>
      <c r="P216" s="148">
        <f t="shared" si="16"/>
        <v>0.36560000000000009</v>
      </c>
      <c r="R216" s="145">
        <f t="shared" si="17"/>
        <v>1.5999999999999348E-3</v>
      </c>
      <c r="S216" s="146">
        <f t="shared" si="14"/>
        <v>0.95519999999999994</v>
      </c>
      <c r="T216" s="148">
        <f t="shared" si="15"/>
        <v>76.109141333333326</v>
      </c>
    </row>
    <row r="217" spans="13:20" x14ac:dyDescent="0.2">
      <c r="M217" s="146">
        <f>Tornado!CI215</f>
        <v>7.8125E-3</v>
      </c>
      <c r="N217" s="147">
        <f>Tornado!CJ215</f>
        <v>0.900390625</v>
      </c>
      <c r="O217" s="148">
        <f>Tornado!CK215</f>
        <v>77.049309866666647</v>
      </c>
      <c r="P217" s="148">
        <f t="shared" si="16"/>
        <v>0.36880000000000013</v>
      </c>
      <c r="R217" s="145">
        <f t="shared" si="17"/>
        <v>8.0000000000002292E-4</v>
      </c>
      <c r="S217" s="146">
        <f t="shared" si="14"/>
        <v>0.95599999999999996</v>
      </c>
      <c r="T217" s="148">
        <f t="shared" si="15"/>
        <v>76.474613760000011</v>
      </c>
    </row>
    <row r="218" spans="13:20" x14ac:dyDescent="0.2">
      <c r="M218" s="146">
        <f>Tornado!CI216</f>
        <v>7.8125E-3</v>
      </c>
      <c r="N218" s="147">
        <f>Tornado!CJ216</f>
        <v>0.908203125</v>
      </c>
      <c r="O218" s="148">
        <f>Tornado!CK216</f>
        <v>77.835490133333309</v>
      </c>
      <c r="P218" s="148">
        <f t="shared" si="16"/>
        <v>0.37200000000000011</v>
      </c>
      <c r="R218" s="145">
        <f t="shared" si="17"/>
        <v>3.1999999999999806E-3</v>
      </c>
      <c r="S218" s="146">
        <f t="shared" si="14"/>
        <v>0.95919999999999994</v>
      </c>
      <c r="T218" s="148">
        <f t="shared" si="15"/>
        <v>77.049309866666647</v>
      </c>
    </row>
    <row r="219" spans="13:20" x14ac:dyDescent="0.2">
      <c r="M219" s="146">
        <f>Tornado!CI217</f>
        <v>7.8125E-3</v>
      </c>
      <c r="N219" s="147">
        <f>Tornado!CJ217</f>
        <v>0.916015625</v>
      </c>
      <c r="O219" s="148">
        <f>Tornado!CK217</f>
        <v>85.140821333333307</v>
      </c>
      <c r="P219" s="148">
        <f t="shared" si="16"/>
        <v>0.37520000000000014</v>
      </c>
      <c r="R219" s="145">
        <f t="shared" si="17"/>
        <v>3.1999999999999806E-3</v>
      </c>
      <c r="S219" s="146">
        <f t="shared" si="14"/>
        <v>0.96239999999999992</v>
      </c>
      <c r="T219" s="148">
        <f t="shared" si="15"/>
        <v>77.835490133333309</v>
      </c>
    </row>
    <row r="220" spans="13:20" x14ac:dyDescent="0.2">
      <c r="M220" s="146">
        <f>Tornado!CI218</f>
        <v>9.765625E-4</v>
      </c>
      <c r="N220" s="147">
        <f>Tornado!CJ218</f>
        <v>0.9169921875</v>
      </c>
      <c r="O220" s="148">
        <f>Tornado!CK218</f>
        <v>85.590484114285701</v>
      </c>
      <c r="P220" s="148">
        <f t="shared" si="16"/>
        <v>0.3756000000000001</v>
      </c>
      <c r="R220" s="145">
        <f t="shared" si="17"/>
        <v>3.2000000000000917E-3</v>
      </c>
      <c r="S220" s="146">
        <f t="shared" si="14"/>
        <v>0.96560000000000001</v>
      </c>
      <c r="T220" s="148">
        <f t="shared" si="15"/>
        <v>85.140821333333307</v>
      </c>
    </row>
    <row r="221" spans="13:20" x14ac:dyDescent="0.2">
      <c r="M221" s="146">
        <f>Tornado!CI219</f>
        <v>7.8125E-3</v>
      </c>
      <c r="N221" s="147">
        <f>Tornado!CJ219</f>
        <v>0.9248046875</v>
      </c>
      <c r="O221" s="148">
        <f>Tornado!CK219</f>
        <v>87.113578666666655</v>
      </c>
      <c r="P221" s="148">
        <f t="shared" si="16"/>
        <v>0.37880000000000014</v>
      </c>
      <c r="R221" s="145">
        <f t="shared" si="17"/>
        <v>3.9999999999995595E-4</v>
      </c>
      <c r="S221" s="146">
        <f t="shared" si="14"/>
        <v>0.96599999999999997</v>
      </c>
      <c r="T221" s="148">
        <f t="shared" si="15"/>
        <v>85.590484114285701</v>
      </c>
    </row>
    <row r="222" spans="13:20" x14ac:dyDescent="0.2">
      <c r="M222" s="146">
        <f>Tornado!CI220</f>
        <v>3.90625E-3</v>
      </c>
      <c r="N222" s="147">
        <f>Tornado!CJ220</f>
        <v>0.9287109375</v>
      </c>
      <c r="O222" s="148">
        <f>Tornado!CK220</f>
        <v>91.041206857142853</v>
      </c>
      <c r="P222" s="148">
        <f t="shared" si="16"/>
        <v>0.38040000000000013</v>
      </c>
      <c r="R222" s="145">
        <f t="shared" si="17"/>
        <v>3.1999999999999806E-3</v>
      </c>
      <c r="S222" s="146">
        <f t="shared" si="14"/>
        <v>0.96919999999999995</v>
      </c>
      <c r="T222" s="148">
        <f t="shared" si="15"/>
        <v>87.113578666666655</v>
      </c>
    </row>
    <row r="223" spans="13:20" x14ac:dyDescent="0.2">
      <c r="M223" s="146">
        <f>Tornado!CI221</f>
        <v>9.765625E-4</v>
      </c>
      <c r="N223" s="147">
        <f>Tornado!CJ221</f>
        <v>0.9296875</v>
      </c>
      <c r="O223" s="148">
        <f>Tornado!CK221</f>
        <v>91.330969600000003</v>
      </c>
      <c r="P223" s="148">
        <f t="shared" si="16"/>
        <v>0.38080000000000014</v>
      </c>
      <c r="R223" s="145">
        <f t="shared" si="17"/>
        <v>1.5999999999999348E-3</v>
      </c>
      <c r="S223" s="146">
        <f t="shared" si="14"/>
        <v>0.97079999999999989</v>
      </c>
      <c r="T223" s="148">
        <f t="shared" si="15"/>
        <v>91.041206857142853</v>
      </c>
    </row>
    <row r="224" spans="13:20" x14ac:dyDescent="0.2">
      <c r="M224" s="146">
        <f>Tornado!CI222</f>
        <v>1.953125E-3</v>
      </c>
      <c r="N224" s="147">
        <f>Tornado!CJ222</f>
        <v>0.931640625</v>
      </c>
      <c r="O224" s="148">
        <f>Tornado!CK222</f>
        <v>91.330969600000017</v>
      </c>
      <c r="P224" s="148">
        <f t="shared" si="16"/>
        <v>0.38160000000000011</v>
      </c>
      <c r="R224" s="145">
        <f t="shared" si="17"/>
        <v>4.0000000000006697E-4</v>
      </c>
      <c r="S224" s="146">
        <f t="shared" si="14"/>
        <v>0.97119999999999995</v>
      </c>
      <c r="T224" s="148">
        <f t="shared" si="15"/>
        <v>91.330969600000003</v>
      </c>
    </row>
    <row r="225" spans="13:20" x14ac:dyDescent="0.2">
      <c r="M225" s="146">
        <f>Tornado!CI223</f>
        <v>3.90625E-3</v>
      </c>
      <c r="N225" s="147">
        <f>Tornado!CJ223</f>
        <v>0.935546875</v>
      </c>
      <c r="O225" s="148">
        <f>Tornado!CK223</f>
        <v>92.459171839999996</v>
      </c>
      <c r="P225" s="148">
        <f t="shared" si="16"/>
        <v>0.3832000000000001</v>
      </c>
      <c r="R225" s="145">
        <f t="shared" si="17"/>
        <v>8.0000000000002292E-4</v>
      </c>
      <c r="S225" s="146">
        <f t="shared" si="14"/>
        <v>0.97199999999999998</v>
      </c>
      <c r="T225" s="148">
        <f t="shared" si="15"/>
        <v>91.330969600000017</v>
      </c>
    </row>
    <row r="226" spans="13:20" x14ac:dyDescent="0.2">
      <c r="M226" s="146">
        <f>Tornado!CI224</f>
        <v>3.90625E-3</v>
      </c>
      <c r="N226" s="147">
        <f>Tornado!CJ224</f>
        <v>0.939453125</v>
      </c>
      <c r="O226" s="148">
        <f>Tornado!CK224</f>
        <v>93.402588160000036</v>
      </c>
      <c r="P226" s="148">
        <f t="shared" si="16"/>
        <v>0.38480000000000014</v>
      </c>
      <c r="R226" s="145">
        <f t="shared" si="17"/>
        <v>1.5999999999999348E-3</v>
      </c>
      <c r="S226" s="146">
        <f t="shared" si="14"/>
        <v>0.97359999999999991</v>
      </c>
      <c r="T226" s="148">
        <f t="shared" si="15"/>
        <v>92.459171839999996</v>
      </c>
    </row>
    <row r="227" spans="13:20" x14ac:dyDescent="0.2">
      <c r="M227" s="146">
        <f>Tornado!CI225</f>
        <v>1.953125E-3</v>
      </c>
      <c r="N227" s="147">
        <f>Tornado!CJ225</f>
        <v>0.94140625</v>
      </c>
      <c r="O227" s="148">
        <f>Tornado!CK225</f>
        <v>99.855564799999996</v>
      </c>
      <c r="P227" s="148">
        <f t="shared" si="16"/>
        <v>0.38560000000000011</v>
      </c>
      <c r="R227" s="145">
        <f t="shared" si="17"/>
        <v>1.6000000000000458E-3</v>
      </c>
      <c r="S227" s="146">
        <f t="shared" si="14"/>
        <v>0.97519999999999996</v>
      </c>
      <c r="T227" s="148">
        <f t="shared" si="15"/>
        <v>93.402588160000036</v>
      </c>
    </row>
    <row r="228" spans="13:20" x14ac:dyDescent="0.2">
      <c r="M228" s="146">
        <f>Tornado!CI226</f>
        <v>1.953125E-3</v>
      </c>
      <c r="N228" s="147">
        <f>Tornado!CJ226</f>
        <v>0.943359375</v>
      </c>
      <c r="O228" s="148">
        <f>Tornado!CK226</f>
        <v>102.16898559999998</v>
      </c>
      <c r="P228" s="148">
        <f t="shared" si="16"/>
        <v>0.38640000000000013</v>
      </c>
      <c r="R228" s="145">
        <f t="shared" si="17"/>
        <v>8.0000000000002292E-4</v>
      </c>
      <c r="S228" s="146">
        <f t="shared" si="14"/>
        <v>0.97599999999999998</v>
      </c>
      <c r="T228" s="148">
        <f t="shared" si="15"/>
        <v>99.855564799999996</v>
      </c>
    </row>
    <row r="229" spans="13:20" x14ac:dyDescent="0.2">
      <c r="M229" s="146">
        <f>Tornado!CI227</f>
        <v>3.90625E-3</v>
      </c>
      <c r="N229" s="147">
        <f>Tornado!CJ227</f>
        <v>0.947265625</v>
      </c>
      <c r="O229" s="148">
        <f>Tornado!CK227</f>
        <v>102.16898559999998</v>
      </c>
      <c r="P229" s="148">
        <f t="shared" si="16"/>
        <v>0.38800000000000012</v>
      </c>
      <c r="R229" s="145">
        <f t="shared" si="17"/>
        <v>7.9999999999991189E-4</v>
      </c>
      <c r="S229" s="146">
        <f t="shared" si="14"/>
        <v>0.97679999999999989</v>
      </c>
      <c r="T229" s="148">
        <f t="shared" si="15"/>
        <v>102.16898559999998</v>
      </c>
    </row>
    <row r="230" spans="13:20" x14ac:dyDescent="0.2">
      <c r="M230" s="146">
        <f>Tornado!CI228</f>
        <v>1.953125E-3</v>
      </c>
      <c r="N230" s="147">
        <f>Tornado!CJ228</f>
        <v>0.94921875</v>
      </c>
      <c r="O230" s="148">
        <f>Tornado!CK228</f>
        <v>104.53629439999999</v>
      </c>
      <c r="P230" s="148">
        <f t="shared" si="16"/>
        <v>0.38880000000000015</v>
      </c>
      <c r="R230" s="145">
        <f t="shared" si="17"/>
        <v>1.6000000000000458E-3</v>
      </c>
      <c r="S230" s="146">
        <f t="shared" si="14"/>
        <v>0.97839999999999994</v>
      </c>
      <c r="T230" s="148">
        <f t="shared" si="15"/>
        <v>102.16898559999998</v>
      </c>
    </row>
    <row r="231" spans="13:20" x14ac:dyDescent="0.2">
      <c r="M231" s="146">
        <f>Tornado!CI229</f>
        <v>3.90625E-3</v>
      </c>
      <c r="N231" s="147">
        <f>Tornado!CJ229</f>
        <v>0.953125</v>
      </c>
      <c r="O231" s="148">
        <f>Tornado!CK229</f>
        <v>104.5362944</v>
      </c>
      <c r="P231" s="148">
        <f t="shared" si="16"/>
        <v>0.39040000000000014</v>
      </c>
      <c r="R231" s="145">
        <f t="shared" si="17"/>
        <v>8.0000000000002292E-4</v>
      </c>
      <c r="S231" s="146">
        <f t="shared" si="14"/>
        <v>0.97919999999999996</v>
      </c>
      <c r="T231" s="148">
        <f t="shared" si="15"/>
        <v>104.53629439999999</v>
      </c>
    </row>
    <row r="232" spans="13:20" x14ac:dyDescent="0.2">
      <c r="M232" s="146">
        <f>Tornado!CI230</f>
        <v>7.8125E-3</v>
      </c>
      <c r="N232" s="147">
        <f>Tornado!CJ230</f>
        <v>0.9609375</v>
      </c>
      <c r="O232" s="148">
        <f>Tornado!CK230</f>
        <v>106.21474133333332</v>
      </c>
      <c r="P232" s="148">
        <f t="shared" si="16"/>
        <v>0.39360000000000012</v>
      </c>
      <c r="R232" s="145">
        <f t="shared" si="17"/>
        <v>1.5999999999999348E-3</v>
      </c>
      <c r="S232" s="146">
        <f t="shared" si="14"/>
        <v>0.98079999999999989</v>
      </c>
      <c r="T232" s="148">
        <f t="shared" si="15"/>
        <v>104.5362944</v>
      </c>
    </row>
    <row r="233" spans="13:20" x14ac:dyDescent="0.2">
      <c r="M233" s="146">
        <f>Tornado!CI231</f>
        <v>1.953125E-3</v>
      </c>
      <c r="N233" s="147">
        <f>Tornado!CJ231</f>
        <v>0.962890625</v>
      </c>
      <c r="O233" s="148">
        <f>Tornado!CK231</f>
        <v>106.55279786666667</v>
      </c>
      <c r="P233" s="148">
        <f t="shared" si="16"/>
        <v>0.39440000000000014</v>
      </c>
      <c r="R233" s="145">
        <f t="shared" si="17"/>
        <v>3.2000000000000917E-3</v>
      </c>
      <c r="S233" s="146">
        <f t="shared" si="14"/>
        <v>0.98399999999999999</v>
      </c>
      <c r="T233" s="148">
        <f t="shared" si="15"/>
        <v>106.21474133333332</v>
      </c>
    </row>
    <row r="234" spans="13:20" x14ac:dyDescent="0.2">
      <c r="M234" s="146">
        <f>Tornado!CI232</f>
        <v>3.90625E-3</v>
      </c>
      <c r="N234" s="147">
        <f>Tornado!CJ232</f>
        <v>0.966796875</v>
      </c>
      <c r="O234" s="148">
        <f>Tornado!CK232</f>
        <v>119.19714986666665</v>
      </c>
      <c r="P234" s="148">
        <f t="shared" si="16"/>
        <v>0.39600000000000013</v>
      </c>
      <c r="R234" s="145">
        <f t="shared" si="17"/>
        <v>7.9999999999991189E-4</v>
      </c>
      <c r="S234" s="146">
        <f t="shared" si="14"/>
        <v>0.9847999999999999</v>
      </c>
      <c r="T234" s="148">
        <f t="shared" si="15"/>
        <v>106.55279786666667</v>
      </c>
    </row>
    <row r="235" spans="13:20" x14ac:dyDescent="0.2">
      <c r="M235" s="146">
        <f>Tornado!CI233</f>
        <v>9.765625E-4</v>
      </c>
      <c r="N235" s="147">
        <f>Tornado!CJ233</f>
        <v>0.9677734375</v>
      </c>
      <c r="O235" s="148">
        <f>Tornado!CK233</f>
        <v>119.82667776000004</v>
      </c>
      <c r="P235" s="148">
        <f t="shared" si="16"/>
        <v>0.39640000000000014</v>
      </c>
      <c r="R235" s="145">
        <f t="shared" si="17"/>
        <v>1.6000000000000458E-3</v>
      </c>
      <c r="S235" s="146">
        <f t="shared" si="14"/>
        <v>0.98639999999999994</v>
      </c>
      <c r="T235" s="148">
        <f t="shared" si="15"/>
        <v>119.19714986666665</v>
      </c>
    </row>
    <row r="236" spans="13:20" x14ac:dyDescent="0.2">
      <c r="M236" s="146">
        <f>Tornado!CI234</f>
        <v>3.90625E-3</v>
      </c>
      <c r="N236" s="147">
        <f>Tornado!CJ234</f>
        <v>0.9716796875</v>
      </c>
      <c r="O236" s="148">
        <f>Tornado!CK234</f>
        <v>121.95901013333331</v>
      </c>
      <c r="P236" s="148">
        <f t="shared" si="16"/>
        <v>0.39800000000000013</v>
      </c>
      <c r="R236" s="145">
        <f t="shared" si="17"/>
        <v>3.9999999999995595E-4</v>
      </c>
      <c r="S236" s="146">
        <f t="shared" si="14"/>
        <v>0.9867999999999999</v>
      </c>
      <c r="T236" s="148">
        <f t="shared" si="15"/>
        <v>119.82667776000004</v>
      </c>
    </row>
    <row r="237" spans="13:20" x14ac:dyDescent="0.2">
      <c r="M237" s="146">
        <f>Tornado!CI235</f>
        <v>1.953125E-3</v>
      </c>
      <c r="N237" s="147">
        <f>Tornado!CJ235</f>
        <v>0.9736328125</v>
      </c>
      <c r="O237" s="148">
        <f>Tornado!CK235</f>
        <v>127.45768959999999</v>
      </c>
      <c r="P237" s="148">
        <f t="shared" si="16"/>
        <v>0.39880000000000015</v>
      </c>
      <c r="R237" s="145">
        <f t="shared" si="17"/>
        <v>1.6000000000000458E-3</v>
      </c>
      <c r="S237" s="146">
        <f t="shared" si="14"/>
        <v>0.98839999999999995</v>
      </c>
      <c r="T237" s="148">
        <f t="shared" si="15"/>
        <v>121.95901013333331</v>
      </c>
    </row>
    <row r="238" spans="13:20" x14ac:dyDescent="0.2">
      <c r="M238" s="146">
        <f>Tornado!CI236</f>
        <v>3.90625E-3</v>
      </c>
      <c r="N238" s="147">
        <f>Tornado!CJ236</f>
        <v>0.9775390625</v>
      </c>
      <c r="O238" s="148">
        <f>Tornado!CK236</f>
        <v>127.45768960000002</v>
      </c>
      <c r="P238" s="148">
        <f t="shared" si="16"/>
        <v>0.40040000000000014</v>
      </c>
      <c r="R238" s="145">
        <f t="shared" si="17"/>
        <v>8.0000000000002292E-4</v>
      </c>
      <c r="S238" s="146">
        <f t="shared" si="14"/>
        <v>0.98919999999999997</v>
      </c>
      <c r="T238" s="148">
        <f t="shared" si="15"/>
        <v>127.45768959999999</v>
      </c>
    </row>
    <row r="239" spans="13:20" x14ac:dyDescent="0.2">
      <c r="M239" s="146">
        <f>Tornado!CI237</f>
        <v>9.765625E-4</v>
      </c>
      <c r="N239" s="147">
        <f>Tornado!CJ237</f>
        <v>0.978515625</v>
      </c>
      <c r="O239" s="148">
        <f>Tornado!CK237</f>
        <v>127.86335744000002</v>
      </c>
      <c r="P239" s="148">
        <f t="shared" si="16"/>
        <v>0.4008000000000001</v>
      </c>
      <c r="R239" s="145">
        <f t="shared" si="17"/>
        <v>1.5999999999999348E-3</v>
      </c>
      <c r="S239" s="146">
        <f t="shared" si="14"/>
        <v>0.9907999999999999</v>
      </c>
      <c r="T239" s="148">
        <f t="shared" si="15"/>
        <v>127.45768960000002</v>
      </c>
    </row>
    <row r="240" spans="13:20" x14ac:dyDescent="0.2">
      <c r="M240" s="146">
        <f>Tornado!CI238</f>
        <v>1.953125E-3</v>
      </c>
      <c r="N240" s="147">
        <f>Tornado!CJ238</f>
        <v>0.98046875</v>
      </c>
      <c r="O240" s="148">
        <f>Tornado!CK238</f>
        <v>142.65080685714281</v>
      </c>
      <c r="P240" s="148">
        <f t="shared" si="16"/>
        <v>0.40160000000000012</v>
      </c>
      <c r="R240" s="145">
        <f t="shared" si="17"/>
        <v>3.9999999999995595E-4</v>
      </c>
      <c r="S240" s="146">
        <f t="shared" si="14"/>
        <v>0.99119999999999986</v>
      </c>
      <c r="T240" s="148">
        <f t="shared" si="15"/>
        <v>127.86335744000002</v>
      </c>
    </row>
    <row r="241" spans="13:20" x14ac:dyDescent="0.2">
      <c r="M241" s="146">
        <f>Tornado!CI239</f>
        <v>1.953125E-3</v>
      </c>
      <c r="N241" s="147">
        <f>Tornado!CJ239</f>
        <v>0.982421875</v>
      </c>
      <c r="O241" s="148">
        <f>Tornado!CK239</f>
        <v>143.03657983999997</v>
      </c>
      <c r="P241" s="148">
        <f t="shared" si="16"/>
        <v>0.40240000000000015</v>
      </c>
      <c r="R241" s="145">
        <f t="shared" si="17"/>
        <v>8.0000000000013394E-4</v>
      </c>
      <c r="S241" s="146">
        <f t="shared" si="14"/>
        <v>0.99199999999999999</v>
      </c>
      <c r="T241" s="148">
        <f t="shared" si="15"/>
        <v>142.65080685714281</v>
      </c>
    </row>
    <row r="242" spans="13:20" x14ac:dyDescent="0.2">
      <c r="M242" s="146">
        <f>Tornado!CI240</f>
        <v>1.953125E-3</v>
      </c>
      <c r="N242" s="147">
        <f>Tornado!CJ240</f>
        <v>0.984375</v>
      </c>
      <c r="O242" s="148">
        <f>Tornado!CK240</f>
        <v>146.35081216000003</v>
      </c>
      <c r="P242" s="148">
        <f t="shared" si="16"/>
        <v>0.40320000000000011</v>
      </c>
      <c r="R242" s="145">
        <f t="shared" si="17"/>
        <v>7.9999999999991189E-4</v>
      </c>
      <c r="S242" s="146">
        <f t="shared" si="14"/>
        <v>0.9927999999999999</v>
      </c>
      <c r="T242" s="148">
        <f t="shared" si="15"/>
        <v>143.03657983999997</v>
      </c>
    </row>
    <row r="243" spans="13:20" x14ac:dyDescent="0.2">
      <c r="M243" s="146">
        <f>Tornado!CI241</f>
        <v>3.90625E-3</v>
      </c>
      <c r="N243" s="147">
        <f>Tornado!CJ241</f>
        <v>0.98828125</v>
      </c>
      <c r="O243" s="148">
        <f>Tornado!CK241</f>
        <v>148.70063786666665</v>
      </c>
      <c r="P243" s="148">
        <f t="shared" si="16"/>
        <v>0.4048000000000001</v>
      </c>
      <c r="R243" s="145">
        <f t="shared" si="17"/>
        <v>8.0000000000002292E-4</v>
      </c>
      <c r="S243" s="146">
        <f t="shared" si="14"/>
        <v>0.99359999999999993</v>
      </c>
      <c r="T243" s="148">
        <f t="shared" si="15"/>
        <v>146.35081216000003</v>
      </c>
    </row>
    <row r="244" spans="13:20" x14ac:dyDescent="0.2">
      <c r="M244" s="146">
        <f>Tornado!CI242</f>
        <v>3.90625E-3</v>
      </c>
      <c r="N244" s="147">
        <f>Tornado!CJ242</f>
        <v>0.9921875</v>
      </c>
      <c r="O244" s="148">
        <f>Tornado!CK242</f>
        <v>166.4259413333333</v>
      </c>
      <c r="P244" s="148">
        <f t="shared" si="16"/>
        <v>0.40640000000000015</v>
      </c>
      <c r="R244" s="145">
        <f t="shared" si="17"/>
        <v>1.5999999999999348E-3</v>
      </c>
      <c r="S244" s="146">
        <f t="shared" ref="S244:S250" si="18">P243+$S$7</f>
        <v>0.99519999999999986</v>
      </c>
      <c r="T244" s="148">
        <f t="shared" ref="T244:T250" si="19">O243</f>
        <v>148.70063786666665</v>
      </c>
    </row>
    <row r="245" spans="13:20" x14ac:dyDescent="0.2">
      <c r="M245" s="146">
        <f>Tornado!CI243</f>
        <v>1.953125E-3</v>
      </c>
      <c r="N245" s="147">
        <f>Tornado!CJ243</f>
        <v>0.994140625</v>
      </c>
      <c r="O245" s="148">
        <f>Tornado!CK243</f>
        <v>178.44076544000001</v>
      </c>
      <c r="P245" s="148">
        <f t="shared" si="16"/>
        <v>0.40720000000000012</v>
      </c>
      <c r="R245" s="145">
        <f t="shared" si="17"/>
        <v>1.6000000000000458E-3</v>
      </c>
      <c r="S245" s="146">
        <f t="shared" si="18"/>
        <v>0.99679999999999991</v>
      </c>
      <c r="T245" s="148">
        <f t="shared" si="19"/>
        <v>166.4259413333333</v>
      </c>
    </row>
    <row r="246" spans="13:20" x14ac:dyDescent="0.2">
      <c r="M246" s="146">
        <f>Tornado!CI244</f>
        <v>9.765625E-4</v>
      </c>
      <c r="N246" s="147">
        <f>Tornado!CJ244</f>
        <v>0.9951171875</v>
      </c>
      <c r="O246" s="148">
        <f>Tornado!CK244</f>
        <v>199.71112959999996</v>
      </c>
      <c r="P246" s="148">
        <f t="shared" si="16"/>
        <v>0.40760000000000013</v>
      </c>
      <c r="R246" s="145">
        <f t="shared" si="17"/>
        <v>8.0000000000002292E-4</v>
      </c>
      <c r="S246" s="146">
        <f t="shared" si="18"/>
        <v>0.99759999999999993</v>
      </c>
      <c r="T246" s="148">
        <f t="shared" si="19"/>
        <v>178.44076544000001</v>
      </c>
    </row>
    <row r="247" spans="13:20" x14ac:dyDescent="0.2">
      <c r="M247" s="146">
        <f>Tornado!CI245</f>
        <v>1.953125E-3</v>
      </c>
      <c r="N247" s="147">
        <f>Tornado!CJ245</f>
        <v>0.9970703125</v>
      </c>
      <c r="O247" s="148">
        <f>Tornado!CK245</f>
        <v>199.71112960000002</v>
      </c>
      <c r="P247" s="148">
        <f t="shared" si="16"/>
        <v>0.40840000000000015</v>
      </c>
      <c r="R247" s="145">
        <f t="shared" si="17"/>
        <v>4.0000000000006697E-4</v>
      </c>
      <c r="S247" s="146">
        <f t="shared" si="18"/>
        <v>0.998</v>
      </c>
      <c r="T247" s="148">
        <f t="shared" si="19"/>
        <v>199.71112959999996</v>
      </c>
    </row>
    <row r="248" spans="13:20" x14ac:dyDescent="0.2">
      <c r="M248" s="146">
        <f>Tornado!CI246</f>
        <v>1.953125E-3</v>
      </c>
      <c r="N248" s="147">
        <f>Tornado!CJ246</f>
        <v>0.9990234375</v>
      </c>
      <c r="O248" s="148">
        <f>Tornado!CK246</f>
        <v>232.99631786666663</v>
      </c>
      <c r="P248" s="148">
        <f t="shared" si="16"/>
        <v>0.40920000000000012</v>
      </c>
      <c r="R248" s="145">
        <f t="shared" si="17"/>
        <v>7.9999999999991189E-4</v>
      </c>
      <c r="S248" s="146">
        <f t="shared" si="18"/>
        <v>0.99879999999999991</v>
      </c>
      <c r="T248" s="148">
        <f t="shared" si="19"/>
        <v>199.71112960000002</v>
      </c>
    </row>
    <row r="249" spans="13:20" x14ac:dyDescent="0.2">
      <c r="M249" s="164">
        <f>Tornado!CI247</f>
        <v>9.765625E-4</v>
      </c>
      <c r="N249" s="245">
        <f>Tornado!CJ247</f>
        <v>1</v>
      </c>
      <c r="O249" s="163">
        <f>Tornado!CK247</f>
        <v>279.59558143999999</v>
      </c>
      <c r="P249" s="163">
        <f t="shared" si="16"/>
        <v>0.40960000000000013</v>
      </c>
      <c r="R249" s="145">
        <f t="shared" si="17"/>
        <v>8.0000000000002292E-4</v>
      </c>
      <c r="S249" s="146">
        <f t="shared" si="18"/>
        <v>0.99959999999999993</v>
      </c>
      <c r="T249" s="148">
        <f t="shared" si="19"/>
        <v>232.99631786666663</v>
      </c>
    </row>
    <row r="250" spans="13:20" x14ac:dyDescent="0.2">
      <c r="R250" s="145">
        <f t="shared" si="17"/>
        <v>4.0000000000006697E-4</v>
      </c>
      <c r="S250" s="164">
        <f t="shared" si="18"/>
        <v>1</v>
      </c>
      <c r="T250" s="163">
        <f t="shared" si="19"/>
        <v>279.59558143999999</v>
      </c>
    </row>
  </sheetData>
  <mergeCells count="1">
    <mergeCell ref="M5:O5"/>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AC719-70B6-CB44-A8DC-0C62B5296D4F}">
  <sheetPr codeName="Sheet2"/>
  <dimension ref="A1:J74"/>
  <sheetViews>
    <sheetView topLeftCell="A46" zoomScale="120" zoomScaleNormal="120" workbookViewId="0">
      <selection activeCell="E65" sqref="E65"/>
    </sheetView>
  </sheetViews>
  <sheetFormatPr baseColWidth="10" defaultRowHeight="14" x14ac:dyDescent="0.2"/>
  <cols>
    <col min="1" max="1" width="5.42578125" style="282" customWidth="1"/>
    <col min="2" max="2" width="7" style="282" bestFit="1" customWidth="1"/>
    <col min="3" max="3" width="47.7109375" style="308" customWidth="1"/>
    <col min="4" max="4" width="10.7109375" style="282"/>
    <col min="5" max="5" width="51.42578125" style="308" customWidth="1"/>
    <col min="6" max="16384" width="10.7109375" style="282"/>
  </cols>
  <sheetData>
    <row r="1" spans="1:10" ht="15" x14ac:dyDescent="0.2">
      <c r="C1" s="283"/>
      <c r="D1" s="284" t="s">
        <v>62</v>
      </c>
      <c r="E1" s="285" t="s">
        <v>63</v>
      </c>
      <c r="F1" s="286" t="s">
        <v>64</v>
      </c>
      <c r="G1" s="286" t="s">
        <v>65</v>
      </c>
      <c r="H1" s="284" t="s">
        <v>67</v>
      </c>
      <c r="I1" s="287" t="s">
        <v>11</v>
      </c>
      <c r="J1" s="287"/>
    </row>
    <row r="2" spans="1:10" ht="15" x14ac:dyDescent="0.2">
      <c r="C2" s="288" t="s">
        <v>4</v>
      </c>
      <c r="D2" s="289">
        <f>D8</f>
        <v>1</v>
      </c>
      <c r="E2" s="290">
        <f>D13</f>
        <v>1</v>
      </c>
      <c r="F2" s="289">
        <f>D17</f>
        <v>1</v>
      </c>
      <c r="G2" s="289">
        <f>D23</f>
        <v>1</v>
      </c>
      <c r="H2" s="291">
        <f>D2*E2*F2*G2</f>
        <v>1</v>
      </c>
      <c r="I2" s="292" t="s">
        <v>40</v>
      </c>
      <c r="J2" s="293"/>
    </row>
    <row r="3" spans="1:10" ht="15" x14ac:dyDescent="0.2">
      <c r="C3" s="294" t="s">
        <v>0</v>
      </c>
      <c r="D3" s="295">
        <f>D28</f>
        <v>0.8</v>
      </c>
      <c r="E3" s="296">
        <f>D28</f>
        <v>0.8</v>
      </c>
      <c r="F3" s="297">
        <f>D39</f>
        <v>0.8</v>
      </c>
      <c r="G3" s="297">
        <f>D44</f>
        <v>0.8</v>
      </c>
      <c r="H3" s="298">
        <f t="shared" ref="H3:H4" si="0">D3*E3*F3*G3</f>
        <v>0.40960000000000013</v>
      </c>
      <c r="I3" s="299" t="s">
        <v>24</v>
      </c>
      <c r="J3" s="300"/>
    </row>
    <row r="4" spans="1:10" ht="15" x14ac:dyDescent="0.2">
      <c r="C4" s="301" t="s">
        <v>68</v>
      </c>
      <c r="D4" s="302">
        <f>D50</f>
        <v>0.7</v>
      </c>
      <c r="E4" s="303">
        <f>D55</f>
        <v>0.75</v>
      </c>
      <c r="F4" s="304">
        <f>D59</f>
        <v>0.7</v>
      </c>
      <c r="G4" s="304">
        <f>D65</f>
        <v>0.8</v>
      </c>
      <c r="H4" s="305">
        <f t="shared" si="0"/>
        <v>0.29399999999999998</v>
      </c>
      <c r="I4" s="306" t="s">
        <v>41</v>
      </c>
      <c r="J4" s="307"/>
    </row>
    <row r="7" spans="1:10" x14ac:dyDescent="0.2">
      <c r="A7" s="282" t="s">
        <v>4</v>
      </c>
      <c r="D7" s="309"/>
    </row>
    <row r="8" spans="1:10" s="310" customFormat="1" ht="15" x14ac:dyDescent="0.2">
      <c r="B8" s="311" t="s">
        <v>62</v>
      </c>
      <c r="C8" s="312"/>
      <c r="D8" s="313">
        <v>1</v>
      </c>
      <c r="E8" s="312" t="s">
        <v>217</v>
      </c>
    </row>
    <row r="9" spans="1:10" ht="16" x14ac:dyDescent="0.2">
      <c r="C9" s="314" t="s">
        <v>164</v>
      </c>
      <c r="D9" s="309"/>
      <c r="E9" s="315" t="s">
        <v>165</v>
      </c>
    </row>
    <row r="10" spans="1:10" ht="31" x14ac:dyDescent="0.2">
      <c r="C10" s="314" t="s">
        <v>166</v>
      </c>
      <c r="D10" s="309"/>
    </row>
    <row r="11" spans="1:10" ht="46" x14ac:dyDescent="0.2">
      <c r="C11" s="314" t="s">
        <v>167</v>
      </c>
      <c r="D11" s="309"/>
    </row>
    <row r="12" spans="1:10" x14ac:dyDescent="0.2">
      <c r="C12" s="316"/>
      <c r="D12" s="309"/>
    </row>
    <row r="13" spans="1:10" s="310" customFormat="1" ht="15" x14ac:dyDescent="0.2">
      <c r="B13" s="311" t="s">
        <v>63</v>
      </c>
      <c r="C13" s="312"/>
      <c r="D13" s="313">
        <v>1</v>
      </c>
      <c r="E13" s="312" t="s">
        <v>217</v>
      </c>
    </row>
    <row r="14" spans="1:10" ht="16" x14ac:dyDescent="0.2">
      <c r="C14" s="314" t="s">
        <v>168</v>
      </c>
      <c r="E14" s="315" t="s">
        <v>169</v>
      </c>
    </row>
    <row r="15" spans="1:10" ht="16" x14ac:dyDescent="0.2">
      <c r="C15" s="314" t="s">
        <v>170</v>
      </c>
      <c r="D15" s="309"/>
    </row>
    <row r="16" spans="1:10" x14ac:dyDescent="0.2">
      <c r="C16" s="316"/>
      <c r="D16" s="309"/>
    </row>
    <row r="17" spans="1:5" s="310" customFormat="1" ht="15" x14ac:dyDescent="0.2">
      <c r="B17" s="311" t="s">
        <v>64</v>
      </c>
      <c r="C17" s="312"/>
      <c r="D17" s="313">
        <v>1</v>
      </c>
      <c r="E17" s="312" t="s">
        <v>217</v>
      </c>
    </row>
    <row r="18" spans="1:5" ht="31" x14ac:dyDescent="0.2">
      <c r="C18" s="314" t="s">
        <v>171</v>
      </c>
      <c r="D18" s="309"/>
      <c r="E18" s="315" t="s">
        <v>172</v>
      </c>
    </row>
    <row r="19" spans="1:5" ht="16" x14ac:dyDescent="0.2">
      <c r="C19" s="314" t="s">
        <v>173</v>
      </c>
      <c r="D19" s="309"/>
    </row>
    <row r="20" spans="1:5" ht="16" x14ac:dyDescent="0.2">
      <c r="C20" s="314" t="s">
        <v>174</v>
      </c>
      <c r="D20" s="309"/>
    </row>
    <row r="21" spans="1:5" ht="16" x14ac:dyDescent="0.2">
      <c r="B21" s="317"/>
      <c r="C21" s="318" t="s">
        <v>175</v>
      </c>
      <c r="D21" s="319"/>
    </row>
    <row r="22" spans="1:5" ht="15" x14ac:dyDescent="0.2">
      <c r="B22" s="317"/>
      <c r="C22" s="318"/>
      <c r="D22" s="319"/>
    </row>
    <row r="23" spans="1:5" s="310" customFormat="1" ht="15" x14ac:dyDescent="0.2">
      <c r="B23" s="311" t="s">
        <v>65</v>
      </c>
      <c r="C23" s="312"/>
      <c r="D23" s="313">
        <v>1</v>
      </c>
      <c r="E23" s="312" t="s">
        <v>217</v>
      </c>
    </row>
    <row r="24" spans="1:5" ht="16" x14ac:dyDescent="0.2">
      <c r="C24" s="314" t="s">
        <v>176</v>
      </c>
      <c r="D24" s="309"/>
      <c r="E24" s="315" t="s">
        <v>177</v>
      </c>
    </row>
    <row r="25" spans="1:5" ht="16" x14ac:dyDescent="0.2">
      <c r="C25" s="314" t="s">
        <v>178</v>
      </c>
      <c r="D25" s="309"/>
    </row>
    <row r="26" spans="1:5" x14ac:dyDescent="0.2">
      <c r="C26" s="316"/>
      <c r="D26" s="309"/>
    </row>
    <row r="27" spans="1:5" x14ac:dyDescent="0.2">
      <c r="A27" s="282" t="s">
        <v>0</v>
      </c>
      <c r="D27" s="309"/>
    </row>
    <row r="28" spans="1:5" s="310" customFormat="1" ht="15" x14ac:dyDescent="0.2">
      <c r="B28" s="311" t="s">
        <v>62</v>
      </c>
      <c r="C28" s="312" t="s">
        <v>179</v>
      </c>
      <c r="D28" s="313">
        <v>0.8</v>
      </c>
      <c r="E28" s="312" t="s">
        <v>217</v>
      </c>
    </row>
    <row r="29" spans="1:5" ht="16" x14ac:dyDescent="0.2">
      <c r="C29" s="320" t="s">
        <v>180</v>
      </c>
      <c r="D29" s="309"/>
      <c r="E29" s="315" t="s">
        <v>181</v>
      </c>
    </row>
    <row r="30" spans="1:5" ht="31" customHeight="1" x14ac:dyDescent="0.2">
      <c r="C30" s="320" t="s">
        <v>182</v>
      </c>
      <c r="D30" s="309"/>
      <c r="E30" s="315" t="s">
        <v>183</v>
      </c>
    </row>
    <row r="31" spans="1:5" ht="16" x14ac:dyDescent="0.2">
      <c r="B31" s="317"/>
      <c r="C31" s="321" t="s">
        <v>184</v>
      </c>
      <c r="D31" s="319"/>
      <c r="E31" s="283"/>
    </row>
    <row r="32" spans="1:5" ht="16" x14ac:dyDescent="0.2">
      <c r="B32" s="317"/>
      <c r="C32" s="321" t="s">
        <v>185</v>
      </c>
      <c r="D32" s="319"/>
      <c r="E32" s="283"/>
    </row>
    <row r="33" spans="2:5" ht="15" x14ac:dyDescent="0.2">
      <c r="B33" s="317"/>
      <c r="C33" s="321"/>
      <c r="D33" s="319"/>
      <c r="E33" s="283"/>
    </row>
    <row r="34" spans="2:5" s="310" customFormat="1" ht="15" x14ac:dyDescent="0.2">
      <c r="B34" s="311" t="s">
        <v>63</v>
      </c>
      <c r="C34" s="312" t="s">
        <v>179</v>
      </c>
      <c r="D34" s="313">
        <v>0.6</v>
      </c>
      <c r="E34" s="312" t="s">
        <v>217</v>
      </c>
    </row>
    <row r="35" spans="2:5" ht="31" x14ac:dyDescent="0.2">
      <c r="C35" s="322" t="s">
        <v>186</v>
      </c>
      <c r="D35" s="309"/>
      <c r="E35" s="315" t="s">
        <v>187</v>
      </c>
    </row>
    <row r="36" spans="2:5" ht="46" x14ac:dyDescent="0.2">
      <c r="C36" s="322" t="s">
        <v>188</v>
      </c>
      <c r="D36" s="309"/>
    </row>
    <row r="37" spans="2:5" ht="16" x14ac:dyDescent="0.2">
      <c r="C37" s="322" t="s">
        <v>189</v>
      </c>
      <c r="D37" s="309"/>
    </row>
    <row r="38" spans="2:5" x14ac:dyDescent="0.2">
      <c r="D38" s="309"/>
    </row>
    <row r="39" spans="2:5" s="310" customFormat="1" ht="15" x14ac:dyDescent="0.2">
      <c r="B39" s="311" t="s">
        <v>64</v>
      </c>
      <c r="C39" s="312" t="s">
        <v>179</v>
      </c>
      <c r="D39" s="313">
        <v>0.8</v>
      </c>
      <c r="E39" s="312" t="s">
        <v>217</v>
      </c>
    </row>
    <row r="40" spans="2:5" ht="16" x14ac:dyDescent="0.2">
      <c r="C40" s="322" t="s">
        <v>190</v>
      </c>
      <c r="D40" s="309"/>
      <c r="E40" s="308" t="s">
        <v>191</v>
      </c>
    </row>
    <row r="41" spans="2:5" ht="45" x14ac:dyDescent="0.2">
      <c r="C41" s="322" t="s">
        <v>192</v>
      </c>
      <c r="D41" s="309"/>
      <c r="E41" s="315" t="s">
        <v>193</v>
      </c>
    </row>
    <row r="42" spans="2:5" ht="16" x14ac:dyDescent="0.2">
      <c r="C42" s="322" t="s">
        <v>194</v>
      </c>
      <c r="D42" s="309"/>
    </row>
    <row r="43" spans="2:5" ht="15" x14ac:dyDescent="0.2">
      <c r="C43" s="322"/>
      <c r="D43" s="309"/>
    </row>
    <row r="44" spans="2:5" s="310" customFormat="1" ht="15" x14ac:dyDescent="0.2">
      <c r="B44" s="311" t="s">
        <v>65</v>
      </c>
      <c r="C44" s="312" t="s">
        <v>179</v>
      </c>
      <c r="D44" s="313">
        <v>0.8</v>
      </c>
      <c r="E44" s="312" t="s">
        <v>217</v>
      </c>
    </row>
    <row r="45" spans="2:5" ht="31" x14ac:dyDescent="0.2">
      <c r="C45" s="322" t="s">
        <v>195</v>
      </c>
      <c r="D45" s="309"/>
      <c r="E45" s="308" t="s">
        <v>196</v>
      </c>
    </row>
    <row r="46" spans="2:5" ht="31" x14ac:dyDescent="0.2">
      <c r="C46" s="322" t="s">
        <v>197</v>
      </c>
      <c r="D46" s="309"/>
      <c r="E46" s="315" t="s">
        <v>198</v>
      </c>
    </row>
    <row r="47" spans="2:5" x14ac:dyDescent="0.2">
      <c r="D47" s="309"/>
    </row>
    <row r="48" spans="2:5" x14ac:dyDescent="0.2">
      <c r="D48" s="309"/>
    </row>
    <row r="49" spans="1:5" x14ac:dyDescent="0.2">
      <c r="A49" s="282" t="s">
        <v>68</v>
      </c>
      <c r="D49" s="309"/>
    </row>
    <row r="50" spans="1:5" s="310" customFormat="1" ht="15" x14ac:dyDescent="0.2">
      <c r="B50" s="311" t="s">
        <v>62</v>
      </c>
      <c r="C50" s="312" t="s">
        <v>179</v>
      </c>
      <c r="D50" s="313">
        <v>0.7</v>
      </c>
      <c r="E50" s="312" t="s">
        <v>217</v>
      </c>
    </row>
    <row r="51" spans="1:5" ht="30" x14ac:dyDescent="0.2">
      <c r="C51" s="320" t="s">
        <v>199</v>
      </c>
      <c r="D51" s="309"/>
      <c r="E51" s="315" t="s">
        <v>200</v>
      </c>
    </row>
    <row r="52" spans="1:5" ht="16" x14ac:dyDescent="0.2">
      <c r="C52" s="320" t="s">
        <v>201</v>
      </c>
      <c r="D52" s="309"/>
    </row>
    <row r="53" spans="1:5" ht="16" x14ac:dyDescent="0.2">
      <c r="C53" s="320" t="s">
        <v>202</v>
      </c>
      <c r="D53" s="309"/>
    </row>
    <row r="54" spans="1:5" x14ac:dyDescent="0.2">
      <c r="B54" s="317"/>
      <c r="C54" s="283"/>
      <c r="D54" s="319"/>
    </row>
    <row r="55" spans="1:5" s="310" customFormat="1" ht="15" x14ac:dyDescent="0.2">
      <c r="B55" s="311" t="s">
        <v>63</v>
      </c>
      <c r="C55" s="312" t="s">
        <v>179</v>
      </c>
      <c r="D55" s="313">
        <v>0.75</v>
      </c>
      <c r="E55" s="312" t="s">
        <v>217</v>
      </c>
    </row>
    <row r="56" spans="1:5" ht="31" x14ac:dyDescent="0.2">
      <c r="C56" s="320" t="s">
        <v>203</v>
      </c>
      <c r="E56" s="315" t="s">
        <v>204</v>
      </c>
    </row>
    <row r="57" spans="1:5" ht="30" x14ac:dyDescent="0.2">
      <c r="C57" s="320" t="s">
        <v>205</v>
      </c>
      <c r="D57" s="309"/>
      <c r="E57" s="315" t="s">
        <v>206</v>
      </c>
    </row>
    <row r="58" spans="1:5" ht="15" x14ac:dyDescent="0.2">
      <c r="C58" s="320"/>
      <c r="D58" s="309"/>
    </row>
    <row r="59" spans="1:5" s="310" customFormat="1" ht="15" x14ac:dyDescent="0.2">
      <c r="B59" s="311" t="s">
        <v>64</v>
      </c>
      <c r="C59" s="312" t="s">
        <v>179</v>
      </c>
      <c r="D59" s="313">
        <v>0.7</v>
      </c>
      <c r="E59" s="312" t="s">
        <v>217</v>
      </c>
    </row>
    <row r="60" spans="1:5" ht="30" x14ac:dyDescent="0.2">
      <c r="C60" s="322" t="s">
        <v>207</v>
      </c>
      <c r="D60" s="309"/>
      <c r="E60" s="315" t="s">
        <v>208</v>
      </c>
    </row>
    <row r="61" spans="1:5" ht="30" x14ac:dyDescent="0.2">
      <c r="C61" s="322" t="s">
        <v>209</v>
      </c>
      <c r="D61" s="309"/>
      <c r="E61" s="315" t="s">
        <v>210</v>
      </c>
    </row>
    <row r="62" spans="1:5" ht="16" x14ac:dyDescent="0.2">
      <c r="C62" s="322" t="s">
        <v>211</v>
      </c>
      <c r="D62" s="309"/>
    </row>
    <row r="63" spans="1:5" ht="16" x14ac:dyDescent="0.2">
      <c r="C63" s="322" t="s">
        <v>212</v>
      </c>
      <c r="D63" s="309"/>
    </row>
    <row r="64" spans="1:5" ht="15" x14ac:dyDescent="0.2">
      <c r="C64" s="322"/>
      <c r="D64" s="309"/>
    </row>
    <row r="65" spans="2:5" s="310" customFormat="1" ht="16" customHeight="1" x14ac:dyDescent="0.2">
      <c r="B65" s="311" t="s">
        <v>65</v>
      </c>
      <c r="C65" s="312" t="s">
        <v>179</v>
      </c>
      <c r="D65" s="313">
        <v>0.8</v>
      </c>
      <c r="E65" s="312" t="s">
        <v>217</v>
      </c>
    </row>
    <row r="66" spans="2:5" ht="30" x14ac:dyDescent="0.2">
      <c r="C66" s="322" t="s">
        <v>213</v>
      </c>
      <c r="E66" s="315" t="s">
        <v>214</v>
      </c>
    </row>
    <row r="67" spans="2:5" ht="16" x14ac:dyDescent="0.2">
      <c r="C67" s="322" t="s">
        <v>215</v>
      </c>
      <c r="D67" s="309"/>
    </row>
    <row r="68" spans="2:5" x14ac:dyDescent="0.2">
      <c r="C68" s="316"/>
      <c r="D68" s="309"/>
    </row>
    <row r="69" spans="2:5" x14ac:dyDescent="0.2">
      <c r="D69" s="309"/>
    </row>
    <row r="70" spans="2:5" x14ac:dyDescent="0.2">
      <c r="D70" s="309"/>
    </row>
    <row r="71" spans="2:5" x14ac:dyDescent="0.2">
      <c r="D71" s="309"/>
    </row>
    <row r="72" spans="2:5" x14ac:dyDescent="0.2">
      <c r="D72" s="309"/>
    </row>
    <row r="73" spans="2:5" x14ac:dyDescent="0.2">
      <c r="D73" s="309"/>
    </row>
    <row r="74" spans="2:5" x14ac:dyDescent="0.2">
      <c r="D74" s="309"/>
    </row>
  </sheetData>
  <conditionalFormatting sqref="G1:G4">
    <cfRule type="expression" dxfId="3" priority="4" stopIfTrue="1">
      <formula>IF($G1=2, TRUE, FALSE)</formula>
    </cfRule>
  </conditionalFormatting>
  <conditionalFormatting sqref="F3:F4 F1">
    <cfRule type="expression" dxfId="2" priority="1" stopIfTrue="1">
      <formula>IF($G1=1, TRUE, FALSE)</formula>
    </cfRule>
  </conditionalFormatting>
  <conditionalFormatting sqref="H1:H4">
    <cfRule type="expression" dxfId="1" priority="2" stopIfTrue="1">
      <formula>IF($G1=3, TRUE, FALSE)</formula>
    </cfRule>
  </conditionalFormatting>
  <conditionalFormatting sqref="I1">
    <cfRule type="expression" dxfId="0" priority="3" stopIfTrue="1">
      <formula>IF($G1=4, TRUE, FALSE)</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92</vt:i4>
      </vt:variant>
    </vt:vector>
  </HeadingPairs>
  <TitlesOfParts>
    <vt:vector size="97" baseType="lpstr">
      <vt:lpstr>License</vt:lpstr>
      <vt:lpstr>Model</vt:lpstr>
      <vt:lpstr>Tornado</vt:lpstr>
      <vt:lpstr>Full Distribution</vt:lpstr>
      <vt:lpstr>Life Stage Assessments</vt:lpstr>
      <vt:lpstr>calculations</vt:lpstr>
      <vt:lpstr>CrossChasm</vt:lpstr>
      <vt:lpstr>crossChasm_financial</vt:lpstr>
      <vt:lpstr>crossChasm_market</vt:lpstr>
      <vt:lpstr>crossChasm_product</vt:lpstr>
      <vt:lpstr>crossChasm_team</vt:lpstr>
      <vt:lpstr>CumeCostCrossChasm</vt:lpstr>
      <vt:lpstr>CumeCostEarlyStage</vt:lpstr>
      <vt:lpstr>Dilution</vt:lpstr>
      <vt:lpstr>earlyStage_financial</vt:lpstr>
      <vt:lpstr>earlyStage_market</vt:lpstr>
      <vt:lpstr>earlyStage_product</vt:lpstr>
      <vt:lpstr>earlyStage_team</vt:lpstr>
      <vt:lpstr>EarlySuccess</vt:lpstr>
      <vt:lpstr>EarningsMult</vt:lpstr>
      <vt:lpstr>exitValue</vt:lpstr>
      <vt:lpstr>Fifty_PWMOIC_SweetSpot</vt:lpstr>
      <vt:lpstr>Fifty_PWMOIC_TotalTAM</vt:lpstr>
      <vt:lpstr>Fifty_SweetSpotPWMOIC_GivenCrossChasmSuccess</vt:lpstr>
      <vt:lpstr>Fifty_SweetSpotTAM</vt:lpstr>
      <vt:lpstr>Fifty_TotalTAM</vt:lpstr>
      <vt:lpstr>InitialRoundSize</vt:lpstr>
      <vt:lpstr>inputTable</vt:lpstr>
      <vt:lpstr>Investment</vt:lpstr>
      <vt:lpstr>KingChance</vt:lpstr>
      <vt:lpstr>KingMktShare</vt:lpstr>
      <vt:lpstr>lifestageSuccessProbabilityTable</vt:lpstr>
      <vt:lpstr>MainstreamSuccess</vt:lpstr>
      <vt:lpstr>MarketTree</vt:lpstr>
      <vt:lpstr>massMarket_financial</vt:lpstr>
      <vt:lpstr>massMarket_market</vt:lpstr>
      <vt:lpstr>massMarket_product</vt:lpstr>
      <vt:lpstr>massMarket_team</vt:lpstr>
      <vt:lpstr>Mean_SweetSpotPWMOIC_GivenCrossChasmSuccess</vt:lpstr>
      <vt:lpstr>Mean_SweetSpotTAM</vt:lpstr>
      <vt:lpstr>Mean_TotalTAM</vt:lpstr>
      <vt:lpstr>MeanPWMOIC_SweetSpot</vt:lpstr>
      <vt:lpstr>MeanPWMOIC_TotalTAM</vt:lpstr>
      <vt:lpstr>NicheDilution</vt:lpstr>
      <vt:lpstr>NicheMarketShare</vt:lpstr>
      <vt:lpstr>NicheMultDisc</vt:lpstr>
      <vt:lpstr>NicheOwnershipAtExit</vt:lpstr>
      <vt:lpstr>NicheSize</vt:lpstr>
      <vt:lpstr>Ninety_PWMOIC_SweetSpot</vt:lpstr>
      <vt:lpstr>Ninety_PWMOIC_TotalTAM</vt:lpstr>
      <vt:lpstr>Ninety_SweetSpotPWMOIC_GivenCrossChasmSuccess</vt:lpstr>
      <vt:lpstr>Ninety_SweetSpotTAM</vt:lpstr>
      <vt:lpstr>Ninety_TotalTAM</vt:lpstr>
      <vt:lpstr>outputDefnTable</vt:lpstr>
      <vt:lpstr>outputTable</vt:lpstr>
      <vt:lpstr>ownershipAtExit</vt:lpstr>
      <vt:lpstr>pCrossChasm_total</vt:lpstr>
      <vt:lpstr>pFailCrossChasm</vt:lpstr>
      <vt:lpstr>pFailEarlyStage</vt:lpstr>
      <vt:lpstr>pMassMkt_total</vt:lpstr>
      <vt:lpstr>PreMoneyValue</vt:lpstr>
      <vt:lpstr>PrinceChance</vt:lpstr>
      <vt:lpstr>PrinceMktShare</vt:lpstr>
      <vt:lpstr>projectedYear</vt:lpstr>
      <vt:lpstr>Model!RD_InputTable</vt:lpstr>
      <vt:lpstr>SalesMult</vt:lpstr>
      <vt:lpstr>SerfMktShare</vt:lpstr>
      <vt:lpstr>SmartOrgInputTable</vt:lpstr>
      <vt:lpstr>SweetSpotTABLE</vt:lpstr>
      <vt:lpstr>SweetspotTAM</vt:lpstr>
      <vt:lpstr>tam_sweetSpot</vt:lpstr>
      <vt:lpstr>tam_total</vt:lpstr>
      <vt:lpstr>Ten_PWMOIC_SweetSpot</vt:lpstr>
      <vt:lpstr>Ten_PWMOIC_TotalTAM</vt:lpstr>
      <vt:lpstr>Ten_SweetSpotPWMOIC_GivenCrossChasmSuccess</vt:lpstr>
      <vt:lpstr>Ten_SweetSpotTAM</vt:lpstr>
      <vt:lpstr>Ten_TotalTAM</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vt:lpstr>
      <vt:lpstr>TotalPWMOIC_SweetSpot_Given_CrossChasmSuccess</vt:lpstr>
      <vt:lpstr>TotalPWMOIC_SweetSpot_Given_MarketSuccess</vt:lpstr>
      <vt:lpstr>TotalPWMOIC_TotalTAM</vt:lpstr>
      <vt:lpstr>TotalPWMOIC_TotalTAM_Given_CrossChasmSuccess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Somik Raha</cp:lastModifiedBy>
  <cp:lastPrinted>2017-02-02T01:23:03Z</cp:lastPrinted>
  <dcterms:created xsi:type="dcterms:W3CDTF">2000-05-24T16:45:44Z</dcterms:created>
  <dcterms:modified xsi:type="dcterms:W3CDTF">2019-02-01T19:48:55Z</dcterms:modified>
</cp:coreProperties>
</file>