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2FDB39F9-5815-C74A-88E1-25D70335BB68}" xr6:coauthVersionLast="40" xr6:coauthVersionMax="40" xr10:uidLastSave="{00000000-0000-0000-0000-000000000000}"/>
  <bookViews>
    <workbookView xWindow="0" yWindow="460" windowWidth="33600" windowHeight="19320" tabRatio="783" activeTab="2"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E47" i="8" l="1"/>
  <c r="E45" i="8"/>
  <c r="E43" i="8"/>
  <c r="O39" i="8"/>
  <c r="O37" i="8"/>
  <c r="O22" i="8"/>
  <c r="O21" i="8"/>
  <c r="E19" i="8"/>
  <c r="E17" i="8"/>
  <c r="E21" i="8" l="1"/>
  <c r="P27" i="8"/>
  <c r="E55" i="1" s="1"/>
  <c r="J55" i="8" a="1"/>
  <c r="J29" i="8" a="1"/>
  <c r="P25" i="8"/>
  <c r="E51" i="1" s="1"/>
  <c r="E67" i="1"/>
  <c r="E3"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O209" i="5"/>
  <c r="O210" i="5"/>
  <c r="T211" i="5" s="1"/>
  <c r="O211" i="5"/>
  <c r="T212" i="5" s="1"/>
  <c r="O212" i="5"/>
  <c r="T213" i="5" s="1"/>
  <c r="O213" i="5"/>
  <c r="T214" i="5" s="1"/>
  <c r="O214" i="5"/>
  <c r="T215" i="5" s="1"/>
  <c r="O215" i="5"/>
  <c r="T216" i="5" s="1"/>
  <c r="O216" i="5"/>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17" i="5"/>
  <c r="T210" i="5"/>
  <c r="T209" i="5"/>
  <c r="T202" i="5"/>
  <c r="T201" i="5"/>
  <c r="T194" i="5"/>
  <c r="T193" i="5"/>
  <c r="T186" i="5"/>
  <c r="T185" i="5"/>
  <c r="T179" i="5"/>
  <c r="T178" i="5"/>
  <c r="T177" i="5"/>
  <c r="T170" i="5"/>
  <c r="T169" i="5"/>
  <c r="T162" i="5"/>
  <c r="T163" i="5"/>
  <c r="T161" i="5"/>
  <c r="T154" i="5"/>
  <c r="T153" i="5"/>
  <c r="T146" i="5"/>
  <c r="T147" i="5"/>
  <c r="T145" i="5"/>
  <c r="T138" i="5"/>
  <c r="T139"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52"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4" i="2"/>
  <c r="F4" i="2"/>
  <c r="E4" i="2"/>
  <c r="D4" i="2"/>
  <c r="G3" i="2"/>
  <c r="F3" i="2"/>
  <c r="D3" i="2"/>
  <c r="G2" i="2"/>
  <c r="F2" i="2"/>
  <c r="E2" i="2"/>
  <c r="D2"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2" i="2"/>
  <c r="J82" i="1"/>
  <c r="J62" i="1"/>
  <c r="L74" i="1"/>
  <c r="K56" i="1"/>
  <c r="J78" i="1"/>
  <c r="K60" i="1"/>
  <c r="H4" i="2"/>
  <c r="K80" i="1"/>
  <c r="H3"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<sst xmlns="http://schemas.openxmlformats.org/spreadsheetml/2006/main" count="649" uniqueCount="234">
  <si>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</si>
  <si>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</si>
  <si>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</si>
  <si>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</si>
  <si>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</si>
  <si>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</si>
  <si>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</si>
  <si>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</si>
  <si>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</si>
  <si>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</si>
  <si>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</si>
  <si>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</si>
  <si>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</si>
  <si>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</si>
  <si>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</si>
  <si>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</si>
  <si>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</si>
  <si>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</si>
  <si>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</si>
  <si>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</si>
  <si>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</si>
  <si>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</si>
  <si>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</si>
  <si>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</si>
  <si>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</si>
  <si>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</si>
  <si>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</si>
  <si>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</si>
  <si>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</si>
  <si>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</si>
  <si>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</si>
  <si>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</si>
  <si>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</si>
  <si>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</si>
  <si>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</si>
  <si>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</si>
  <si>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</si>
  <si>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</si>
  <si>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</si>
  <si>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</si>
  <si>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</si>
  <si>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</si>
  <si>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</si>
  <si>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</si>
  <si>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</si>
  <si>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</si>
  <si>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</si>
  <si>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</si>
  <si>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</si>
  <si>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</si>
  <si>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</si>
  <si>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</si>
  <si>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</si>
  <si>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</si>
  <si>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</si>
  <si>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</si>
  <si>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</si>
  <si>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</si>
  <si>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</si>
  <si>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</si>
  <si>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</si>
  <si>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</si>
  <si>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</si>
  <si>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</si>
  <si>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</si>
  <si>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</si>
  <si>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</si>
  <si>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</si>
  <si>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</si>
  <si>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</si>
  <si>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</si>
  <si>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</si>
  <si>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</si>
  <si>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</si>
  <si>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</si>
  <si>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</si>
  <si>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</si>
  <si>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</si>
  <si>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</si>
  <si>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</si>
  <si>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</si>
  <si>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</si>
  <si>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</si>
  <si>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</si>
  <si>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</si>
  <si>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</si>
  <si>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</si>
  <si>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</si>
  <si>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</si>
  <si>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</si>
  <si>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</si>
  <si>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</si>
  <si>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</si>
  <si>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</si>
  <si>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</si>
  <si>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</si>
  <si>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</si>
  <si>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</si>
  <si>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</si>
  <si>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</si>
  <si>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</si>
  <si>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</si>
  <si>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</si>
  <si>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</si>
  <si>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</si>
  <si>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</si>
  <si>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</si>
  <si>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</si>
  <si>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</si>
  <si>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</si>
  <si>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</si>
  <si>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</si>
  <si>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</si>
  <si>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</si>
  <si>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</si>
  <si>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</si>
  <si>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</si>
  <si>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</si>
  <si>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</si>
  <si>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Truthy: Series Seed</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</si>
  <si>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</si>
  <si>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</si>
  <si>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</si>
  <si>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</si>
  <si>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</si>
  <si>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</si>
  <si>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</si>
  <si>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</si>
  <si>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</si>
  <si>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</si>
  <si>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</si>
  <si>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</si>
  <si>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</si>
  <si>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</si>
  <si>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</si>
  <si>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</si>
  <si>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</si>
  <si>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</si>
  <si>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</si>
  <si>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</si>
  <si>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</si>
  <si>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</si>
  <si>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</si>
  <si>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</si>
  <si>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</si>
  <si>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</si>
  <si>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</si>
  <si>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</si>
  <si>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</si>
  <si>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</si>
  <si>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</si>
  <si>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</si>
  <si>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</si>
  <si>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</si>
  <si>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</si>
  <si>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</si>
  <si>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</si>
  <si>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</si>
  <si>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</si>
  <si>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</si>
  <si>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</si>
  <si>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</si>
  <si>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</si>
  <si>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</si>
  <si>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</si>
  <si>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</si>
  <si>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</si>
  <si>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</si>
  <si>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</si>
  <si>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</si>
  <si>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</si>
  <si>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</si>
  <si>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</si>
  <si>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</si>
  <si>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</si>
  <si>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</si>
  <si>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</si>
  <si>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</si>
  <si>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</si>
  <si>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</si>
  <si>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</si>
  <si>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</si>
  <si>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</si>
  <si>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</si>
  <si>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</si>
  <si>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</si>
  <si>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</si>
  <si>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</si>
  <si>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</si>
  <si>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</si>
  <si>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</si>
  <si>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</si>
  <si>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</si>
  <si>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</si>
  <si>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</si>
  <si>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</si>
  <si>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</si>
  <si>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</si>
  <si>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</si>
  <si>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</si>
  <si>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</si>
  <si>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</si>
  <si>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</si>
  <si>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</si>
  <si>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</si>
  <si>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</si>
  <si>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</si>
  <si>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</si>
  <si>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</si>
  <si>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</si>
  <si>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</si>
  <si>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</si>
  <si>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</si>
  <si>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</si>
  <si>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</si>
  <si>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</si>
  <si>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</si>
  <si>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</si>
  <si>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</si>
  <si>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</si>
  <si>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</si>
  <si>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</si>
  <si>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</si>
  <si>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</si>
  <si>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</si>
  <si>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</si>
  <si>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</si>
  <si>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</si>
  <si>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</si>
  <si>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</si>
  <si>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</si>
  <si>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</si>
  <si>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Change name to Sweet Spot</t>
  </si>
  <si>
    <t>Output: Sweet Spot Mkt: PWMOIC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</si>
</sst>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name val="Apple Chancery"/>
      <family val="4"/>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7">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pt" sz="2400"/>
              <a:t>Tornado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Niche Size - of sweetspot TAM</c:v>
              </c:pt>
              <c:pt idx="2">
                <c:v>Niche Market Share</c:v>
              </c:pt>
              <c:pt idx="3">
                <c:v>Niche Dilution</c:v>
              </c:pt>
              <c:pt idx="4">
                <c:v>Niche Exit Mult Disc</c:v>
              </c:pt>
              <c:pt idx="5">
                <c:v>Serf Market Share</c:v>
              </c:pt>
              <c:pt idx="6">
                <c:v>Investment size</c:v>
              </c:pt>
              <c:pt idx="7">
                <c:v>King Market Share</c:v>
              </c:pt>
              <c:pt idx="8">
                <c:v>Sweetspot TAM</c:v>
              </c:pt>
              <c:pt idx="9">
                <c:v>Prince Market Share</c:v>
              </c:pt>
              <c:pt idx="10">
                <c:v>Total TAM</c:v>
              </c:pt>
              <c:pt idx="11">
                <c:v>Pre-money Valuation</c:v>
              </c:pt>
              <c:pt idx="12">
                <c:v>Exit Multiple (Sales)</c:v>
              </c:pt>
              <c:pt idx="13">
                <c:v>Dilution</c:v>
              </c:pt>
            </c:strLit>
          </c:cat>
          <c:val>
            <c:numLit>
              <c:formatCode>General</c:formatCode>
              <c:ptCount val="14"/>
              <c:pt idx="0">
                <c:v>6.754410788571426</c:v>
              </c:pt>
              <c:pt idx="1">
                <c:v>21.87021653333333</c:v>
              </c:pt>
              <c:pt idx="2">
                <c:v>21.87021653333333</c:v>
              </c:pt>
              <c:pt idx="3">
                <c:v>21.871421439999995</c:v>
              </c:pt>
              <c:pt idx="4">
                <c:v>21.867806719999997</c:v>
              </c:pt>
              <c:pt idx="5">
                <c:v>20.289672533333331</c:v>
              </c:pt>
              <c:pt idx="6">
                <c:v>23.156699858823529</c:v>
              </c:pt>
              <c:pt idx="7">
                <c:v>19.235976533333332</c:v>
              </c:pt>
              <c:pt idx="8">
                <c:v>17.705608533333333</c:v>
              </c:pt>
              <c:pt idx="9">
                <c:v>17.918856533333333</c:v>
              </c:pt>
              <c:pt idx="10">
                <c:v>14.582152533333332</c:v>
              </c:pt>
              <c:pt idx="11">
                <c:v>28.118849828571427</c:v>
              </c:pt>
              <c:pt idx="12">
                <c:v>13.124539733333334</c:v>
              </c:pt>
              <c:pt idx="13">
                <c:v>43.734408533333323</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46.069313828571424</c:v>
              </c:pt>
              <c:pt idx="1">
                <c:v>21.87021653333333</c:v>
              </c:pt>
              <c:pt idx="2">
                <c:v>21.87021653333333</c:v>
              </c:pt>
              <c:pt idx="3">
                <c:v>21.867204266666661</c:v>
              </c:pt>
              <c:pt idx="4">
                <c:v>21.873831253333329</c:v>
              </c:pt>
              <c:pt idx="5">
                <c:v>23.45076053333333</c:v>
              </c:pt>
              <c:pt idx="6">
                <c:v>19.683194879999999</c:v>
              </c:pt>
              <c:pt idx="7">
                <c:v>24.504456533333332</c:v>
              </c:pt>
              <c:pt idx="8">
                <c:v>24.993672533333335</c:v>
              </c:pt>
              <c:pt idx="9">
                <c:v>25.821576533333332</c:v>
              </c:pt>
              <c:pt idx="10">
                <c:v>26.034824533333335</c:v>
              </c:pt>
              <c:pt idx="11">
                <c:v>16.402662399999997</c:v>
              </c:pt>
              <c:pt idx="12">
                <c:v>30.615893333333332</c:v>
              </c:pt>
              <c:pt idx="13">
                <c:v>8.7517013333333296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1.8702165333333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2.1540582399999995</c:v>
              </c:pt>
              <c:pt idx="1">
                <c:v>2.628221439999999</c:v>
              </c:pt>
              <c:pt idx="2">
                <c:v>2.8720776533333328</c:v>
              </c:pt>
              <c:pt idx="3">
                <c:v>3.102384639999999</c:v>
              </c:pt>
              <c:pt idx="4">
                <c:v>3.2288281599999986</c:v>
              </c:pt>
              <c:pt idx="5">
                <c:v>3.5042952533333329</c:v>
              </c:pt>
              <c:pt idx="6">
                <c:v>3.5870847999999991</c:v>
              </c:pt>
              <c:pt idx="7">
                <c:v>3.692671268571428</c:v>
              </c:pt>
              <c:pt idx="8">
                <c:v>3.842982399999999</c:v>
              </c:pt>
              <c:pt idx="9">
                <c:v>3.9400729599999988</c:v>
              </c:pt>
              <c:pt idx="10">
                <c:v>4.1365128533333326</c:v>
              </c:pt>
              <c:pt idx="11">
                <c:v>4.3051042133333315</c:v>
              </c:pt>
              <c:pt idx="12">
                <c:v>4.3773567999999994</c:v>
              </c:pt>
              <c:pt idx="13">
                <c:v>4.5055224685714279</c:v>
              </c:pt>
              <c:pt idx="14">
                <c:v>4.6513177599999995</c:v>
              </c:pt>
              <c:pt idx="15">
                <c:v>4.6897023999999989</c:v>
              </c:pt>
              <c:pt idx="16">
                <c:v>4.7827797333333315</c:v>
              </c:pt>
              <c:pt idx="17">
                <c:v>5.0201113599999996</c:v>
              </c:pt>
              <c:pt idx="18">
                <c:v>5.123976533333332</c:v>
              </c:pt>
              <c:pt idx="19">
                <c:v>5.1676287999999992</c:v>
              </c:pt>
              <c:pt idx="20">
                <c:v>5.2534306133333315</c:v>
              </c:pt>
              <c:pt idx="21">
                <c:v>5.3183736685714269</c:v>
              </c:pt>
              <c:pt idx="22">
                <c:v>5.3783679999999983</c:v>
              </c:pt>
              <c:pt idx="23">
                <c:v>5.378368</c:v>
              </c:pt>
              <c:pt idx="24">
                <c:v>5.5351339885714266</c:v>
              </c:pt>
              <c:pt idx="25">
                <c:v>5.5364223999999993</c:v>
              </c:pt>
              <c:pt idx="26">
                <c:v>5.8364757333333319</c:v>
              </c:pt>
              <c:pt idx="27">
                <c:v>6.1264921599999989</c:v>
              </c:pt>
              <c:pt idx="28">
                <c:v>6.149288228571427</c:v>
              </c:pt>
              <c:pt idx="29">
                <c:v>6.2017570133333306</c:v>
              </c:pt>
              <c:pt idx="30">
                <c:v>6.2529365333333313</c:v>
              </c:pt>
              <c:pt idx="31">
                <c:v>6.4019583999999989</c:v>
              </c:pt>
              <c:pt idx="32">
                <c:v>6.5637759999999981</c:v>
              </c:pt>
              <c:pt idx="33">
                <c:v>6.5637760000000007</c:v>
              </c:pt>
              <c:pt idx="34">
                <c:v>6.5879698285714268</c:v>
              </c:pt>
              <c:pt idx="35">
                <c:v>6.6934818133333316</c:v>
              </c:pt>
              <c:pt idx="36">
                <c:v>6.754410788571426</c:v>
              </c:pt>
              <c:pt idx="37">
                <c:v>6.8901717333333306</c:v>
              </c:pt>
              <c:pt idx="38">
                <c:v>7.1711573333333298</c:v>
              </c:pt>
              <c:pt idx="39">
                <c:v>7.1711573333333334</c:v>
              </c:pt>
              <c:pt idx="40">
                <c:v>7.232872959999999</c:v>
              </c:pt>
              <c:pt idx="41">
                <c:v>7.3818965333333306</c:v>
              </c:pt>
              <c:pt idx="42">
                <c:v>7.5040402285714265</c:v>
              </c:pt>
              <c:pt idx="43">
                <c:v>7.5279078399999984</c:v>
              </c:pt>
              <c:pt idx="44">
                <c:v>7.7491839999999987</c:v>
              </c:pt>
              <c:pt idx="45">
                <c:v>7.7491840000000014</c:v>
              </c:pt>
              <c:pt idx="46">
                <c:v>7.8131583999999989</c:v>
              </c:pt>
              <c:pt idx="47">
                <c:v>7.9736875885714271</c:v>
              </c:pt>
              <c:pt idx="48">
                <c:v>8.0394898285714262</c:v>
              </c:pt>
              <c:pt idx="49">
                <c:v>8.0652927999999999</c:v>
              </c:pt>
              <c:pt idx="50">
                <c:v>8.16865621333333</c:v>
              </c:pt>
              <c:pt idx="51">
                <c:v>8.5359445333333301</c:v>
              </c:pt>
              <c:pt idx="52">
                <c:v>8.6059051885714268</c:v>
              </c:pt>
              <c:pt idx="53">
                <c:v>8.7517013333333296</c:v>
              </c:pt>
              <c:pt idx="54">
                <c:v>8.7517013333333331</c:v>
              </c:pt>
              <c:pt idx="55">
                <c:v>8.858792228571426</c:v>
              </c:pt>
              <c:pt idx="56">
                <c:v>8.9609343999999975</c:v>
              </c:pt>
              <c:pt idx="57">
                <c:v>8.9609343999999993</c:v>
              </c:pt>
              <c:pt idx="58">
                <c:v>9.1874790399999977</c:v>
              </c:pt>
              <c:pt idx="59">
                <c:v>9.2200594285714246</c:v>
              </c:pt>
              <c:pt idx="60">
                <c:v>9.2200594285714281</c:v>
              </c:pt>
              <c:pt idx="61">
                <c:v>9.2243583999999981</c:v>
              </c:pt>
              <c:pt idx="62">
                <c:v>9.4910098285714248</c:v>
              </c:pt>
              <c:pt idx="63">
                <c:v>9.6006784000000014</c:v>
              </c:pt>
              <c:pt idx="64">
                <c:v>9.6438306133333302</c:v>
              </c:pt>
              <c:pt idx="65">
                <c:v>9.8434048000000001</c:v>
              </c:pt>
              <c:pt idx="66">
                <c:v>10.03721045333333</c:v>
              </c:pt>
              <c:pt idx="67">
                <c:v>10.332245333333329</c:v>
              </c:pt>
              <c:pt idx="68">
                <c:v>10.332245333333333</c:v>
              </c:pt>
              <c:pt idx="69">
                <c:v>10.417544533333329</c:v>
              </c:pt>
              <c:pt idx="70">
                <c:v>10.502557988571425</c:v>
              </c:pt>
              <c:pt idx="71">
                <c:v>10.7522176</c:v>
              </c:pt>
              <c:pt idx="72">
                <c:v>10.753723733333333</c:v>
              </c:pt>
              <c:pt idx="73">
                <c:v>10.847050239999998</c:v>
              </c:pt>
              <c:pt idx="74">
                <c:v>10.936614399999998</c:v>
              </c:pt>
              <c:pt idx="75">
                <c:v>10.9366144</c:v>
              </c:pt>
              <c:pt idx="76">
                <c:v>10.974785828571425</c:v>
              </c:pt>
              <c:pt idx="77">
                <c:v>11.252187428571425</c:v>
              </c:pt>
              <c:pt idx="78">
                <c:v>11.252187428571428</c:v>
              </c:pt>
              <c:pt idx="79">
                <c:v>11.621516799999998</c:v>
              </c:pt>
              <c:pt idx="80">
                <c:v>11.717478400000001</c:v>
              </c:pt>
              <c:pt idx="81">
                <c:v>11.94791253333333</c:v>
              </c:pt>
              <c:pt idx="82">
                <c:v>11.947912533333332</c:v>
              </c:pt>
              <c:pt idx="83">
                <c:v>12.24997205333333</c:v>
              </c:pt>
              <c:pt idx="84">
                <c:v>12.299144533333331</c:v>
              </c:pt>
              <c:pt idx="85">
                <c:v>12.399210788571425</c:v>
              </c:pt>
              <c:pt idx="86">
                <c:v>12.5435008</c:v>
              </c:pt>
              <c:pt idx="87">
                <c:v>12.800904533333332</c:v>
              </c:pt>
              <c:pt idx="88">
                <c:v>12.904984868571423</c:v>
              </c:pt>
              <c:pt idx="89">
                <c:v>12.912294399999997</c:v>
              </c:pt>
              <c:pt idx="90">
                <c:v>12.9122944</c:v>
              </c:pt>
              <c:pt idx="91">
                <c:v>13.123033600000001</c:v>
              </c:pt>
              <c:pt idx="92">
                <c:v>13.124539733333334</c:v>
              </c:pt>
              <c:pt idx="93">
                <c:v>13.284315428571423</c:v>
              </c:pt>
              <c:pt idx="94">
                <c:v>13.284315428571428</c:v>
              </c:pt>
              <c:pt idx="95">
                <c:v>13.393985828571424</c:v>
              </c:pt>
              <c:pt idx="96">
                <c:v>13.4391424</c:v>
              </c:pt>
              <c:pt idx="97">
                <c:v>13.826216228571425</c:v>
              </c:pt>
              <c:pt idx="98">
                <c:v>13.834278400000001</c:v>
              </c:pt>
              <c:pt idx="99">
                <c:v>14.336290133333334</c:v>
              </c:pt>
              <c:pt idx="100">
                <c:v>14.462733653333329</c:v>
              </c:pt>
              <c:pt idx="101">
                <c:v>14.58215253333333</c:v>
              </c:pt>
              <c:pt idx="102">
                <c:v>14.582152533333332</c:v>
              </c:pt>
              <c:pt idx="103">
                <c:v>15.309452800000001</c:v>
              </c:pt>
              <c:pt idx="104">
                <c:v>15.361601828571425</c:v>
              </c:pt>
              <c:pt idx="105">
                <c:v>15.361601828571429</c:v>
              </c:pt>
              <c:pt idx="106">
                <c:v>15.493849600000003</c:v>
              </c:pt>
              <c:pt idx="107">
                <c:v>15.495355733333332</c:v>
              </c:pt>
              <c:pt idx="108">
                <c:v>15.623304533333332</c:v>
              </c:pt>
              <c:pt idx="109">
                <c:v>15.749964068571424</c:v>
              </c:pt>
              <c:pt idx="110">
                <c:v>15.813185828571424</c:v>
              </c:pt>
              <c:pt idx="111">
                <c:v>15.998118399999997</c:v>
              </c:pt>
              <c:pt idx="112">
                <c:v>16.126067199999998</c:v>
              </c:pt>
              <c:pt idx="113">
                <c:v>16.402662399999997</c:v>
              </c:pt>
              <c:pt idx="114">
                <c:v>16.458305828571429</c:v>
              </c:pt>
              <c:pt idx="115">
                <c:v>16.724667733333334</c:v>
              </c:pt>
              <c:pt idx="116">
                <c:v>16.874408228571426</c:v>
              </c:pt>
              <c:pt idx="117">
                <c:v>17.21639253333333</c:v>
              </c:pt>
              <c:pt idx="118">
                <c:v>17.216392533333334</c:v>
              </c:pt>
              <c:pt idx="119">
                <c:v>17.497378133333335</c:v>
              </c:pt>
              <c:pt idx="120">
                <c:v>17.917350399999997</c:v>
              </c:pt>
              <c:pt idx="121">
                <c:v>17.918856533333333</c:v>
              </c:pt>
              <c:pt idx="122">
                <c:v>18.075404799999998</c:v>
              </c:pt>
              <c:pt idx="123">
                <c:v>18.43237302857143</c:v>
              </c:pt>
              <c:pt idx="124">
                <c:v>18.445704533333334</c:v>
              </c:pt>
              <c:pt idx="125">
                <c:v>18.594943268571424</c:v>
              </c:pt>
              <c:pt idx="126">
                <c:v>18.748481828571425</c:v>
              </c:pt>
              <c:pt idx="127">
                <c:v>18.748481828571432</c:v>
              </c:pt>
              <c:pt idx="128">
                <c:v>18.812991999999998</c:v>
              </c:pt>
              <c:pt idx="129">
                <c:v>19.196838400000001</c:v>
              </c:pt>
              <c:pt idx="130">
                <c:v>19.366182399999996</c:v>
              </c:pt>
              <c:pt idx="131">
                <c:v>19.526118399999998</c:v>
              </c:pt>
              <c:pt idx="132">
                <c:v>19.682291199999998</c:v>
              </c:pt>
              <c:pt idx="133">
                <c:v>19.922600228571426</c:v>
              </c:pt>
              <c:pt idx="134">
                <c:v>20.087105828571428</c:v>
              </c:pt>
              <c:pt idx="135">
                <c:v>20.412603733333334</c:v>
              </c:pt>
              <c:pt idx="136">
                <c:v>20.658466133333334</c:v>
              </c:pt>
              <c:pt idx="137">
                <c:v>21.330824533333335</c:v>
              </c:pt>
              <c:pt idx="138">
                <c:v>21.501422933333334</c:v>
              </c:pt>
              <c:pt idx="139">
                <c:v>21.503144228571429</c:v>
              </c:pt>
              <c:pt idx="140">
                <c:v>21.868710399999998</c:v>
              </c:pt>
              <c:pt idx="141">
                <c:v>21.87021653333333</c:v>
              </c:pt>
              <c:pt idx="142">
                <c:v>22.135361828571426</c:v>
              </c:pt>
              <c:pt idx="143">
                <c:v>22.135361828571433</c:v>
              </c:pt>
              <c:pt idx="144">
                <c:v>22.395558399999995</c:v>
              </c:pt>
              <c:pt idx="145">
                <c:v>22.49662902857143</c:v>
              </c:pt>
              <c:pt idx="146">
                <c:v>22.961919999999996</c:v>
              </c:pt>
              <c:pt idx="147">
                <c:v>23.038529828571427</c:v>
              </c:pt>
              <c:pt idx="148">
                <c:v>23.054118399999997</c:v>
              </c:pt>
              <c:pt idx="149">
                <c:v>23.238515199999995</c:v>
              </c:pt>
              <c:pt idx="150">
                <c:v>23.4304384</c:v>
              </c:pt>
              <c:pt idx="151">
                <c:v>23.715905828571429</c:v>
              </c:pt>
              <c:pt idx="152">
                <c:v>23.889800533333332</c:v>
              </c:pt>
              <c:pt idx="153">
                <c:v>24.100539733333335</c:v>
              </c:pt>
              <c:pt idx="154">
                <c:v>25.082483199999999</c:v>
              </c:pt>
              <c:pt idx="155">
                <c:v>25.083989333333331</c:v>
              </c:pt>
              <c:pt idx="156">
                <c:v>25.595784533333333</c:v>
              </c:pt>
              <c:pt idx="157">
                <c:v>25.820070399999999</c:v>
              </c:pt>
              <c:pt idx="158">
                <c:v>25.821576533333332</c:v>
              </c:pt>
              <c:pt idx="159">
                <c:v>26.034824533333335</c:v>
              </c:pt>
              <c:pt idx="160">
                <c:v>26.243054933333337</c:v>
              </c:pt>
              <c:pt idx="161">
                <c:v>26.244776228571432</c:v>
              </c:pt>
              <c:pt idx="162">
                <c:v>26.56088502857143</c:v>
              </c:pt>
              <c:pt idx="163">
                <c:v>26.873766399999997</c:v>
              </c:pt>
              <c:pt idx="164">
                <c:v>27.110847999999997</c:v>
              </c:pt>
              <c:pt idx="165">
                <c:v>27.334758399999995</c:v>
              </c:pt>
              <c:pt idx="166">
                <c:v>27.42534582857143</c:v>
              </c:pt>
              <c:pt idx="167">
                <c:v>27.644686628571424</c:v>
              </c:pt>
              <c:pt idx="168">
                <c:v>27.664038399999999</c:v>
              </c:pt>
              <c:pt idx="169">
                <c:v>28.118849828571427</c:v>
              </c:pt>
              <c:pt idx="170">
                <c:v>29.158280533333333</c:v>
              </c:pt>
              <c:pt idx="171">
                <c:v>29.860744533333332</c:v>
              </c:pt>
              <c:pt idx="172">
                <c:v>30.614387199999999</c:v>
              </c:pt>
              <c:pt idx="173">
                <c:v>30.615893333333332</c:v>
              </c:pt>
              <c:pt idx="174">
                <c:v>30.715457828571431</c:v>
              </c:pt>
              <c:pt idx="175">
                <c:v>30.738824533333332</c:v>
              </c:pt>
              <c:pt idx="176">
                <c:v>30.984686933333332</c:v>
              </c:pt>
              <c:pt idx="177">
                <c:v>30.986408228571435</c:v>
              </c:pt>
              <c:pt idx="178">
                <c:v>31.240584533333333</c:v>
              </c:pt>
              <c:pt idx="179">
                <c:v>31.991718399999993</c:v>
              </c:pt>
              <c:pt idx="180">
                <c:v>32.250843428571429</c:v>
              </c:pt>
              <c:pt idx="181">
                <c:v>32.273958399999998</c:v>
              </c:pt>
              <c:pt idx="182">
                <c:v>32.800806399999999</c:v>
              </c:pt>
              <c:pt idx="183">
                <c:v>32.908865828571429</c:v>
              </c:pt>
              <c:pt idx="184">
                <c:v>33.199169828571428</c:v>
              </c:pt>
              <c:pt idx="185">
                <c:v>33.443310933333329</c:v>
              </c:pt>
              <c:pt idx="186">
                <c:v>33.473345828571425</c:v>
              </c:pt>
              <c:pt idx="187">
                <c:v>33.741070628571421</c:v>
              </c:pt>
              <c:pt idx="188">
                <c:v>34.426760533333329</c:v>
              </c:pt>
              <c:pt idx="189">
                <c:v>35.831688533333327</c:v>
              </c:pt>
              <c:pt idx="190">
                <c:v>36.1462912</c:v>
              </c:pt>
              <c:pt idx="191">
                <c:v>36.14779733333333</c:v>
              </c:pt>
              <c:pt idx="192">
                <c:v>36.446344533333331</c:v>
              </c:pt>
              <c:pt idx="193">
                <c:v>36.88538453333333</c:v>
              </c:pt>
              <c:pt idx="194">
                <c:v>37.489217828571434</c:v>
              </c:pt>
              <c:pt idx="195">
                <c:v>37.621465600000001</c:v>
              </c:pt>
              <c:pt idx="196">
                <c:v>38.392385828571435</c:v>
              </c:pt>
              <c:pt idx="197">
                <c:v>38.727846399999997</c:v>
              </c:pt>
              <c:pt idx="198">
                <c:v>39.047718400000001</c:v>
              </c:pt>
              <c:pt idx="199">
                <c:v>39.363291428571429</c:v>
              </c:pt>
              <c:pt idx="200">
                <c:v>39.521345828571427</c:v>
              </c:pt>
              <c:pt idx="201">
                <c:v>39.837454628571422</c:v>
              </c:pt>
              <c:pt idx="202">
                <c:v>40.166465828571425</c:v>
              </c:pt>
              <c:pt idx="203">
                <c:v>40.81918293333333</c:v>
              </c:pt>
              <c:pt idx="204">
                <c:v>42.655624533333331</c:v>
              </c:pt>
              <c:pt idx="205">
                <c:v>42.998542628571428</c:v>
              </c:pt>
              <c:pt idx="206">
                <c:v>43.031944533333331</c:v>
              </c:pt>
              <c:pt idx="207">
                <c:v>43.734408533333323</c:v>
              </c:pt>
              <c:pt idx="208">
                <c:v>44.262977828571437</c:v>
              </c:pt>
              <c:pt idx="209">
                <c:v>44.786598399999995</c:v>
              </c:pt>
              <c:pt idx="210">
                <c:v>45.919321599999996</c:v>
              </c:pt>
              <c:pt idx="211">
                <c:v>46.069313828571424</c:v>
              </c:pt>
              <c:pt idx="212">
                <c:v>46.103718399999998</c:v>
              </c:pt>
              <c:pt idx="213">
                <c:v>46.475739428571423</c:v>
              </c:pt>
              <c:pt idx="214">
                <c:v>46.859585828571433</c:v>
              </c:pt>
              <c:pt idx="215">
                <c:v>47.424065828571429</c:v>
              </c:pt>
              <c:pt idx="216">
                <c:v>48.195054933333331</c:v>
              </c:pt>
              <c:pt idx="217">
                <c:v>50.161954133333325</c:v>
              </c:pt>
              <c:pt idx="218">
                <c:v>51.637128533333325</c:v>
              </c:pt>
              <c:pt idx="219">
                <c:v>52.063624533333332</c:v>
              </c:pt>
              <c:pt idx="220">
                <c:v>52.481806628571434</c:v>
              </c:pt>
              <c:pt idx="221">
                <c:v>54.217177599999999</c:v>
              </c:pt>
              <c:pt idx="222">
                <c:v>54.664998399999995</c:v>
              </c:pt>
              <c:pt idx="223">
                <c:v>54.84294582857143</c:v>
              </c:pt>
              <c:pt idx="224">
                <c:v>55.326785828571431</c:v>
              </c:pt>
              <c:pt idx="225">
                <c:v>56.229953828571425</c:v>
              </c:pt>
              <c:pt idx="226">
                <c:v>59.715464533333325</c:v>
              </c:pt>
              <c:pt idx="227">
                <c:v>61.225762133333326</c:v>
              </c:pt>
              <c:pt idx="228">
                <c:v>61.471624533333326</c:v>
              </c:pt>
              <c:pt idx="229">
                <c:v>61.965070628571439</c:v>
              </c:pt>
              <c:pt idx="230">
                <c:v>64.493941028571427</c:v>
              </c:pt>
              <c:pt idx="231">
                <c:v>64.543398399999987</c:v>
              </c:pt>
              <c:pt idx="232">
                <c:v>66.390593828571426</c:v>
              </c:pt>
              <c:pt idx="233">
                <c:v>66.93894582857142</c:v>
              </c:pt>
              <c:pt idx="234">
                <c:v>72.289570133333328</c:v>
              </c:pt>
              <c:pt idx="235">
                <c:v>72.886664533333331</c:v>
              </c:pt>
              <c:pt idx="236">
                <c:v>76.777025828571439</c:v>
              </c:pt>
              <c:pt idx="237">
                <c:v>78.718837028571429</c:v>
              </c:pt>
              <c:pt idx="238">
                <c:v>79.034945828571423</c:v>
              </c:pt>
              <c:pt idx="239">
                <c:v>86.05786453333333</c:v>
              </c:pt>
              <c:pt idx="240">
                <c:v>92.943733028571415</c:v>
              </c:pt>
              <c:pt idx="241">
                <c:v>93.711425828571436</c:v>
              </c:pt>
              <c:pt idx="242">
                <c:v>110.64582582857143</c:v>
              </c:pt>
            </c:numLit>
          </c:xVal>
          <c:yVal>
            <c:numLit>
              <c:formatCode>General</c:formatCode>
              <c:ptCount val="243"/>
              <c:pt idx="0">
                <c:v>9.765625E-4</c:v>
              </c:pt>
              <c:pt idx="1">
                <c:v>2.9296875E-3</c:v>
              </c:pt>
              <c:pt idx="2">
                <c:v>4.8828125E-3</c:v>
              </c:pt>
              <c:pt idx="3">
                <c:v>5.859375E-3</c:v>
              </c:pt>
              <c:pt idx="4">
                <c:v>7.8125E-3</c:v>
              </c:pt>
              <c:pt idx="5">
                <c:v>1.171875E-2</c:v>
              </c:pt>
              <c:pt idx="6">
                <c:v>1.3671875E-2</c:v>
              </c:pt>
              <c:pt idx="7">
                <c:v>1.46484375E-2</c:v>
              </c:pt>
              <c:pt idx="8">
                <c:v>1.5625E-2</c:v>
              </c:pt>
              <c:pt idx="9">
                <c:v>1.953125E-2</c:v>
              </c:pt>
              <c:pt idx="10">
                <c:v>2.1484375E-2</c:v>
              </c:pt>
              <c:pt idx="11">
                <c:v>2.5390625E-2</c:v>
              </c:pt>
              <c:pt idx="12">
                <c:v>2.9296875E-2</c:v>
              </c:pt>
              <c:pt idx="13">
                <c:v>3.125E-2</c:v>
              </c:pt>
              <c:pt idx="14">
                <c:v>3.3203125E-2</c:v>
              </c:pt>
              <c:pt idx="15">
                <c:v>3.515625E-2</c:v>
              </c:pt>
              <c:pt idx="16">
                <c:v>3.90625E-2</c:v>
              </c:pt>
              <c:pt idx="17">
                <c:v>4.00390625E-2</c:v>
              </c:pt>
              <c:pt idx="18">
                <c:v>4.19921875E-2</c:v>
              </c:pt>
              <c:pt idx="19">
                <c:v>4.39453125E-2</c:v>
              </c:pt>
              <c:pt idx="20">
                <c:v>5.17578125E-2</c:v>
              </c:pt>
              <c:pt idx="21">
                <c:v>5.2734375E-2</c:v>
              </c:pt>
              <c:pt idx="22">
                <c:v>5.6640625E-2</c:v>
              </c:pt>
              <c:pt idx="23">
                <c:v>5.859375E-2</c:v>
              </c:pt>
              <c:pt idx="24">
                <c:v>6.0546875E-2</c:v>
              </c:pt>
              <c:pt idx="25">
                <c:v>6.15234375E-2</c:v>
              </c:pt>
              <c:pt idx="26">
                <c:v>6.93359375E-2</c:v>
              </c:pt>
              <c:pt idx="27">
                <c:v>7.12890625E-2</c:v>
              </c:pt>
              <c:pt idx="28">
                <c:v>7.32421875E-2</c:v>
              </c:pt>
              <c:pt idx="29">
                <c:v>7.71484375E-2</c:v>
              </c:pt>
              <c:pt idx="30">
                <c:v>8.10546875E-2</c:v>
              </c:pt>
              <c:pt idx="31">
                <c:v>8.30078125E-2</c:v>
              </c:pt>
              <c:pt idx="32">
                <c:v>9.08203125E-2</c:v>
              </c:pt>
              <c:pt idx="33">
                <c:v>9.47265625E-2</c:v>
              </c:pt>
              <c:pt idx="34">
                <c:v>9.5703125E-2</c:v>
              </c:pt>
              <c:pt idx="35">
                <c:v>9.765625E-2</c:v>
              </c:pt>
              <c:pt idx="36">
                <c:v>0.1015625</c:v>
              </c:pt>
              <c:pt idx="37">
                <c:v>0.10546875</c:v>
              </c:pt>
              <c:pt idx="38">
                <c:v>0.11328125</c:v>
              </c:pt>
              <c:pt idx="39">
                <c:v>0.1171875</c:v>
              </c:pt>
              <c:pt idx="40">
                <c:v>0.1181640625</c:v>
              </c:pt>
              <c:pt idx="41">
                <c:v>0.1201171875</c:v>
              </c:pt>
              <c:pt idx="42">
                <c:v>0.1240234375</c:v>
              </c:pt>
              <c:pt idx="43">
                <c:v>0.1259765625</c:v>
              </c:pt>
              <c:pt idx="44">
                <c:v>0.1298828125</c:v>
              </c:pt>
              <c:pt idx="45">
                <c:v>0.1318359375</c:v>
              </c:pt>
              <c:pt idx="46">
                <c:v>0.1357421875</c:v>
              </c:pt>
              <c:pt idx="47">
                <c:v>0.1376953125</c:v>
              </c:pt>
              <c:pt idx="48">
                <c:v>0.1396484375</c:v>
              </c:pt>
              <c:pt idx="49">
                <c:v>0.1435546875</c:v>
              </c:pt>
              <c:pt idx="50">
                <c:v>0.1474609375</c:v>
              </c:pt>
              <c:pt idx="51">
                <c:v>0.1513671875</c:v>
              </c:pt>
              <c:pt idx="52">
                <c:v>0.15234375</c:v>
              </c:pt>
              <c:pt idx="53">
                <c:v>0.16796875</c:v>
              </c:pt>
              <c:pt idx="54">
                <c:v>0.17578125</c:v>
              </c:pt>
              <c:pt idx="55">
                <c:v>0.177734375</c:v>
              </c:pt>
              <c:pt idx="56">
                <c:v>0.1787109375</c:v>
              </c:pt>
              <c:pt idx="57">
                <c:v>0.1826171875</c:v>
              </c:pt>
              <c:pt idx="58">
                <c:v>0.1865234375</c:v>
              </c:pt>
              <c:pt idx="59">
                <c:v>0.1904296875</c:v>
              </c:pt>
              <c:pt idx="60">
                <c:v>0.1923828125</c:v>
              </c:pt>
              <c:pt idx="61">
                <c:v>0.1943359375</c:v>
              </c:pt>
              <c:pt idx="62">
                <c:v>0.1953125</c:v>
              </c:pt>
              <c:pt idx="63">
                <c:v>0.197265625</c:v>
              </c:pt>
              <c:pt idx="64">
                <c:v>0.19921875</c:v>
              </c:pt>
              <c:pt idx="65">
                <c:v>0.20703125</c:v>
              </c:pt>
              <c:pt idx="66">
                <c:v>0.2109375</c:v>
              </c:pt>
              <c:pt idx="67">
                <c:v>0.21875</c:v>
              </c:pt>
              <c:pt idx="68">
                <c:v>0.22265625</c:v>
              </c:pt>
              <c:pt idx="69">
                <c:v>0.23046875</c:v>
              </c:pt>
              <c:pt idx="70">
                <c:v>0.232421875</c:v>
              </c:pt>
              <c:pt idx="71">
                <c:v>0.2333984375</c:v>
              </c:pt>
              <c:pt idx="72">
                <c:v>0.2412109375</c:v>
              </c:pt>
              <c:pt idx="73">
                <c:v>0.2431640625</c:v>
              </c:pt>
              <c:pt idx="74">
                <c:v>0.2451171875</c:v>
              </c:pt>
              <c:pt idx="75">
                <c:v>0.2529296875</c:v>
              </c:pt>
              <c:pt idx="76">
                <c:v>0.2548828125</c:v>
              </c:pt>
              <c:pt idx="77">
                <c:v>0.2626953125</c:v>
              </c:pt>
              <c:pt idx="78">
                <c:v>0.2666015625</c:v>
              </c:pt>
              <c:pt idx="79">
                <c:v>0.2705078125</c:v>
              </c:pt>
              <c:pt idx="80">
                <c:v>0.2744140625</c:v>
              </c:pt>
              <c:pt idx="81">
                <c:v>0.2763671875</c:v>
              </c:pt>
              <c:pt idx="82">
                <c:v>0.2841796875</c:v>
              </c:pt>
              <c:pt idx="83">
                <c:v>0.2919921875</c:v>
              </c:pt>
              <c:pt idx="84">
                <c:v>0.2958984375</c:v>
              </c:pt>
              <c:pt idx="85">
                <c:v>0.296875</c:v>
              </c:pt>
              <c:pt idx="86">
                <c:v>0.298828125</c:v>
              </c:pt>
              <c:pt idx="87">
                <c:v>0.302734375</c:v>
              </c:pt>
              <c:pt idx="88">
                <c:v>0.3046875</c:v>
              </c:pt>
              <c:pt idx="89">
                <c:v>0.3056640625</c:v>
              </c:pt>
              <c:pt idx="90">
                <c:v>0.3095703125</c:v>
              </c:pt>
              <c:pt idx="91">
                <c:v>0.3115234375</c:v>
              </c:pt>
              <c:pt idx="92">
                <c:v>0.3271484375</c:v>
              </c:pt>
              <c:pt idx="93">
                <c:v>0.3310546875</c:v>
              </c:pt>
              <c:pt idx="94">
                <c:v>0.3330078125</c:v>
              </c:pt>
              <c:pt idx="95">
                <c:v>0.3369140625</c:v>
              </c:pt>
              <c:pt idx="96">
                <c:v>0.3447265625</c:v>
              </c:pt>
              <c:pt idx="97">
                <c:v>0.3486328125</c:v>
              </c:pt>
              <c:pt idx="98">
                <c:v>0.3505859375</c:v>
              </c:pt>
              <c:pt idx="99">
                <c:v>0.3525390625</c:v>
              </c:pt>
              <c:pt idx="100">
                <c:v>0.3564453125</c:v>
              </c:pt>
              <c:pt idx="101">
                <c:v>0.3603515625</c:v>
              </c:pt>
              <c:pt idx="102">
                <c:v>0.3759765625</c:v>
              </c:pt>
              <c:pt idx="103">
                <c:v>0.3798828125</c:v>
              </c:pt>
              <c:pt idx="104">
                <c:v>0.380859375</c:v>
              </c:pt>
              <c:pt idx="105">
                <c:v>0.384765625</c:v>
              </c:pt>
              <c:pt idx="106">
                <c:v>0.3857421875</c:v>
              </c:pt>
              <c:pt idx="107">
                <c:v>0.3935546875</c:v>
              </c:pt>
              <c:pt idx="108">
                <c:v>0.4013671875</c:v>
              </c:pt>
              <c:pt idx="109">
                <c:v>0.4052734375</c:v>
              </c:pt>
              <c:pt idx="110">
                <c:v>0.4072265625</c:v>
              </c:pt>
              <c:pt idx="111">
                <c:v>0.4111328125</c:v>
              </c:pt>
              <c:pt idx="112">
                <c:v>0.4130859375</c:v>
              </c:pt>
              <c:pt idx="113">
                <c:v>0.4287109375</c:v>
              </c:pt>
              <c:pt idx="114">
                <c:v>0.4306640625</c:v>
              </c:pt>
              <c:pt idx="115">
                <c:v>0.4345703125</c:v>
              </c:pt>
              <c:pt idx="116">
                <c:v>0.4423828125</c:v>
              </c:pt>
              <c:pt idx="117">
                <c:v>0.4443359375</c:v>
              </c:pt>
              <c:pt idx="118">
                <c:v>0.4521484375</c:v>
              </c:pt>
              <c:pt idx="119">
                <c:v>0.4560546875</c:v>
              </c:pt>
              <c:pt idx="120">
                <c:v>0.4580078125</c:v>
              </c:pt>
              <c:pt idx="121">
                <c:v>0.4736328125</c:v>
              </c:pt>
              <c:pt idx="122">
                <c:v>0.4755859375</c:v>
              </c:pt>
              <c:pt idx="123">
                <c:v>0.4765625</c:v>
              </c:pt>
              <c:pt idx="124">
                <c:v>0.48046875</c:v>
              </c:pt>
              <c:pt idx="125">
                <c:v>0.482421875</c:v>
              </c:pt>
              <c:pt idx="126">
                <c:v>0.484375</c:v>
              </c:pt>
              <c:pt idx="127">
                <c:v>0.4921875</c:v>
              </c:pt>
              <c:pt idx="128">
                <c:v>0.49609375</c:v>
              </c:pt>
              <c:pt idx="129">
                <c:v>0.4970703125</c:v>
              </c:pt>
              <c:pt idx="130">
                <c:v>0.5048828125</c:v>
              </c:pt>
              <c:pt idx="131">
                <c:v>0.5126953125</c:v>
              </c:pt>
              <c:pt idx="132">
                <c:v>0.5166015625</c:v>
              </c:pt>
              <c:pt idx="133">
                <c:v>0.5205078125</c:v>
              </c:pt>
              <c:pt idx="134">
                <c:v>0.5244140625</c:v>
              </c:pt>
              <c:pt idx="135">
                <c:v>0.5322265625</c:v>
              </c:pt>
              <c:pt idx="136">
                <c:v>0.5341796875</c:v>
              </c:pt>
              <c:pt idx="137">
                <c:v>0.5419921875</c:v>
              </c:pt>
              <c:pt idx="138">
                <c:v>0.5458984375</c:v>
              </c:pt>
              <c:pt idx="139">
                <c:v>0.5478515625</c:v>
              </c:pt>
              <c:pt idx="140">
                <c:v>0.5517578125</c:v>
              </c:pt>
              <c:pt idx="141">
                <c:v>0.5830078125</c:v>
              </c:pt>
              <c:pt idx="142">
                <c:v>0.583984375</c:v>
              </c:pt>
              <c:pt idx="143">
                <c:v>0.587890625</c:v>
              </c:pt>
              <c:pt idx="144">
                <c:v>0.58984375</c:v>
              </c:pt>
              <c:pt idx="145">
                <c:v>0.591796875</c:v>
              </c:pt>
              <c:pt idx="146">
                <c:v>0.599609375</c:v>
              </c:pt>
              <c:pt idx="147">
                <c:v>0.607421875</c:v>
              </c:pt>
              <c:pt idx="148">
                <c:v>0.611328125</c:v>
              </c:pt>
              <c:pt idx="149">
                <c:v>0.61328125</c:v>
              </c:pt>
              <c:pt idx="150">
                <c:v>0.615234375</c:v>
              </c:pt>
              <c:pt idx="151">
                <c:v>0.6171875</c:v>
              </c:pt>
              <c:pt idx="152">
                <c:v>0.62109375</c:v>
              </c:pt>
              <c:pt idx="153">
                <c:v>0.625</c:v>
              </c:pt>
              <c:pt idx="154">
                <c:v>0.6259765625</c:v>
              </c:pt>
              <c:pt idx="155">
                <c:v>0.6337890625</c:v>
              </c:pt>
              <c:pt idx="156">
                <c:v>0.6357421875</c:v>
              </c:pt>
              <c:pt idx="157">
                <c:v>0.6376953125</c:v>
              </c:pt>
              <c:pt idx="158">
                <c:v>0.6533203125</c:v>
              </c:pt>
              <c:pt idx="159">
                <c:v>0.6689453125</c:v>
              </c:pt>
              <c:pt idx="160">
                <c:v>0.6767578125</c:v>
              </c:pt>
              <c:pt idx="161">
                <c:v>0.6806640625</c:v>
              </c:pt>
              <c:pt idx="162">
                <c:v>0.681640625</c:v>
              </c:pt>
              <c:pt idx="163">
                <c:v>0.685546875</c:v>
              </c:pt>
              <c:pt idx="164">
                <c:v>0.689453125</c:v>
              </c:pt>
              <c:pt idx="165">
                <c:v>0.693359375</c:v>
              </c:pt>
              <c:pt idx="166">
                <c:v>0.697265625</c:v>
              </c:pt>
              <c:pt idx="167">
                <c:v>0.69921875</c:v>
              </c:pt>
              <c:pt idx="168">
                <c:v>0.7001953125</c:v>
              </c:pt>
              <c:pt idx="169">
                <c:v>0.7158203125</c:v>
              </c:pt>
              <c:pt idx="170">
                <c:v>0.7236328125</c:v>
              </c:pt>
              <c:pt idx="171">
                <c:v>0.7275390625</c:v>
              </c:pt>
              <c:pt idx="172">
                <c:v>0.7294921875</c:v>
              </c:pt>
              <c:pt idx="173">
                <c:v>0.7451171875</c:v>
              </c:pt>
              <c:pt idx="174">
                <c:v>0.7470703125</c:v>
              </c:pt>
              <c:pt idx="175">
                <c:v>0.7548828125</c:v>
              </c:pt>
              <c:pt idx="176">
                <c:v>0.7587890625</c:v>
              </c:pt>
              <c:pt idx="177">
                <c:v>0.7607421875</c:v>
              </c:pt>
              <c:pt idx="178">
                <c:v>0.7646484375</c:v>
              </c:pt>
              <c:pt idx="179">
                <c:v>0.7666015625</c:v>
              </c:pt>
              <c:pt idx="180">
                <c:v>0.7705078125</c:v>
              </c:pt>
              <c:pt idx="181">
                <c:v>0.7724609375</c:v>
              </c:pt>
              <c:pt idx="182">
                <c:v>0.7802734375</c:v>
              </c:pt>
              <c:pt idx="183">
                <c:v>0.78125</c:v>
              </c:pt>
              <c:pt idx="184">
                <c:v>0.7890625</c:v>
              </c:pt>
              <c:pt idx="185">
                <c:v>0.791015625</c:v>
              </c:pt>
              <c:pt idx="186">
                <c:v>0.798828125</c:v>
              </c:pt>
              <c:pt idx="187">
                <c:v>0.802734375</c:v>
              </c:pt>
              <c:pt idx="188">
                <c:v>0.806640625</c:v>
              </c:pt>
              <c:pt idx="189">
                <c:v>0.814453125</c:v>
              </c:pt>
              <c:pt idx="190">
                <c:v>0.8154296875</c:v>
              </c:pt>
              <c:pt idx="191">
                <c:v>0.8232421875</c:v>
              </c:pt>
              <c:pt idx="192">
                <c:v>0.8310546875</c:v>
              </c:pt>
              <c:pt idx="193">
                <c:v>0.8330078125</c:v>
              </c:pt>
              <c:pt idx="194">
                <c:v>0.8369140625</c:v>
              </c:pt>
              <c:pt idx="195">
                <c:v>0.8388671875</c:v>
              </c:pt>
              <c:pt idx="196">
                <c:v>0.8408203125</c:v>
              </c:pt>
              <c:pt idx="197">
                <c:v>0.8447265625</c:v>
              </c:pt>
              <c:pt idx="198">
                <c:v>0.8486328125</c:v>
              </c:pt>
              <c:pt idx="199">
                <c:v>0.8564453125</c:v>
              </c:pt>
              <c:pt idx="200">
                <c:v>0.8603515625</c:v>
              </c:pt>
              <c:pt idx="201">
                <c:v>0.8623046875</c:v>
              </c:pt>
              <c:pt idx="202">
                <c:v>0.8642578125</c:v>
              </c:pt>
              <c:pt idx="203">
                <c:v>0.8681640625</c:v>
              </c:pt>
              <c:pt idx="204">
                <c:v>0.8720703125</c:v>
              </c:pt>
              <c:pt idx="205">
                <c:v>0.873046875</c:v>
              </c:pt>
              <c:pt idx="206">
                <c:v>0.876953125</c:v>
              </c:pt>
              <c:pt idx="207">
                <c:v>0.892578125</c:v>
              </c:pt>
              <c:pt idx="208">
                <c:v>0.89453125</c:v>
              </c:pt>
              <c:pt idx="209">
                <c:v>0.8955078125</c:v>
              </c:pt>
              <c:pt idx="210">
                <c:v>0.8994140625</c:v>
              </c:pt>
              <c:pt idx="211">
                <c:v>0.9033203125</c:v>
              </c:pt>
              <c:pt idx="212">
                <c:v>0.9052734375</c:v>
              </c:pt>
              <c:pt idx="213">
                <c:v>0.9091796875</c:v>
              </c:pt>
              <c:pt idx="214">
                <c:v>0.9130859375</c:v>
              </c:pt>
              <c:pt idx="215">
                <c:v>0.9140625</c:v>
              </c:pt>
              <c:pt idx="216">
                <c:v>0.916015625</c:v>
              </c:pt>
              <c:pt idx="217">
                <c:v>0.919921875</c:v>
              </c:pt>
              <c:pt idx="218">
                <c:v>0.927734375</c:v>
              </c:pt>
              <c:pt idx="219">
                <c:v>0.935546875</c:v>
              </c:pt>
              <c:pt idx="220">
                <c:v>0.9375</c:v>
              </c:pt>
              <c:pt idx="221">
                <c:v>0.939453125</c:v>
              </c:pt>
              <c:pt idx="222">
                <c:v>0.94140625</c:v>
              </c:pt>
              <c:pt idx="223">
                <c:v>0.943359375</c:v>
              </c:pt>
              <c:pt idx="224">
                <c:v>0.9453125</c:v>
              </c:pt>
              <c:pt idx="225">
                <c:v>0.953125</c:v>
              </c:pt>
              <c:pt idx="226">
                <c:v>0.955078125</c:v>
              </c:pt>
              <c:pt idx="227">
                <c:v>0.962890625</c:v>
              </c:pt>
              <c:pt idx="228">
                <c:v>0.966796875</c:v>
              </c:pt>
              <c:pt idx="229">
                <c:v>0.9677734375</c:v>
              </c:pt>
              <c:pt idx="230">
                <c:v>0.9697265625</c:v>
              </c:pt>
              <c:pt idx="231">
                <c:v>0.970703125</c:v>
              </c:pt>
              <c:pt idx="232">
                <c:v>0.974609375</c:v>
              </c:pt>
              <c:pt idx="233">
                <c:v>0.978515625</c:v>
              </c:pt>
              <c:pt idx="234">
                <c:v>0.982421875</c:v>
              </c:pt>
              <c:pt idx="235">
                <c:v>0.986328125</c:v>
              </c:pt>
              <c:pt idx="236">
                <c:v>0.9873046875</c:v>
              </c:pt>
              <c:pt idx="237">
                <c:v>0.9912109375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734F7DEA-FBC5-D843-B6D7-4A422185205A}"/>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172</v>
      </c>
    </row>
    <row r="7" spans="2:2" ht="19" x14ac:dyDescent="0.2">
      <c r="B7" s="260" t="s">
        <v>168</v>
      </c>
    </row>
    <row r="8" spans="2:2" ht="57" x14ac:dyDescent="0.2">
      <c r="B8" s="260" t="s">
        <v>169</v>
      </c>
    </row>
    <row r="9" spans="2:2" ht="19" x14ac:dyDescent="0.2">
      <c r="B9" s="260" t="s">
        <v>170</v>
      </c>
    </row>
    <row r="10" spans="2:2" ht="76" x14ac:dyDescent="0.2">
      <c r="B10" s="260" t="s">
        <v>171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I88" sqref="I88"/>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119</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29"/>
      <c r="H3" s="292"/>
      <c r="I3" s="174"/>
      <c r="J3" s="293"/>
      <c r="K3" s="115"/>
      <c r="L3" s="115"/>
      <c r="M3" s="44"/>
      <c r="N3" s="44"/>
      <c r="P3" s="192" t="s">
        <v>118</v>
      </c>
    </row>
    <row r="4" spans="1:18" s="5" customFormat="1" ht="18" customHeight="1" x14ac:dyDescent="0.2">
      <c r="A4" s="37"/>
      <c r="B4" s="73" t="s">
        <v>8</v>
      </c>
      <c r="C4" s="4"/>
      <c r="D4" s="31"/>
      <c r="E4" s="4"/>
      <c r="F4" s="163" t="s">
        <v>9</v>
      </c>
      <c r="G4" s="297"/>
      <c r="H4" s="297"/>
      <c r="I4" s="297"/>
      <c r="J4" s="298"/>
      <c r="K4" s="146"/>
      <c r="L4" s="149"/>
      <c r="M4" s="16"/>
      <c r="N4" s="16"/>
      <c r="P4" s="5" t="s">
        <v>176</v>
      </c>
    </row>
    <row r="5" spans="1:18" x14ac:dyDescent="0.2">
      <c r="A5" s="21"/>
      <c r="B5" s="332" t="s">
        <v>224</v>
      </c>
      <c r="C5" s="333"/>
      <c r="D5" s="334" t="s">
        <v>53</v>
      </c>
      <c r="E5" s="232"/>
      <c r="F5" s="335">
        <f>Q66</f>
        <v>8.363443199999999</v>
      </c>
      <c r="G5" s="330"/>
      <c r="H5" s="310"/>
      <c r="I5" s="310"/>
      <c r="J5" s="331"/>
      <c r="K5" s="149"/>
      <c r="L5" s="149"/>
      <c r="M5" s="16"/>
      <c r="N5" s="16"/>
      <c r="P5" s="63" t="s">
        <v>80</v>
      </c>
    </row>
    <row r="6" spans="1:18" x14ac:dyDescent="0.2">
      <c r="A6" s="21"/>
      <c r="B6" s="61" t="s">
        <v>89</v>
      </c>
      <c r="C6" s="3"/>
      <c r="D6" s="22" t="s">
        <v>2</v>
      </c>
      <c r="E6" s="2"/>
      <c r="F6" s="336">
        <f>Q86</f>
        <v>22.939571199999996</v>
      </c>
      <c r="G6" s="330"/>
      <c r="H6" s="310"/>
      <c r="I6" s="310"/>
      <c r="J6" s="331"/>
      <c r="K6" s="149"/>
      <c r="L6" s="149"/>
      <c r="M6" s="16"/>
      <c r="N6" s="16"/>
    </row>
    <row r="7" spans="1:18" ht="12.75" customHeight="1" x14ac:dyDescent="0.2">
      <c r="A7" s="21"/>
      <c r="B7" s="337" t="s">
        <v>90</v>
      </c>
      <c r="C7" s="72"/>
      <c r="D7" s="338" t="s">
        <v>18</v>
      </c>
      <c r="E7" s="339"/>
      <c r="F7" s="340">
        <f>E55</f>
        <v>21000</v>
      </c>
      <c r="G7" s="313"/>
      <c r="H7" s="298"/>
      <c r="I7" s="298"/>
      <c r="J7" s="298"/>
      <c r="K7" s="149"/>
      <c r="L7" s="149"/>
      <c r="M7" s="49"/>
      <c r="N7" s="49"/>
    </row>
    <row r="8" spans="1:18" x14ac:dyDescent="0.2">
      <c r="A8" s="19"/>
      <c r="B8" s="49"/>
      <c r="C8" s="3"/>
      <c r="D8" s="22"/>
      <c r="E8" s="2"/>
      <c r="F8" s="150"/>
      <c r="G8" s="161"/>
      <c r="H8" s="328"/>
      <c r="I8" s="174"/>
      <c r="J8" s="306"/>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173</v>
      </c>
      <c r="D14" s="190" t="s">
        <v>18</v>
      </c>
      <c r="E14" s="59">
        <v>2</v>
      </c>
      <c r="F14" s="258">
        <v>3000</v>
      </c>
      <c r="G14" s="258">
        <v>7000</v>
      </c>
      <c r="H14" s="262">
        <v>10000</v>
      </c>
      <c r="I14" s="30"/>
      <c r="J14" s="61"/>
      <c r="K14" s="16"/>
      <c r="L14" s="35"/>
      <c r="M14" s="16"/>
      <c r="N14" s="16"/>
      <c r="O14" s="39">
        <v>7000</v>
      </c>
      <c r="P14" s="109" t="s">
        <v>174</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175</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186</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187</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178</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177</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179</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180</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181</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182</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183</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184</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177</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185</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223</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177</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231</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162</v>
      </c>
      <c r="D51" s="1" t="s">
        <v>78</v>
      </c>
      <c r="E51" s="151">
        <f>Uncertainty!P25</f>
        <v>7000</v>
      </c>
      <c r="F51" s="153" t="s">
        <v>82</v>
      </c>
      <c r="G51" s="79"/>
      <c r="I51" s="120" t="s">
        <v>225</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229</v>
      </c>
      <c r="D53" s="1" t="s">
        <v>78</v>
      </c>
      <c r="E53" s="276">
        <f>SweetspotTAM*NicheSize</f>
        <v>1190</v>
      </c>
      <c r="F53" s="153" t="s">
        <v>230</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93"/>
      <c r="V57" s="292"/>
      <c r="W57" s="292"/>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85"/>
      <c r="V58" s="394"/>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85"/>
      <c r="V59" s="394"/>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85"/>
      <c r="V62" s="297"/>
      <c r="W62" s="376"/>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76"/>
    </row>
    <row r="64" spans="2:23" x14ac:dyDescent="0.2">
      <c r="B64"/>
      <c r="C64" s="5" t="s">
        <v>226</v>
      </c>
      <c r="D64" s="1" t="s">
        <v>19</v>
      </c>
      <c r="E64" s="144">
        <f>Dilution</f>
        <v>0.75</v>
      </c>
      <c r="F64" s="78"/>
      <c r="G64" s="79"/>
      <c r="I64" s="91" t="s">
        <v>3</v>
      </c>
      <c r="J64" s="90"/>
      <c r="K64" s="100"/>
      <c r="L64" s="99"/>
      <c r="M64" s="104">
        <f>I65</f>
        <v>0</v>
      </c>
      <c r="N64" s="78">
        <v>0</v>
      </c>
      <c r="O64" s="78">
        <v>0</v>
      </c>
      <c r="P64" s="117">
        <v>0</v>
      </c>
      <c r="Q64" s="114">
        <f>M64*P64</f>
        <v>0</v>
      </c>
      <c r="T64" s="161"/>
      <c r="U64" s="385"/>
      <c r="V64" s="297"/>
      <c r="W64" s="376"/>
    </row>
    <row r="65" spans="2:23" x14ac:dyDescent="0.2">
      <c r="B65"/>
      <c r="C65" s="5" t="s">
        <v>227</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81"/>
      <c r="M67" s="159"/>
      <c r="N67" s="226"/>
      <c r="O67" s="159"/>
      <c r="P67" s="159"/>
      <c r="Q67" s="355"/>
      <c r="R67" s="159"/>
      <c r="S67" s="159"/>
      <c r="T67" s="161"/>
      <c r="U67" s="161"/>
      <c r="V67" s="161"/>
      <c r="W67" s="161"/>
    </row>
    <row r="68" spans="2:23" x14ac:dyDescent="0.2">
      <c r="C68" s="5" t="s">
        <v>228</v>
      </c>
      <c r="D68" s="6"/>
      <c r="E68" s="275">
        <f>E63*(1-NicheDilution)</f>
        <v>2.7777777777777776E-2</v>
      </c>
      <c r="F68" s="78"/>
      <c r="G68" s="79"/>
      <c r="H68" s="3"/>
      <c r="I68" s="115"/>
      <c r="J68" s="115"/>
      <c r="K68" s="116"/>
      <c r="L68" s="381"/>
      <c r="M68" s="159"/>
      <c r="N68" s="349"/>
      <c r="O68" s="349"/>
      <c r="P68" s="349"/>
      <c r="Q68" s="382"/>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85"/>
      <c r="V74" s="395"/>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85"/>
      <c r="V75" s="396"/>
      <c r="W75" s="161"/>
    </row>
    <row r="76" spans="2:23" x14ac:dyDescent="0.2">
      <c r="G76" s="79"/>
      <c r="H76" s="6"/>
      <c r="I76" s="79"/>
      <c r="J76" s="79"/>
      <c r="K76" s="93">
        <f>MainstreamSuccess</f>
        <v>0.29399999999999998</v>
      </c>
      <c r="L76" s="84">
        <f>PrinceChance</f>
        <v>0.3</v>
      </c>
      <c r="M76" s="104"/>
      <c r="N76" s="78"/>
      <c r="O76" s="78"/>
      <c r="P76" s="118"/>
      <c r="Q76" s="4"/>
      <c r="T76" s="161"/>
      <c r="U76" s="385"/>
      <c r="V76" s="395"/>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85"/>
      <c r="V77" s="396"/>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55"/>
      <c r="R87" s="159"/>
      <c r="S87" s="159"/>
      <c r="T87" s="159"/>
    </row>
    <row r="88" spans="8:20" x14ac:dyDescent="0.2">
      <c r="J88" s="25"/>
      <c r="K88" s="5"/>
      <c r="L88" s="164"/>
      <c r="M88" s="159"/>
      <c r="N88" s="349"/>
      <c r="O88" s="349"/>
      <c r="P88" s="349"/>
      <c r="Q88" s="382"/>
      <c r="R88" s="159"/>
      <c r="S88" s="159"/>
      <c r="T88" s="159"/>
    </row>
    <row r="89" spans="8:20" x14ac:dyDescent="0.2">
      <c r="J89" s="25"/>
      <c r="K89" s="5"/>
      <c r="L89" s="164"/>
      <c r="M89" s="349"/>
      <c r="N89" s="159"/>
      <c r="O89" s="159"/>
      <c r="P89" s="343"/>
      <c r="Q89" s="383"/>
      <c r="R89" s="159"/>
      <c r="S89" s="159"/>
      <c r="T89" s="159"/>
    </row>
    <row r="90" spans="8:20" x14ac:dyDescent="0.2">
      <c r="J90" s="25"/>
      <c r="K90" s="5"/>
      <c r="L90" s="164"/>
      <c r="M90" s="349"/>
      <c r="N90" s="159"/>
      <c r="O90" s="159"/>
      <c r="P90" s="343"/>
      <c r="Q90" s="383"/>
      <c r="R90" s="159"/>
      <c r="S90" s="159"/>
      <c r="T90" s="159"/>
    </row>
    <row r="91" spans="8:20" x14ac:dyDescent="0.2">
      <c r="J91" s="25"/>
      <c r="K91" s="5"/>
      <c r="L91" s="164"/>
      <c r="M91" s="164"/>
      <c r="N91" s="349"/>
      <c r="O91" s="349"/>
      <c r="P91" s="349"/>
      <c r="Q91" s="384"/>
      <c r="R91" s="159"/>
      <c r="S91" s="159"/>
      <c r="T91" s="159"/>
    </row>
    <row r="92" spans="8:20" x14ac:dyDescent="0.2">
      <c r="L92" s="159"/>
      <c r="M92" s="385"/>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tabSelected="1" workbookViewId="0">
      <selection activeCell="O39" sqref="O39"/>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89" t="s">
        <v>40</v>
      </c>
      <c r="B1" s="290"/>
      <c r="C1" s="290"/>
      <c r="D1" s="290"/>
      <c r="E1" s="290"/>
      <c r="F1" s="291"/>
      <c r="G1" s="290"/>
      <c r="H1" s="292"/>
      <c r="I1" s="174"/>
      <c r="J1" s="293"/>
      <c r="K1" s="293"/>
    </row>
    <row r="2" spans="1:12" ht="15" thickBot="1" x14ac:dyDescent="0.25">
      <c r="A2" s="164"/>
      <c r="B2" s="294" t="s">
        <v>8</v>
      </c>
      <c r="C2" s="226"/>
      <c r="D2" s="226"/>
      <c r="E2" s="226"/>
      <c r="F2" s="295" t="s">
        <v>9</v>
      </c>
      <c r="G2" s="296" t="s">
        <v>91</v>
      </c>
      <c r="H2" s="297" t="s">
        <v>99</v>
      </c>
      <c r="I2" s="297" t="s">
        <v>100</v>
      </c>
      <c r="J2" s="298" t="s">
        <v>101</v>
      </c>
      <c r="K2" s="299"/>
    </row>
    <row r="3" spans="1:12" ht="15" thickTop="1" x14ac:dyDescent="0.2">
      <c r="A3" s="300"/>
      <c r="B3" s="301" t="s">
        <v>224</v>
      </c>
      <c r="C3" s="269"/>
      <c r="D3" s="269" t="s">
        <v>53</v>
      </c>
      <c r="E3" s="172"/>
      <c r="F3" s="302">
        <f>Model!F5</f>
        <v>8.363443199999999</v>
      </c>
      <c r="G3" s="303">
        <v>8.8458078857142812</v>
      </c>
      <c r="H3" s="304">
        <v>2.3943628799999996</v>
      </c>
      <c r="I3" s="304">
        <v>7.0463231999999989</v>
      </c>
      <c r="J3" s="305">
        <v>17.780626285714288</v>
      </c>
      <c r="K3" s="306"/>
    </row>
    <row r="4" spans="1:12" x14ac:dyDescent="0.2">
      <c r="A4" s="300"/>
      <c r="B4" s="307" t="s">
        <v>89</v>
      </c>
      <c r="C4" s="194"/>
      <c r="D4" s="194" t="s">
        <v>2</v>
      </c>
      <c r="E4" s="161"/>
      <c r="F4" s="308">
        <f>Model!F6</f>
        <v>22.939571199999996</v>
      </c>
      <c r="G4" s="309">
        <v>24.156087485714288</v>
      </c>
      <c r="H4" s="310">
        <v>7.3657919999999972</v>
      </c>
      <c r="I4" s="310">
        <v>20.123366400000002</v>
      </c>
      <c r="J4" s="311">
        <v>46.398723839999995</v>
      </c>
      <c r="K4" s="306"/>
    </row>
    <row r="5" spans="1:12" x14ac:dyDescent="0.2">
      <c r="A5" s="300"/>
      <c r="B5" s="312" t="s">
        <v>90</v>
      </c>
      <c r="C5" s="194"/>
      <c r="D5" s="174" t="s">
        <v>18</v>
      </c>
      <c r="E5" s="161"/>
      <c r="F5" s="313">
        <f>Model!F7</f>
        <v>21000</v>
      </c>
      <c r="G5" s="314">
        <v>20000</v>
      </c>
      <c r="H5" s="298">
        <v>14000</v>
      </c>
      <c r="I5" s="298">
        <v>21000</v>
      </c>
      <c r="J5" s="315">
        <v>25000</v>
      </c>
      <c r="K5" s="306"/>
    </row>
    <row r="6" spans="1:12" ht="15" thickBot="1" x14ac:dyDescent="0.25">
      <c r="A6" s="316"/>
      <c r="B6" s="317" t="s">
        <v>150</v>
      </c>
      <c r="C6" s="318"/>
      <c r="D6" s="319" t="s">
        <v>2</v>
      </c>
      <c r="E6" s="320"/>
      <c r="F6" s="321">
        <f>J30</f>
        <v>27.224749999999993</v>
      </c>
      <c r="G6" s="322">
        <v>28.794947544642866</v>
      </c>
      <c r="H6" s="323">
        <v>7.7941499999999984</v>
      </c>
      <c r="I6" s="324">
        <v>22.937249999999995</v>
      </c>
      <c r="J6" s="325">
        <v>57.879642857142855</v>
      </c>
      <c r="K6" s="306"/>
    </row>
    <row r="7" spans="1:12" ht="15" thickTop="1" x14ac:dyDescent="0.2">
      <c r="A7" s="316"/>
      <c r="B7" s="326"/>
      <c r="C7" s="194"/>
      <c r="D7" s="194"/>
      <c r="E7" s="161"/>
      <c r="F7" s="327"/>
      <c r="H7" s="328"/>
      <c r="I7" s="174"/>
      <c r="J7" s="306"/>
      <c r="K7" s="306"/>
    </row>
    <row r="12" spans="1:12" x14ac:dyDescent="0.2">
      <c r="B12" s="300"/>
      <c r="C12" s="341"/>
      <c r="D12" s="341"/>
      <c r="E12" s="342"/>
      <c r="F12" s="342"/>
      <c r="G12" s="164"/>
      <c r="H12" s="164"/>
      <c r="L12" s="343"/>
    </row>
    <row r="13" spans="1:12" x14ac:dyDescent="0.2">
      <c r="B13" s="300"/>
      <c r="C13" s="341"/>
      <c r="D13" s="341"/>
      <c r="E13" s="342"/>
      <c r="F13" s="344"/>
      <c r="H13" s="345" t="s">
        <v>52</v>
      </c>
      <c r="I13" s="346"/>
      <c r="J13" s="345" t="s">
        <v>47</v>
      </c>
    </row>
    <row r="14" spans="1:12" x14ac:dyDescent="0.2">
      <c r="B14" s="347" t="s">
        <v>225</v>
      </c>
      <c r="C14" s="341"/>
      <c r="D14" s="341"/>
      <c r="E14" s="342"/>
      <c r="F14" s="345" t="s">
        <v>51</v>
      </c>
      <c r="G14" s="348" t="s">
        <v>50</v>
      </c>
      <c r="H14" s="345" t="s">
        <v>9</v>
      </c>
      <c r="I14" s="345" t="s">
        <v>74</v>
      </c>
      <c r="J14" s="345" t="s">
        <v>74</v>
      </c>
      <c r="L14" s="164"/>
    </row>
    <row r="15" spans="1:12" x14ac:dyDescent="0.2">
      <c r="B15" s="341"/>
      <c r="C15" s="341"/>
      <c r="D15" s="341"/>
      <c r="E15" s="342"/>
      <c r="G15" s="342"/>
      <c r="H15" s="349"/>
      <c r="I15" s="350"/>
      <c r="L15" s="351"/>
    </row>
    <row r="16" spans="1:12" x14ac:dyDescent="0.2">
      <c r="B16" s="300"/>
      <c r="C16" s="341"/>
      <c r="D16" s="341"/>
      <c r="E16" s="352" t="s">
        <v>41</v>
      </c>
      <c r="F16" s="353">
        <f>E17*D19*C21*B23</f>
        <v>9.0316800000000003E-3</v>
      </c>
      <c r="G16" s="342">
        <f>SweetspotTAM*KingMktShare</f>
        <v>2450</v>
      </c>
      <c r="H16" s="342">
        <f>G16*SalesMult</f>
        <v>12250</v>
      </c>
      <c r="I16" s="354">
        <f>H16*ownershipAtExit/Investment</f>
        <v>340.27777777777777</v>
      </c>
      <c r="J16" s="355">
        <f>F16*I16</f>
        <v>3.07328</v>
      </c>
    </row>
    <row r="17" spans="2:16" x14ac:dyDescent="0.2">
      <c r="B17" s="341"/>
      <c r="C17" s="341"/>
      <c r="D17" s="341"/>
      <c r="E17" s="160">
        <f>KingChance</f>
        <v>0.1</v>
      </c>
      <c r="F17" s="214"/>
      <c r="G17" s="342"/>
      <c r="H17" s="342"/>
      <c r="I17" s="354"/>
    </row>
    <row r="18" spans="2:16" x14ac:dyDescent="0.2">
      <c r="B18" s="341"/>
      <c r="C18" s="341"/>
      <c r="D18" s="356" t="s">
        <v>6</v>
      </c>
      <c r="E18" s="357" t="s">
        <v>42</v>
      </c>
      <c r="F18" s="353">
        <f>B23*C21*D19*E19</f>
        <v>2.7095040000000001E-2</v>
      </c>
      <c r="G18" s="342">
        <f>SweetspotTAM*PrinceMktShare</f>
        <v>700</v>
      </c>
      <c r="H18" s="342">
        <f>G18*SalesMult</f>
        <v>3500</v>
      </c>
      <c r="I18" s="354">
        <f>H18*ownershipAtExit/Investment</f>
        <v>97.222222222222214</v>
      </c>
      <c r="J18" s="355">
        <f>F18*I18</f>
        <v>2.6342399999999997</v>
      </c>
    </row>
    <row r="19" spans="2:16" ht="15" thickBot="1" x14ac:dyDescent="0.25">
      <c r="B19" s="341"/>
      <c r="C19" s="341"/>
      <c r="D19" s="358">
        <f>MainstreamSuccess</f>
        <v>0.29399999999999998</v>
      </c>
      <c r="E19" s="160">
        <f>PrinceChance</f>
        <v>0.3</v>
      </c>
      <c r="F19" s="214"/>
      <c r="G19" s="342"/>
      <c r="H19" s="342"/>
      <c r="I19" s="354"/>
      <c r="J19" s="226"/>
    </row>
    <row r="20" spans="2:16" ht="15" thickBot="1" x14ac:dyDescent="0.25">
      <c r="B20" s="341"/>
      <c r="C20" s="356" t="s">
        <v>0</v>
      </c>
      <c r="D20" s="359"/>
      <c r="E20" s="357" t="s">
        <v>46</v>
      </c>
      <c r="F20" s="353">
        <f>B23*C21*D19*E21</f>
        <v>5.4190080000000002E-2</v>
      </c>
      <c r="G20" s="342">
        <f>SweetspotTAM*SerfMktShare</f>
        <v>210</v>
      </c>
      <c r="H20" s="342">
        <f>G20*SalesMult</f>
        <v>1050</v>
      </c>
      <c r="I20" s="354">
        <f>H20*ownershipAtExit/Investment</f>
        <v>29.166666666666664</v>
      </c>
      <c r="J20" s="355">
        <f>F20*I20</f>
        <v>1.5805439999999999</v>
      </c>
      <c r="N20" s="360" t="s">
        <v>159</v>
      </c>
      <c r="O20" s="361" t="s">
        <v>160</v>
      </c>
      <c r="P20" s="362" t="s">
        <v>161</v>
      </c>
    </row>
    <row r="21" spans="2:16" x14ac:dyDescent="0.2">
      <c r="B21" s="341"/>
      <c r="C21" s="358">
        <f>CrossChasm</f>
        <v>0.30720000000000003</v>
      </c>
      <c r="D21" s="359"/>
      <c r="E21" s="161">
        <f>1-E19-E17</f>
        <v>0.6</v>
      </c>
      <c r="F21" s="214"/>
      <c r="G21" s="342"/>
      <c r="H21" s="342"/>
      <c r="I21" s="350"/>
      <c r="J21" s="226"/>
      <c r="N21" s="363" t="s">
        <v>167</v>
      </c>
      <c r="O21" s="364">
        <f>tam_sweetSpot</f>
        <v>7000</v>
      </c>
      <c r="P21" s="365">
        <v>1</v>
      </c>
    </row>
    <row r="22" spans="2:16" ht="15" thickBot="1" x14ac:dyDescent="0.25">
      <c r="B22" s="366" t="s">
        <v>4</v>
      </c>
      <c r="C22" s="359"/>
      <c r="D22" s="367" t="s">
        <v>5</v>
      </c>
      <c r="E22" s="368"/>
      <c r="F22" s="214">
        <f>B23*C21*D23</f>
        <v>0.2168832</v>
      </c>
      <c r="G22" s="342">
        <f>NicheTAM*NicheMarketShare</f>
        <v>35.699999999999996</v>
      </c>
      <c r="H22" s="342">
        <f>G22*SalesMult*NicheMultDisc</f>
        <v>89.249999999999986</v>
      </c>
      <c r="I22" s="354">
        <f>H22*NicheOwnershipAtExit/Investment</f>
        <v>4.9583333333333321</v>
      </c>
      <c r="J22" s="355">
        <f>F22*I22</f>
        <v>1.0753791999999998</v>
      </c>
      <c r="N22" s="188" t="s">
        <v>61</v>
      </c>
      <c r="O22" s="369">
        <f>tam_total</f>
        <v>14000</v>
      </c>
      <c r="P22" s="370">
        <v>0</v>
      </c>
    </row>
    <row r="23" spans="2:16" x14ac:dyDescent="0.2">
      <c r="B23" s="371">
        <f>EarlySuccess</f>
        <v>1</v>
      </c>
      <c r="C23" s="372"/>
      <c r="D23" s="373">
        <f>1-MainstreamSuccess</f>
        <v>0.70599999999999996</v>
      </c>
      <c r="E23" s="342"/>
      <c r="F23" s="214"/>
      <c r="G23" s="342"/>
      <c r="H23" s="342"/>
      <c r="I23" s="350"/>
      <c r="J23" s="226"/>
    </row>
    <row r="24" spans="2:16" x14ac:dyDescent="0.2">
      <c r="B24" s="359"/>
      <c r="C24" s="367" t="s">
        <v>49</v>
      </c>
      <c r="D24" s="374"/>
      <c r="E24" s="368"/>
      <c r="F24" s="214">
        <f>B23*C25</f>
        <v>0.69279999999999997</v>
      </c>
      <c r="G24" s="342">
        <v>0</v>
      </c>
      <c r="H24" s="342">
        <v>0</v>
      </c>
      <c r="I24" s="350">
        <v>0</v>
      </c>
      <c r="J24" s="355">
        <f>F24*I24</f>
        <v>0</v>
      </c>
    </row>
    <row r="25" spans="2:16" x14ac:dyDescent="0.2">
      <c r="B25" s="375"/>
      <c r="C25" s="373">
        <f>1-CrossChasm</f>
        <v>0.69279999999999997</v>
      </c>
      <c r="D25" s="341"/>
      <c r="E25" s="342"/>
      <c r="F25" s="214"/>
      <c r="G25" s="342"/>
      <c r="H25" s="342"/>
      <c r="I25" s="350"/>
      <c r="J25" s="226"/>
      <c r="N25" s="164" t="s">
        <v>162</v>
      </c>
      <c r="O25" s="296" t="s">
        <v>18</v>
      </c>
      <c r="P25" s="376">
        <f>SUMPRODUCT(O21:O22,P21:P22)</f>
        <v>7000</v>
      </c>
    </row>
    <row r="26" spans="2:16" x14ac:dyDescent="0.2">
      <c r="B26" s="359"/>
      <c r="C26" s="341"/>
      <c r="D26" s="341"/>
      <c r="E26" s="342"/>
      <c r="F26" s="214"/>
      <c r="G26" s="342"/>
      <c r="H26" s="342"/>
      <c r="I26" s="350"/>
      <c r="J26" s="226"/>
      <c r="P26" s="376"/>
    </row>
    <row r="27" spans="2:16" x14ac:dyDescent="0.2">
      <c r="B27" s="367" t="s">
        <v>3</v>
      </c>
      <c r="C27" s="356"/>
      <c r="D27" s="374"/>
      <c r="E27" s="368"/>
      <c r="F27" s="214">
        <f>B28</f>
        <v>0</v>
      </c>
      <c r="G27" s="342">
        <v>0</v>
      </c>
      <c r="H27" s="342">
        <v>0</v>
      </c>
      <c r="I27" s="350">
        <v>0</v>
      </c>
      <c r="J27" s="355">
        <f>F27*I27</f>
        <v>0</v>
      </c>
      <c r="N27" s="164" t="s">
        <v>79</v>
      </c>
      <c r="O27" s="296" t="s">
        <v>18</v>
      </c>
      <c r="P27" s="376">
        <f>SUM(O21:O22)</f>
        <v>21000</v>
      </c>
    </row>
    <row r="28" spans="2:16" x14ac:dyDescent="0.2">
      <c r="B28" s="373">
        <f>1-EarlySuccess</f>
        <v>0</v>
      </c>
      <c r="C28" s="341"/>
      <c r="D28" s="341"/>
      <c r="E28" s="342"/>
      <c r="F28" s="342"/>
      <c r="G28" s="349"/>
      <c r="H28" s="349"/>
      <c r="I28" s="349"/>
      <c r="J28" s="226"/>
    </row>
    <row r="29" spans="2:16" x14ac:dyDescent="0.2">
      <c r="B29" s="341"/>
      <c r="C29" s="341"/>
      <c r="D29" s="341"/>
      <c r="E29" s="342"/>
      <c r="F29" s="377">
        <f>SUM(F16:F27)</f>
        <v>1</v>
      </c>
      <c r="G29" s="378"/>
      <c r="H29" s="378"/>
      <c r="I29" s="379"/>
      <c r="J29" s="380">
        <f t="array" ref="J29">SUM(F16:F27*I16:I27)</f>
        <v>8.363443199999999</v>
      </c>
    </row>
    <row r="30" spans="2:16" x14ac:dyDescent="0.2">
      <c r="B30" s="293"/>
      <c r="C30" s="293"/>
      <c r="D30" s="293"/>
      <c r="E30" s="381"/>
      <c r="F30" s="159" t="s">
        <v>149</v>
      </c>
      <c r="G30" s="226"/>
      <c r="J30" s="355">
        <f>IF(SUM(F16:F22)=0,0,J29/SUM(F16:F22))</f>
        <v>27.224749999999993</v>
      </c>
    </row>
    <row r="31" spans="2:16" x14ac:dyDescent="0.2">
      <c r="B31" s="293"/>
      <c r="C31" s="293"/>
      <c r="D31" s="293"/>
      <c r="E31" s="381"/>
      <c r="F31" s="159" t="s">
        <v>154</v>
      </c>
      <c r="G31" s="349"/>
      <c r="H31" s="349"/>
      <c r="I31" s="349"/>
      <c r="J31" s="382">
        <f>IF(SUM(F16:F20)=0,0,SUM(J16:J20)/SUM(F16:F20))</f>
        <v>80.694444444444443</v>
      </c>
    </row>
    <row r="32" spans="2:16" x14ac:dyDescent="0.2">
      <c r="B32" s="293"/>
      <c r="C32" s="293"/>
      <c r="D32" s="293"/>
      <c r="E32" s="381"/>
      <c r="F32" s="349" t="s">
        <v>155</v>
      </c>
      <c r="I32" s="343"/>
      <c r="J32" s="383">
        <f>SUM(F16:F22)</f>
        <v>0.30720000000000003</v>
      </c>
    </row>
    <row r="33" spans="2:15" x14ac:dyDescent="0.2">
      <c r="B33" s="293"/>
      <c r="C33" s="293"/>
      <c r="D33" s="293"/>
      <c r="E33" s="381"/>
      <c r="F33" s="349" t="s">
        <v>156</v>
      </c>
      <c r="I33" s="343"/>
      <c r="J33" s="383">
        <f>SUM(F16:F20)</f>
        <v>9.0316800000000003E-2</v>
      </c>
    </row>
    <row r="34" spans="2:15" x14ac:dyDescent="0.2">
      <c r="B34" s="293"/>
      <c r="C34" s="293"/>
      <c r="D34" s="293"/>
      <c r="E34" s="381"/>
      <c r="F34" s="164" t="s">
        <v>157</v>
      </c>
      <c r="G34" s="349"/>
      <c r="H34" s="349"/>
      <c r="I34" s="349"/>
      <c r="J34" s="384">
        <f>pFailCrossChasm</f>
        <v>0.69279999999999997</v>
      </c>
    </row>
    <row r="35" spans="2:15" x14ac:dyDescent="0.2">
      <c r="B35" s="293"/>
      <c r="C35" s="293"/>
      <c r="D35" s="293"/>
      <c r="E35" s="381"/>
      <c r="F35" s="385" t="s">
        <v>158</v>
      </c>
      <c r="G35" s="164"/>
      <c r="H35" s="164"/>
      <c r="I35" s="164"/>
      <c r="J35" s="214">
        <f>pFailEarlyStage</f>
        <v>0</v>
      </c>
    </row>
    <row r="36" spans="2:15" x14ac:dyDescent="0.2">
      <c r="B36" s="293"/>
      <c r="C36" s="293"/>
      <c r="D36" s="293"/>
      <c r="E36" s="381"/>
      <c r="G36" s="226"/>
      <c r="J36" s="355"/>
    </row>
    <row r="37" spans="2:15" x14ac:dyDescent="0.2">
      <c r="B37" s="293"/>
      <c r="C37" s="293"/>
      <c r="D37" s="293"/>
      <c r="E37" s="381"/>
      <c r="G37" s="226"/>
      <c r="J37" s="355"/>
      <c r="N37" s="386" t="s">
        <v>163</v>
      </c>
      <c r="O37" s="387">
        <f>0</f>
        <v>0</v>
      </c>
    </row>
    <row r="38" spans="2:15" x14ac:dyDescent="0.2">
      <c r="B38" s="174"/>
      <c r="C38" s="306"/>
      <c r="D38" s="306"/>
      <c r="E38" s="306"/>
      <c r="F38" s="164"/>
      <c r="G38" s="164"/>
      <c r="H38" s="164"/>
      <c r="I38" s="164"/>
      <c r="N38" s="175" t="s">
        <v>164</v>
      </c>
      <c r="O38" s="388">
        <f>EarlySuccess*(1-CrossChasm)</f>
        <v>0.69279999999999997</v>
      </c>
    </row>
    <row r="39" spans="2:15" x14ac:dyDescent="0.2">
      <c r="B39" s="300"/>
      <c r="C39" s="341"/>
      <c r="D39" s="341"/>
      <c r="E39" s="342"/>
      <c r="F39" s="344"/>
      <c r="H39" s="345" t="s">
        <v>52</v>
      </c>
      <c r="I39" s="346"/>
      <c r="J39" s="345" t="s">
        <v>47</v>
      </c>
      <c r="N39" s="175" t="s">
        <v>165</v>
      </c>
      <c r="O39" s="389">
        <f>0</f>
        <v>0</v>
      </c>
    </row>
    <row r="40" spans="2:15" x14ac:dyDescent="0.2">
      <c r="B40" s="347" t="s">
        <v>81</v>
      </c>
      <c r="C40" s="341"/>
      <c r="D40" s="341"/>
      <c r="E40" s="342"/>
      <c r="F40" s="345" t="s">
        <v>51</v>
      </c>
      <c r="G40" s="348" t="s">
        <v>50</v>
      </c>
      <c r="H40" s="345" t="s">
        <v>9</v>
      </c>
      <c r="I40" s="345" t="s">
        <v>74</v>
      </c>
      <c r="J40" s="345" t="s">
        <v>74</v>
      </c>
      <c r="N40" s="390" t="s">
        <v>166</v>
      </c>
      <c r="O40" s="391">
        <f>1-EarlySuccess</f>
        <v>0</v>
      </c>
    </row>
    <row r="41" spans="2:15" x14ac:dyDescent="0.2">
      <c r="B41" s="341"/>
      <c r="C41" s="341"/>
      <c r="D41" s="341"/>
      <c r="E41" s="342"/>
      <c r="G41" s="342"/>
      <c r="H41" s="349"/>
      <c r="I41" s="350"/>
    </row>
    <row r="42" spans="2:15" x14ac:dyDescent="0.2">
      <c r="B42" s="300"/>
      <c r="C42" s="341"/>
      <c r="D42" s="341"/>
      <c r="E42" s="352" t="s">
        <v>41</v>
      </c>
      <c r="F42" s="353">
        <f>E43*D45*C47*B49</f>
        <v>9.0316800000000003E-3</v>
      </c>
      <c r="G42" s="342">
        <f>TotalTAM*KingMktShare</f>
        <v>7349.9999999999991</v>
      </c>
      <c r="H42" s="342">
        <f>G42*SalesMult</f>
        <v>36749.999999999993</v>
      </c>
      <c r="I42" s="354">
        <f>H42*ownershipAtExit/Investment</f>
        <v>1020.833333333333</v>
      </c>
      <c r="J42" s="355">
        <f>F42*I42</f>
        <v>9.2198399999999978</v>
      </c>
    </row>
    <row r="43" spans="2:15" x14ac:dyDescent="0.2">
      <c r="B43" s="341"/>
      <c r="C43" s="341"/>
      <c r="D43" s="341"/>
      <c r="E43" s="160">
        <f>KingChance</f>
        <v>0.1</v>
      </c>
      <c r="F43" s="214"/>
      <c r="G43" s="342"/>
      <c r="H43" s="342"/>
      <c r="I43" s="354"/>
    </row>
    <row r="44" spans="2:15" x14ac:dyDescent="0.2">
      <c r="B44" s="341"/>
      <c r="C44" s="341"/>
      <c r="D44" s="356" t="s">
        <v>6</v>
      </c>
      <c r="E44" s="357" t="s">
        <v>42</v>
      </c>
      <c r="F44" s="353">
        <f>B49*C47*D45*E45</f>
        <v>2.7095040000000001E-2</v>
      </c>
      <c r="G44" s="342">
        <f>TotalTAM*PrinceMktShare</f>
        <v>2100</v>
      </c>
      <c r="H44" s="342">
        <f>G44*SalesMult</f>
        <v>10500</v>
      </c>
      <c r="I44" s="354">
        <f>H44*ownershipAtExit/Investment</f>
        <v>291.66666666666663</v>
      </c>
      <c r="J44" s="355">
        <f>F44*I44</f>
        <v>7.9027199999999995</v>
      </c>
    </row>
    <row r="45" spans="2:15" x14ac:dyDescent="0.2">
      <c r="B45" s="341"/>
      <c r="C45" s="341"/>
      <c r="D45" s="358">
        <f>MainstreamSuccess</f>
        <v>0.29399999999999998</v>
      </c>
      <c r="E45" s="160">
        <f>PrinceChance</f>
        <v>0.3</v>
      </c>
      <c r="F45" s="214"/>
      <c r="G45" s="342"/>
      <c r="H45" s="342"/>
      <c r="I45" s="354"/>
      <c r="J45" s="226"/>
    </row>
    <row r="46" spans="2:15" x14ac:dyDescent="0.2">
      <c r="B46" s="341"/>
      <c r="C46" s="356" t="s">
        <v>0</v>
      </c>
      <c r="D46" s="359"/>
      <c r="E46" s="357" t="s">
        <v>46</v>
      </c>
      <c r="F46" s="353">
        <f>B49*C47*D45*E47</f>
        <v>5.4190080000000002E-2</v>
      </c>
      <c r="G46" s="342">
        <f>TotalTAM*SerfMktShare</f>
        <v>630</v>
      </c>
      <c r="H46" s="342">
        <f>G46*SalesMult</f>
        <v>3150</v>
      </c>
      <c r="I46" s="354">
        <f>H46*ownershipAtExit/Investment</f>
        <v>87.5</v>
      </c>
      <c r="J46" s="355">
        <f>F46*I46</f>
        <v>4.7416320000000001</v>
      </c>
    </row>
    <row r="47" spans="2:15" x14ac:dyDescent="0.2">
      <c r="B47" s="341"/>
      <c r="C47" s="358">
        <f>CrossChasm</f>
        <v>0.30720000000000003</v>
      </c>
      <c r="D47" s="359"/>
      <c r="E47" s="161">
        <f>1-E45-E43</f>
        <v>0.6</v>
      </c>
      <c r="F47" s="214"/>
      <c r="G47" s="342"/>
      <c r="H47" s="342"/>
      <c r="I47" s="350"/>
      <c r="J47" s="226"/>
    </row>
    <row r="48" spans="2:15" x14ac:dyDescent="0.2">
      <c r="B48" s="366" t="s">
        <v>4</v>
      </c>
      <c r="C48" s="359"/>
      <c r="D48" s="367" t="s">
        <v>5</v>
      </c>
      <c r="E48" s="368"/>
      <c r="F48" s="214">
        <f>B49*C47*D49</f>
        <v>0.2168832</v>
      </c>
      <c r="G48" s="342">
        <f>NicheTAM*NicheMarketShare</f>
        <v>35.699999999999996</v>
      </c>
      <c r="H48" s="342">
        <f>G48*SalesMult*NicheMultDisc</f>
        <v>89.249999999999986</v>
      </c>
      <c r="I48" s="354">
        <f>H48*NicheOwnershipAtExit/Investment</f>
        <v>4.9583333333333321</v>
      </c>
      <c r="J48" s="355">
        <f>F48*I48</f>
        <v>1.0753791999999998</v>
      </c>
    </row>
    <row r="49" spans="2:10" x14ac:dyDescent="0.2">
      <c r="B49" s="371">
        <f>EarlySuccess</f>
        <v>1</v>
      </c>
      <c r="C49" s="372"/>
      <c r="D49" s="373">
        <f>1-MainstreamSuccess</f>
        <v>0.70599999999999996</v>
      </c>
      <c r="E49" s="342"/>
      <c r="F49" s="214"/>
      <c r="G49" s="342"/>
      <c r="H49" s="342"/>
      <c r="I49" s="350"/>
      <c r="J49" s="226"/>
    </row>
    <row r="50" spans="2:10" x14ac:dyDescent="0.2">
      <c r="B50" s="359"/>
      <c r="C50" s="367" t="s">
        <v>49</v>
      </c>
      <c r="D50" s="374"/>
      <c r="E50" s="368"/>
      <c r="F50" s="214">
        <f>B49*C51</f>
        <v>0.69279999999999997</v>
      </c>
      <c r="G50" s="342">
        <v>0</v>
      </c>
      <c r="H50" s="342">
        <v>0</v>
      </c>
      <c r="I50" s="350">
        <v>0</v>
      </c>
      <c r="J50" s="355">
        <f>F50*I50</f>
        <v>0</v>
      </c>
    </row>
    <row r="51" spans="2:10" x14ac:dyDescent="0.2">
      <c r="B51" s="375"/>
      <c r="C51" s="373">
        <f>1-CrossChasm</f>
        <v>0.69279999999999997</v>
      </c>
      <c r="D51" s="341"/>
      <c r="E51" s="342"/>
      <c r="F51" s="214"/>
      <c r="G51" s="342"/>
      <c r="H51" s="342"/>
      <c r="I51" s="350"/>
      <c r="J51" s="226"/>
    </row>
    <row r="52" spans="2:10" x14ac:dyDescent="0.2">
      <c r="B52" s="359"/>
      <c r="C52" s="341"/>
      <c r="D52" s="341"/>
      <c r="E52" s="342"/>
      <c r="F52" s="214"/>
      <c r="G52" s="342"/>
      <c r="H52" s="342"/>
      <c r="I52" s="350"/>
      <c r="J52" s="226"/>
    </row>
    <row r="53" spans="2:10" x14ac:dyDescent="0.2">
      <c r="B53" s="367" t="s">
        <v>3</v>
      </c>
      <c r="C53" s="356"/>
      <c r="D53" s="374"/>
      <c r="E53" s="368"/>
      <c r="F53" s="214">
        <f>B54</f>
        <v>0</v>
      </c>
      <c r="G53" s="342">
        <v>0</v>
      </c>
      <c r="H53" s="342">
        <v>0</v>
      </c>
      <c r="I53" s="350">
        <v>0</v>
      </c>
      <c r="J53" s="355">
        <f>F53*I53</f>
        <v>0</v>
      </c>
    </row>
    <row r="54" spans="2:10" x14ac:dyDescent="0.2">
      <c r="B54" s="341">
        <f>1-EarlySuccess</f>
        <v>0</v>
      </c>
      <c r="C54" s="341"/>
      <c r="D54" s="341"/>
      <c r="E54" s="342"/>
      <c r="F54" s="342"/>
      <c r="G54" s="349"/>
      <c r="H54" s="349"/>
      <c r="I54" s="349"/>
      <c r="J54" s="226"/>
    </row>
    <row r="55" spans="2:10" x14ac:dyDescent="0.2">
      <c r="B55" s="341"/>
      <c r="C55" s="341"/>
      <c r="D55" s="341"/>
      <c r="E55" s="342"/>
      <c r="F55" s="377">
        <f>SUM(F42:F53)</f>
        <v>1</v>
      </c>
      <c r="G55" s="378"/>
      <c r="H55" s="378"/>
      <c r="I55" s="379"/>
      <c r="J55" s="380">
        <f t="array" ref="J55">SUM(F42:F53*I42:I53)</f>
        <v>22.939571199999996</v>
      </c>
    </row>
    <row r="56" spans="2:10" x14ac:dyDescent="0.2">
      <c r="B56" s="392"/>
      <c r="C56" s="392"/>
      <c r="D56" s="164"/>
      <c r="E56" s="164"/>
      <c r="F56" s="159" t="s">
        <v>149</v>
      </c>
      <c r="G56" s="226"/>
      <c r="J56" s="355">
        <f>IF(SUM(F42:F48)=0,0,J55/SUM(F42:F48))</f>
        <v>74.673083333333309</v>
      </c>
    </row>
    <row r="57" spans="2:10" x14ac:dyDescent="0.2">
      <c r="B57" s="300"/>
      <c r="C57" s="392"/>
      <c r="D57" s="164"/>
      <c r="E57" s="164"/>
      <c r="F57" s="159" t="s">
        <v>154</v>
      </c>
      <c r="G57" s="349"/>
      <c r="H57" s="349"/>
      <c r="I57" s="349"/>
      <c r="J57" s="382">
        <f>IF(SUM(F42:F46)=0,0,SUM(J42:J46)/SUM(F42:F46))</f>
        <v>242.08333333333329</v>
      </c>
    </row>
    <row r="58" spans="2:10" x14ac:dyDescent="0.2">
      <c r="B58" s="300"/>
      <c r="C58" s="392"/>
      <c r="D58" s="164"/>
      <c r="E58" s="164"/>
      <c r="F58" s="349" t="s">
        <v>155</v>
      </c>
      <c r="I58" s="343"/>
      <c r="J58" s="383">
        <f>SUM(F42:F48)</f>
        <v>0.30720000000000003</v>
      </c>
    </row>
    <row r="59" spans="2:10" x14ac:dyDescent="0.2">
      <c r="B59" s="300"/>
      <c r="C59" s="392"/>
      <c r="D59" s="164"/>
      <c r="E59" s="164"/>
      <c r="F59" s="349" t="s">
        <v>156</v>
      </c>
      <c r="I59" s="343"/>
      <c r="J59" s="383">
        <f>SUM(F42:F46)</f>
        <v>9.0316800000000003E-2</v>
      </c>
    </row>
    <row r="60" spans="2:10" x14ac:dyDescent="0.2">
      <c r="B60" s="300"/>
      <c r="C60" s="392"/>
      <c r="D60" s="164"/>
      <c r="E60" s="164"/>
      <c r="F60" s="164" t="s">
        <v>157</v>
      </c>
      <c r="G60" s="349"/>
      <c r="H60" s="349"/>
      <c r="I60" s="349"/>
      <c r="J60" s="384">
        <f>pFailCrossChasm</f>
        <v>0.69279999999999997</v>
      </c>
    </row>
    <row r="61" spans="2:10" x14ac:dyDescent="0.2">
      <c r="B61" s="300"/>
      <c r="C61" s="300"/>
      <c r="F61" s="385" t="s">
        <v>158</v>
      </c>
      <c r="G61" s="164"/>
      <c r="H61" s="164"/>
      <c r="I61" s="164"/>
      <c r="J61" s="214">
        <f>pFailEarlyStage</f>
        <v>0</v>
      </c>
    </row>
    <row r="62" spans="2:10" x14ac:dyDescent="0.2">
      <c r="B62" s="300"/>
      <c r="C62" s="300"/>
    </row>
    <row r="63" spans="2:10" x14ac:dyDescent="0.2">
      <c r="B63" s="300"/>
      <c r="C63" s="300"/>
    </row>
    <row r="64" spans="2:10" x14ac:dyDescent="0.2">
      <c r="B64" s="300"/>
      <c r="C64" s="300"/>
    </row>
    <row r="65" spans="2:3" x14ac:dyDescent="0.2">
      <c r="B65" s="300"/>
      <c r="C65" s="300"/>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C2" sqref="C2"/>
    </sheetView>
  </sheetViews>
  <sheetFormatPr baseColWidth="10" defaultRowHeight="14" x14ac:dyDescent="0.2"/>
  <cols>
    <col min="1" max="2" width="10.7109375" style="159"/>
    <col min="3" max="3" width="14.85546875" style="159" bestFit="1" customWidth="1"/>
    <col min="4" max="18" width="10.7109375" style="159"/>
    <col min="19" max="19" width="14.8554687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89</v>
      </c>
      <c r="E2" s="164" t="s">
        <v>232</v>
      </c>
      <c r="S2" s="176" t="s">
        <v>106</v>
      </c>
      <c r="T2" s="174"/>
      <c r="U2" s="280" t="s">
        <v>233</v>
      </c>
      <c r="V2" s="281"/>
      <c r="W2" s="281"/>
      <c r="X2" s="281"/>
      <c r="Y2" s="281"/>
      <c r="Z2" s="281"/>
      <c r="AA2" s="281"/>
      <c r="AB2" s="281"/>
      <c r="AC2" s="281"/>
      <c r="AD2" s="281"/>
      <c r="AE2" s="281"/>
      <c r="AF2" s="281"/>
      <c r="AG2" s="282"/>
      <c r="AH2" s="164"/>
      <c r="AI2" s="280" t="s">
        <v>115</v>
      </c>
      <c r="AJ2" s="281"/>
      <c r="AK2" s="281"/>
      <c r="AL2" s="281"/>
      <c r="AM2" s="281"/>
      <c r="AN2" s="281"/>
      <c r="AO2" s="281"/>
      <c r="AP2" s="281"/>
      <c r="AQ2" s="281"/>
      <c r="AR2" s="281"/>
      <c r="AS2" s="281"/>
      <c r="AT2" s="281"/>
      <c r="AU2" s="282"/>
      <c r="AW2" s="280" t="s">
        <v>116</v>
      </c>
      <c r="AX2" s="281"/>
      <c r="AY2" s="281"/>
      <c r="AZ2" s="281"/>
      <c r="BA2" s="281"/>
      <c r="BB2" s="281"/>
      <c r="BC2" s="281"/>
      <c r="BD2" s="281"/>
      <c r="BE2" s="281"/>
      <c r="BF2" s="281"/>
      <c r="BG2" s="281"/>
      <c r="BH2" s="281"/>
      <c r="BI2" s="282"/>
      <c r="BK2" s="280" t="s">
        <v>151</v>
      </c>
      <c r="BL2" s="281"/>
      <c r="BM2" s="281"/>
      <c r="BN2" s="281"/>
      <c r="BO2" s="281"/>
      <c r="BP2" s="281"/>
      <c r="BQ2" s="281"/>
      <c r="BR2" s="281"/>
      <c r="BS2" s="281"/>
      <c r="BT2" s="281"/>
      <c r="BU2" s="281"/>
      <c r="BV2" s="281"/>
      <c r="BW2" s="282"/>
      <c r="BY2" s="280" t="s">
        <v>107</v>
      </c>
      <c r="BZ2" s="281"/>
      <c r="CA2" s="281"/>
      <c r="CB2" s="281"/>
      <c r="CC2" s="281"/>
      <c r="CD2" s="281"/>
      <c r="CE2" s="281"/>
      <c r="CF2" s="281"/>
      <c r="CG2" s="281"/>
      <c r="CH2" s="281"/>
      <c r="CI2" s="281"/>
      <c r="CJ2" s="281"/>
      <c r="CK2" s="282"/>
      <c r="CM2" s="283" t="s">
        <v>108</v>
      </c>
      <c r="CN2" s="284"/>
      <c r="CO2" s="284"/>
      <c r="CP2" s="284"/>
      <c r="CQ2" s="284"/>
      <c r="CR2" s="284"/>
      <c r="CS2" s="284"/>
      <c r="CT2" s="284"/>
      <c r="CU2" s="284"/>
      <c r="CV2" s="284"/>
      <c r="CW2" s="284"/>
      <c r="CX2" s="284"/>
      <c r="CY2" s="285"/>
      <c r="DA2" s="283" t="s">
        <v>109</v>
      </c>
      <c r="DB2" s="284"/>
      <c r="DC2" s="284"/>
      <c r="DD2" s="284"/>
      <c r="DE2" s="284"/>
      <c r="DF2" s="284"/>
      <c r="DG2" s="284"/>
      <c r="DH2" s="284"/>
      <c r="DI2" s="284"/>
      <c r="DJ2" s="284"/>
      <c r="DK2" s="284"/>
      <c r="DL2" s="284"/>
      <c r="DM2" s="285"/>
      <c r="DO2" s="283" t="s">
        <v>110</v>
      </c>
      <c r="DP2" s="284"/>
      <c r="DQ2" s="284"/>
      <c r="DR2" s="284"/>
      <c r="DS2" s="284"/>
      <c r="DT2" s="284"/>
      <c r="DU2" s="284"/>
      <c r="DV2" s="284"/>
      <c r="DW2" s="284"/>
      <c r="DX2" s="284"/>
      <c r="DY2" s="284"/>
      <c r="DZ2" s="284"/>
      <c r="EA2" s="285"/>
      <c r="EC2" s="283" t="s">
        <v>111</v>
      </c>
      <c r="ED2" s="284"/>
      <c r="EE2" s="284"/>
      <c r="EF2" s="284"/>
      <c r="EG2" s="284"/>
      <c r="EH2" s="284"/>
      <c r="EI2" s="284"/>
      <c r="EJ2" s="284"/>
      <c r="EK2" s="284"/>
      <c r="EL2" s="284"/>
      <c r="EM2" s="284"/>
      <c r="EN2" s="284"/>
      <c r="EO2" s="285"/>
      <c r="EQ2" s="283" t="s">
        <v>112</v>
      </c>
      <c r="ER2" s="284"/>
      <c r="ES2" s="284"/>
      <c r="ET2" s="284"/>
      <c r="EU2" s="284"/>
      <c r="EV2" s="284"/>
      <c r="EW2" s="284"/>
      <c r="EX2" s="284"/>
      <c r="EY2" s="284"/>
      <c r="EZ2" s="284"/>
      <c r="FA2" s="284"/>
      <c r="FB2" s="284"/>
      <c r="FC2" s="285"/>
    </row>
    <row r="3" spans="2:159" x14ac:dyDescent="0.2">
      <c r="R3" s="184">
        <v>1</v>
      </c>
      <c r="S3" s="179" t="s">
        <v>224</v>
      </c>
      <c r="T3" s="174"/>
      <c r="U3" s="171"/>
      <c r="V3" s="173"/>
      <c r="W3" s="171"/>
      <c r="X3" s="172" t="s">
        <v>92</v>
      </c>
      <c r="Y3" s="172"/>
      <c r="Z3" s="171"/>
      <c r="AA3" s="172" t="s">
        <v>93</v>
      </c>
      <c r="AB3" s="173"/>
      <c r="AC3" s="172"/>
      <c r="AD3" s="172"/>
      <c r="AE3" s="277" t="s">
        <v>105</v>
      </c>
      <c r="AF3" s="278"/>
      <c r="AG3" s="279"/>
      <c r="AI3" s="171"/>
      <c r="AJ3" s="173"/>
      <c r="AK3" s="171"/>
      <c r="AL3" s="172" t="s">
        <v>92</v>
      </c>
      <c r="AM3" s="172"/>
      <c r="AN3" s="171"/>
      <c r="AO3" s="172" t="s">
        <v>93</v>
      </c>
      <c r="AP3" s="173"/>
      <c r="AQ3" s="172"/>
      <c r="AR3" s="172"/>
      <c r="AS3" s="277" t="s">
        <v>105</v>
      </c>
      <c r="AT3" s="278"/>
      <c r="AU3" s="279"/>
      <c r="AW3" s="171"/>
      <c r="AX3" s="173"/>
      <c r="AY3" s="171"/>
      <c r="AZ3" s="172" t="s">
        <v>92</v>
      </c>
      <c r="BA3" s="172"/>
      <c r="BB3" s="171"/>
      <c r="BC3" s="172" t="s">
        <v>93</v>
      </c>
      <c r="BD3" s="173"/>
      <c r="BE3" s="172"/>
      <c r="BF3" s="172"/>
      <c r="BG3" s="277" t="s">
        <v>105</v>
      </c>
      <c r="BH3" s="278"/>
      <c r="BI3" s="279"/>
      <c r="BK3" s="171"/>
      <c r="BL3" s="173"/>
      <c r="BM3" s="171"/>
      <c r="BN3" s="172" t="s">
        <v>92</v>
      </c>
      <c r="BO3" s="172"/>
      <c r="BP3" s="171"/>
      <c r="BQ3" s="172" t="s">
        <v>93</v>
      </c>
      <c r="BR3" s="173"/>
      <c r="BS3" s="172"/>
      <c r="BT3" s="172"/>
      <c r="BU3" s="277" t="s">
        <v>105</v>
      </c>
      <c r="BV3" s="278"/>
      <c r="BW3" s="279"/>
      <c r="BY3" s="171"/>
      <c r="BZ3" s="173"/>
      <c r="CA3" s="171"/>
      <c r="CB3" s="172" t="s">
        <v>92</v>
      </c>
      <c r="CC3" s="172"/>
      <c r="CD3" s="171"/>
      <c r="CE3" s="172" t="s">
        <v>93</v>
      </c>
      <c r="CF3" s="173"/>
      <c r="CG3" s="172"/>
      <c r="CH3" s="172"/>
      <c r="CI3" s="277" t="s">
        <v>105</v>
      </c>
      <c r="CJ3" s="278"/>
      <c r="CK3" s="279"/>
      <c r="CM3" s="171"/>
      <c r="CN3" s="173"/>
      <c r="CO3" s="171"/>
      <c r="CP3" s="172" t="s">
        <v>92</v>
      </c>
      <c r="CQ3" s="172"/>
      <c r="CR3" s="171"/>
      <c r="CS3" s="172" t="s">
        <v>93</v>
      </c>
      <c r="CT3" s="173"/>
      <c r="CU3" s="172"/>
      <c r="CV3" s="172"/>
      <c r="CW3" s="277" t="s">
        <v>105</v>
      </c>
      <c r="CX3" s="278"/>
      <c r="CY3" s="279"/>
      <c r="DA3" s="171"/>
      <c r="DB3" s="173"/>
      <c r="DC3" s="171"/>
      <c r="DD3" s="172" t="s">
        <v>92</v>
      </c>
      <c r="DE3" s="172"/>
      <c r="DF3" s="171"/>
      <c r="DG3" s="172" t="s">
        <v>93</v>
      </c>
      <c r="DH3" s="173"/>
      <c r="DI3" s="172"/>
      <c r="DJ3" s="172"/>
      <c r="DK3" s="277" t="s">
        <v>105</v>
      </c>
      <c r="DL3" s="278"/>
      <c r="DM3" s="279"/>
      <c r="DO3" s="171"/>
      <c r="DP3" s="173"/>
      <c r="DQ3" s="171"/>
      <c r="DR3" s="172" t="s">
        <v>92</v>
      </c>
      <c r="DS3" s="172"/>
      <c r="DT3" s="171"/>
      <c r="DU3" s="172" t="s">
        <v>93</v>
      </c>
      <c r="DV3" s="173"/>
      <c r="DW3" s="172"/>
      <c r="DX3" s="172"/>
      <c r="DY3" s="277" t="s">
        <v>105</v>
      </c>
      <c r="DZ3" s="278"/>
      <c r="EA3" s="279"/>
      <c r="EC3" s="171"/>
      <c r="ED3" s="173"/>
      <c r="EE3" s="171"/>
      <c r="EF3" s="172" t="s">
        <v>92</v>
      </c>
      <c r="EG3" s="172"/>
      <c r="EH3" s="171"/>
      <c r="EI3" s="172" t="s">
        <v>93</v>
      </c>
      <c r="EJ3" s="173"/>
      <c r="EK3" s="172"/>
      <c r="EL3" s="172"/>
      <c r="EM3" s="277" t="s">
        <v>105</v>
      </c>
      <c r="EN3" s="278"/>
      <c r="EO3" s="279"/>
      <c r="EQ3" s="171"/>
      <c r="ER3" s="173"/>
      <c r="ES3" s="171"/>
      <c r="ET3" s="172" t="s">
        <v>92</v>
      </c>
      <c r="EU3" s="172"/>
      <c r="EV3" s="171"/>
      <c r="EW3" s="172" t="s">
        <v>93</v>
      </c>
      <c r="EX3" s="173"/>
      <c r="EY3" s="172"/>
      <c r="EZ3" s="172"/>
      <c r="FA3" s="277" t="s">
        <v>105</v>
      </c>
      <c r="FB3" s="278"/>
      <c r="FC3" s="279"/>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150</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173</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173</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173</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173</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2</v>
      </c>
      <c r="S19" s="189" t="str">
        <f>CONCATENATE("Tornado_Output",Tornado_TableIndex)</f>
        <v>Tornado_Output2</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5"/>
  <sheetViews>
    <sheetView zoomScale="120" zoomScaleNormal="120" workbookViewId="0">
      <selection activeCell="E3" sqref="E3"/>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193"/>
      <c r="D1" s="194" t="s">
        <v>57</v>
      </c>
      <c r="E1" s="221" t="s">
        <v>58</v>
      </c>
      <c r="F1" s="195" t="s">
        <v>59</v>
      </c>
      <c r="G1" s="195" t="s">
        <v>60</v>
      </c>
      <c r="H1" s="194" t="s">
        <v>61</v>
      </c>
      <c r="I1" s="196" t="s">
        <v>11</v>
      </c>
      <c r="J1" s="196"/>
    </row>
    <row r="2" spans="1:10" ht="15" x14ac:dyDescent="0.2">
      <c r="C2" s="197" t="s">
        <v>4</v>
      </c>
      <c r="D2" s="198">
        <f>D9</f>
        <v>0.9</v>
      </c>
      <c r="E2" s="222">
        <f>D14</f>
        <v>0.9</v>
      </c>
      <c r="F2" s="198">
        <f>D19</f>
        <v>0.9</v>
      </c>
      <c r="G2" s="198">
        <f>D24</f>
        <v>0.9</v>
      </c>
      <c r="H2" s="199">
        <f>D2*E2*F2*G2</f>
        <v>0.65610000000000013</v>
      </c>
      <c r="I2" s="200" t="s">
        <v>38</v>
      </c>
      <c r="J2" s="201"/>
    </row>
    <row r="3" spans="1:10" ht="15" x14ac:dyDescent="0.2">
      <c r="C3" s="202" t="s">
        <v>0</v>
      </c>
      <c r="D3" s="203">
        <f>D29</f>
        <v>0.8</v>
      </c>
      <c r="E3" s="223">
        <f>D35</f>
        <v>0.7</v>
      </c>
      <c r="F3" s="204">
        <f>D40</f>
        <v>0.9</v>
      </c>
      <c r="G3" s="204">
        <f>D45</f>
        <v>0.8</v>
      </c>
      <c r="H3" s="205">
        <f t="shared" ref="H3:H4" si="0">D3*E3*F3*G3</f>
        <v>0.4032</v>
      </c>
      <c r="I3" s="191" t="s">
        <v>24</v>
      </c>
      <c r="J3" s="206"/>
    </row>
    <row r="4" spans="1:10" ht="15" x14ac:dyDescent="0.2">
      <c r="C4" s="207" t="s">
        <v>62</v>
      </c>
      <c r="D4" s="208">
        <f>D51</f>
        <v>0.7</v>
      </c>
      <c r="E4" s="224">
        <f>D56</f>
        <v>0.75</v>
      </c>
      <c r="F4" s="209">
        <f>D60</f>
        <v>0.7</v>
      </c>
      <c r="G4" s="209">
        <f>D66</f>
        <v>0.8</v>
      </c>
      <c r="H4" s="210">
        <f t="shared" si="0"/>
        <v>0.29399999999999998</v>
      </c>
      <c r="I4" s="211" t="s">
        <v>39</v>
      </c>
      <c r="J4" s="212"/>
    </row>
    <row r="7" spans="1:10" x14ac:dyDescent="0.2">
      <c r="A7" s="159" t="s">
        <v>4</v>
      </c>
      <c r="D7" s="214"/>
    </row>
    <row r="8" spans="1:10" s="226" customFormat="1" ht="15" x14ac:dyDescent="0.2">
      <c r="C8" s="272" t="s">
        <v>203</v>
      </c>
      <c r="D8" s="273" t="s">
        <v>204</v>
      </c>
      <c r="E8" s="272" t="s">
        <v>205</v>
      </c>
    </row>
    <row r="9" spans="1:10" s="226" customFormat="1" x14ac:dyDescent="0.2">
      <c r="B9" s="227" t="s">
        <v>57</v>
      </c>
      <c r="C9" s="228"/>
      <c r="D9" s="229">
        <v>0.9</v>
      </c>
      <c r="E9" s="228"/>
    </row>
    <row r="10" spans="1:10" ht="16" x14ac:dyDescent="0.2">
      <c r="C10" s="215" t="s">
        <v>211</v>
      </c>
      <c r="D10" s="214"/>
      <c r="E10" s="225" t="s">
        <v>213</v>
      </c>
    </row>
    <row r="11" spans="1:10" ht="16" x14ac:dyDescent="0.2">
      <c r="C11" s="215" t="s">
        <v>212</v>
      </c>
      <c r="D11" s="214"/>
      <c r="E11" s="225" t="s">
        <v>214</v>
      </c>
    </row>
    <row r="12" spans="1:10" ht="46" x14ac:dyDescent="0.2">
      <c r="C12" s="215" t="s">
        <v>120</v>
      </c>
      <c r="D12" s="214"/>
      <c r="E12" s="225" t="s">
        <v>215</v>
      </c>
    </row>
    <row r="13" spans="1:10" x14ac:dyDescent="0.2">
      <c r="C13" s="216"/>
      <c r="D13" s="214"/>
    </row>
    <row r="14" spans="1:10" s="226" customFormat="1" x14ac:dyDescent="0.2">
      <c r="B14" s="227" t="s">
        <v>58</v>
      </c>
      <c r="C14" s="228"/>
      <c r="D14" s="229">
        <v>0.9</v>
      </c>
      <c r="E14" s="228"/>
    </row>
    <row r="15" spans="1:10" ht="16" x14ac:dyDescent="0.2">
      <c r="C15" s="215" t="s">
        <v>210</v>
      </c>
      <c r="E15" s="225" t="s">
        <v>207</v>
      </c>
    </row>
    <row r="16" spans="1:10" ht="16" x14ac:dyDescent="0.2">
      <c r="C16" s="215" t="s">
        <v>206</v>
      </c>
      <c r="E16" s="225" t="s">
        <v>208</v>
      </c>
    </row>
    <row r="17" spans="1:5" ht="16" x14ac:dyDescent="0.2">
      <c r="C17" s="215" t="s">
        <v>121</v>
      </c>
      <c r="D17" s="214"/>
      <c r="E17" s="225" t="s">
        <v>209</v>
      </c>
    </row>
    <row r="18" spans="1:5" x14ac:dyDescent="0.2">
      <c r="C18" s="216"/>
      <c r="D18" s="214"/>
    </row>
    <row r="19" spans="1:5" s="226" customFormat="1" x14ac:dyDescent="0.2">
      <c r="B19" s="227" t="s">
        <v>59</v>
      </c>
      <c r="C19" s="228"/>
      <c r="D19" s="229">
        <v>0.9</v>
      </c>
      <c r="E19" s="228"/>
    </row>
    <row r="20" spans="1:5" ht="31" x14ac:dyDescent="0.2">
      <c r="C20" s="215" t="s">
        <v>216</v>
      </c>
      <c r="D20" s="214"/>
      <c r="E20" s="225" t="s">
        <v>218</v>
      </c>
    </row>
    <row r="21" spans="1:5" ht="31" x14ac:dyDescent="0.2">
      <c r="C21" s="215" t="s">
        <v>217</v>
      </c>
      <c r="D21" s="214"/>
      <c r="E21" s="225" t="s">
        <v>219</v>
      </c>
    </row>
    <row r="22" spans="1:5" ht="15" x14ac:dyDescent="0.2">
      <c r="C22" s="215"/>
      <c r="D22" s="214"/>
    </row>
    <row r="23" spans="1:5" ht="15" x14ac:dyDescent="0.2">
      <c r="B23" s="161"/>
      <c r="C23" s="215"/>
      <c r="D23" s="217"/>
    </row>
    <row r="24" spans="1:5" s="226" customFormat="1" x14ac:dyDescent="0.2">
      <c r="B24" s="227" t="s">
        <v>60</v>
      </c>
      <c r="C24" s="228"/>
      <c r="D24" s="229">
        <v>0.9</v>
      </c>
      <c r="E24" s="228"/>
    </row>
    <row r="25" spans="1:5" ht="16" x14ac:dyDescent="0.2">
      <c r="C25" s="215" t="s">
        <v>122</v>
      </c>
      <c r="D25" s="214"/>
      <c r="E25" s="225" t="s">
        <v>220</v>
      </c>
    </row>
    <row r="26" spans="1:5" ht="30" x14ac:dyDescent="0.2">
      <c r="C26" s="215" t="s">
        <v>123</v>
      </c>
      <c r="D26" s="214"/>
      <c r="E26" s="225" t="s">
        <v>221</v>
      </c>
    </row>
    <row r="27" spans="1:5" ht="15" x14ac:dyDescent="0.2">
      <c r="C27" s="216"/>
      <c r="D27" s="214"/>
      <c r="E27" s="225" t="s">
        <v>222</v>
      </c>
    </row>
    <row r="28" spans="1:5" x14ac:dyDescent="0.2">
      <c r="A28" s="159" t="s">
        <v>0</v>
      </c>
      <c r="D28" s="214"/>
    </row>
    <row r="29" spans="1:5" s="226" customFormat="1" x14ac:dyDescent="0.2">
      <c r="B29" s="227" t="s">
        <v>57</v>
      </c>
      <c r="C29" s="228"/>
      <c r="D29" s="229">
        <v>0.8</v>
      </c>
      <c r="E29" s="228"/>
    </row>
    <row r="30" spans="1:5" ht="16" x14ac:dyDescent="0.2">
      <c r="C30" s="218" t="s">
        <v>124</v>
      </c>
      <c r="D30" s="214"/>
      <c r="E30" s="225" t="s">
        <v>142</v>
      </c>
    </row>
    <row r="31" spans="1:5" ht="14" customHeight="1" x14ac:dyDescent="0.2">
      <c r="C31" s="218" t="s">
        <v>188</v>
      </c>
      <c r="D31" s="214"/>
      <c r="E31" s="225" t="s">
        <v>189</v>
      </c>
    </row>
    <row r="32" spans="1:5" ht="16" x14ac:dyDescent="0.2">
      <c r="B32" s="161"/>
      <c r="C32" s="219" t="s">
        <v>141</v>
      </c>
      <c r="D32" s="217"/>
      <c r="E32" s="193"/>
    </row>
    <row r="33" spans="2:5" ht="15" x14ac:dyDescent="0.2">
      <c r="B33" s="161"/>
      <c r="C33" s="219"/>
      <c r="D33" s="217"/>
      <c r="E33" s="193"/>
    </row>
    <row r="34" spans="2:5" ht="15" x14ac:dyDescent="0.2">
      <c r="B34" s="161"/>
      <c r="C34" s="219"/>
      <c r="D34" s="217"/>
      <c r="E34" s="193"/>
    </row>
    <row r="35" spans="2:5" s="226" customFormat="1" x14ac:dyDescent="0.2">
      <c r="B35" s="227" t="s">
        <v>58</v>
      </c>
      <c r="C35" s="228"/>
      <c r="D35" s="229">
        <v>0.7</v>
      </c>
      <c r="E35" s="228"/>
    </row>
    <row r="36" spans="2:5" ht="31" x14ac:dyDescent="0.2">
      <c r="C36" s="220" t="s">
        <v>125</v>
      </c>
      <c r="D36" s="214"/>
      <c r="E36" s="225" t="s">
        <v>190</v>
      </c>
    </row>
    <row r="37" spans="2:5" ht="46" x14ac:dyDescent="0.2">
      <c r="C37" s="220" t="s">
        <v>126</v>
      </c>
      <c r="D37" s="214"/>
      <c r="E37" s="225" t="s">
        <v>191</v>
      </c>
    </row>
    <row r="38" spans="2:5" ht="16" x14ac:dyDescent="0.2">
      <c r="C38" s="220" t="s">
        <v>127</v>
      </c>
      <c r="D38" s="214"/>
    </row>
    <row r="39" spans="2:5" x14ac:dyDescent="0.2">
      <c r="D39" s="214"/>
    </row>
    <row r="40" spans="2:5" s="226" customFormat="1" x14ac:dyDescent="0.2">
      <c r="B40" s="227" t="s">
        <v>59</v>
      </c>
      <c r="C40" s="228"/>
      <c r="D40" s="229">
        <v>0.9</v>
      </c>
      <c r="E40" s="228"/>
    </row>
    <row r="41" spans="2:5" ht="16" x14ac:dyDescent="0.2">
      <c r="C41" s="220" t="s">
        <v>128</v>
      </c>
      <c r="D41" s="214"/>
      <c r="E41" s="225" t="s">
        <v>194</v>
      </c>
    </row>
    <row r="42" spans="2:5" ht="15" customHeight="1" x14ac:dyDescent="0.2">
      <c r="C42" s="220" t="s">
        <v>193</v>
      </c>
      <c r="D42" s="214"/>
      <c r="E42" s="225" t="s">
        <v>195</v>
      </c>
    </row>
    <row r="43" spans="2:5" ht="16" x14ac:dyDescent="0.2">
      <c r="C43" s="220" t="s">
        <v>129</v>
      </c>
      <c r="D43" s="214"/>
      <c r="E43" s="225" t="s">
        <v>192</v>
      </c>
    </row>
    <row r="44" spans="2:5" ht="15" x14ac:dyDescent="0.2">
      <c r="C44" s="220"/>
      <c r="D44" s="214"/>
    </row>
    <row r="45" spans="2:5" s="226" customFormat="1" x14ac:dyDescent="0.2">
      <c r="B45" s="227" t="s">
        <v>60</v>
      </c>
      <c r="C45" s="228"/>
      <c r="D45" s="229">
        <v>0.8</v>
      </c>
      <c r="E45" s="228"/>
    </row>
    <row r="46" spans="2:5" ht="19" customHeight="1" x14ac:dyDescent="0.2">
      <c r="C46" s="220" t="s">
        <v>196</v>
      </c>
      <c r="D46" s="214"/>
      <c r="E46" s="225" t="s">
        <v>197</v>
      </c>
    </row>
    <row r="47" spans="2:5" ht="16" x14ac:dyDescent="0.2">
      <c r="C47" s="220" t="s">
        <v>198</v>
      </c>
      <c r="D47" s="214"/>
      <c r="E47" s="225" t="s">
        <v>199</v>
      </c>
    </row>
    <row r="48" spans="2:5" ht="15" x14ac:dyDescent="0.2">
      <c r="D48" s="214"/>
      <c r="E48" s="225" t="s">
        <v>200</v>
      </c>
    </row>
    <row r="49" spans="1:5" x14ac:dyDescent="0.2">
      <c r="D49" s="214"/>
    </row>
    <row r="50" spans="1:5" x14ac:dyDescent="0.2">
      <c r="A50" s="159" t="s">
        <v>62</v>
      </c>
      <c r="D50" s="214"/>
    </row>
    <row r="51" spans="1:5" s="226" customFormat="1" x14ac:dyDescent="0.2">
      <c r="B51" s="227" t="s">
        <v>57</v>
      </c>
      <c r="C51" s="228"/>
      <c r="D51" s="229">
        <v>0.7</v>
      </c>
      <c r="E51" s="228"/>
    </row>
    <row r="52" spans="1:5" ht="30" x14ac:dyDescent="0.2">
      <c r="C52" s="218" t="s">
        <v>130</v>
      </c>
      <c r="D52" s="214"/>
      <c r="E52" s="225" t="s">
        <v>143</v>
      </c>
    </row>
    <row r="53" spans="1:5" ht="16" x14ac:dyDescent="0.2">
      <c r="C53" s="218" t="s">
        <v>131</v>
      </c>
      <c r="D53" s="214"/>
    </row>
    <row r="54" spans="1:5" ht="16" x14ac:dyDescent="0.2">
      <c r="C54" s="218" t="s">
        <v>132</v>
      </c>
      <c r="D54" s="214"/>
    </row>
    <row r="55" spans="1:5" x14ac:dyDescent="0.2">
      <c r="B55" s="161"/>
      <c r="C55" s="193"/>
      <c r="D55" s="217"/>
    </row>
    <row r="56" spans="1:5" s="226" customFormat="1" x14ac:dyDescent="0.2">
      <c r="B56" s="227" t="s">
        <v>58</v>
      </c>
      <c r="C56" s="228"/>
      <c r="D56" s="229">
        <v>0.75</v>
      </c>
      <c r="E56" s="228"/>
    </row>
    <row r="57" spans="1:5" ht="31" x14ac:dyDescent="0.2">
      <c r="C57" s="218" t="s">
        <v>133</v>
      </c>
      <c r="E57" s="225" t="s">
        <v>144</v>
      </c>
    </row>
    <row r="58" spans="1:5" ht="30" x14ac:dyDescent="0.2">
      <c r="C58" s="218" t="s">
        <v>134</v>
      </c>
      <c r="D58" s="214"/>
      <c r="E58" s="225" t="s">
        <v>145</v>
      </c>
    </row>
    <row r="59" spans="1:5" ht="15" x14ac:dyDescent="0.2">
      <c r="C59" s="218"/>
      <c r="D59" s="214"/>
    </row>
    <row r="60" spans="1:5" s="226" customFormat="1" x14ac:dyDescent="0.2">
      <c r="B60" s="227" t="s">
        <v>59</v>
      </c>
      <c r="C60" s="228"/>
      <c r="D60" s="229">
        <v>0.7</v>
      </c>
      <c r="E60" s="228"/>
    </row>
    <row r="61" spans="1:5" ht="30" x14ac:dyDescent="0.2">
      <c r="C61" s="220" t="s">
        <v>135</v>
      </c>
      <c r="D61" s="214"/>
      <c r="E61" s="225" t="s">
        <v>146</v>
      </c>
    </row>
    <row r="62" spans="1:5" ht="30" x14ac:dyDescent="0.2">
      <c r="C62" s="220" t="s">
        <v>136</v>
      </c>
      <c r="D62" s="214"/>
      <c r="E62" s="225" t="s">
        <v>147</v>
      </c>
    </row>
    <row r="63" spans="1:5" ht="16" x14ac:dyDescent="0.2">
      <c r="C63" s="220" t="s">
        <v>137</v>
      </c>
      <c r="D63" s="214"/>
    </row>
    <row r="64" spans="1:5" ht="16" x14ac:dyDescent="0.2">
      <c r="C64" s="220" t="s">
        <v>138</v>
      </c>
      <c r="D64" s="214"/>
    </row>
    <row r="65" spans="2:5" ht="15" x14ac:dyDescent="0.2">
      <c r="C65" s="220"/>
      <c r="D65" s="214"/>
    </row>
    <row r="66" spans="2:5" s="226" customFormat="1" ht="16" customHeight="1" x14ac:dyDescent="0.2">
      <c r="B66" s="227" t="s">
        <v>60</v>
      </c>
      <c r="C66" s="228"/>
      <c r="D66" s="229">
        <v>0.8</v>
      </c>
      <c r="E66" s="228"/>
    </row>
    <row r="67" spans="2:5" ht="30" x14ac:dyDescent="0.2">
      <c r="C67" s="220" t="s">
        <v>139</v>
      </c>
      <c r="E67" s="225" t="s">
        <v>148</v>
      </c>
    </row>
    <row r="68" spans="2:5" ht="16" x14ac:dyDescent="0.2">
      <c r="C68" s="220" t="s">
        <v>140</v>
      </c>
      <c r="D68" s="214"/>
    </row>
    <row r="69" spans="2:5" x14ac:dyDescent="0.2">
      <c r="C69" s="216"/>
      <c r="D69" s="214"/>
    </row>
    <row r="70" spans="2:5" x14ac:dyDescent="0.2">
      <c r="D70" s="214"/>
    </row>
    <row r="71" spans="2:5" x14ac:dyDescent="0.2">
      <c r="D71" s="214"/>
    </row>
    <row r="72" spans="2:5" x14ac:dyDescent="0.2">
      <c r="D72" s="214"/>
    </row>
    <row r="73" spans="2:5" x14ac:dyDescent="0.2">
      <c r="D73" s="214"/>
    </row>
    <row r="74" spans="2:5" x14ac:dyDescent="0.2">
      <c r="D74" s="214"/>
    </row>
    <row r="75" spans="2:5" x14ac:dyDescent="0.2">
      <c r="D75" s="21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201</v>
      </c>
    </row>
    <row r="6" spans="1:2" x14ac:dyDescent="0.2">
      <c r="B6" s="5" t="s">
        <v>202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152</v>
      </c>
      <c r="D2" s="236">
        <f>SUMPRODUCT(R6:R250,T6:T250)</f>
        <v>8.8458078857142866</v>
      </c>
    </row>
    <row r="3" spans="3:20" x14ac:dyDescent="0.2">
      <c r="M3" s="238" t="s">
        <v>150</v>
      </c>
    </row>
    <row r="5" spans="3:20" x14ac:dyDescent="0.2">
      <c r="M5" s="286" t="s">
        <v>105</v>
      </c>
      <c r="N5" s="287"/>
      <c r="O5" s="288"/>
      <c r="P5" s="239"/>
      <c r="R5" s="240" t="s">
        <v>103</v>
      </c>
      <c r="S5" s="241" t="s">
        <v>104</v>
      </c>
      <c r="T5" s="242" t="s">
        <v>9</v>
      </c>
    </row>
    <row r="6" spans="3:20" x14ac:dyDescent="0.2">
      <c r="M6" s="243" t="s">
        <v>103</v>
      </c>
      <c r="N6" s="244" t="s">
        <v>104</v>
      </c>
      <c r="O6" s="245" t="s">
        <v>9</v>
      </c>
      <c r="P6" s="246" t="s">
        <v>153</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License</vt:lpstr>
      <vt:lpstr>Model</vt:lpstr>
      <vt:lpstr>Uncertainty</vt:lpstr>
      <vt:lpstr>Tornado</vt:lpstr>
      <vt:lpstr>Life Stage Assessments</vt:lpstr>
      <vt:lpstr>Sheet1</vt:lpstr>
      <vt:lpstr>Full Distribution</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2019-02-13T05:22:58Z</dcterms:modified>
</cp:coreProperties>
</file>