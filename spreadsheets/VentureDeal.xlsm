
<file path=[Content_Types].xml><?xml version="1.0" encoding="utf-8"?>
<Types xmlns="http://schemas.openxmlformats.org/package/2006/content-types">
  <Default Extension="bin" ContentType="application/vnd.ms-office.vbaProject"/>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1208" codeName="{51196F13-6AD0-C1B8-E2B4-A1F9AE17003E}"/>
  <workbookPr date1904="1" showInkAnnotation="0" codeName="ThisWorkbook" autoCompressPictures="0"/>
  <mc:AlternateContent xmlns:mc="http://schemas.openxmlformats.org/markup-compatibility/2006">
    <mc:Choice Requires="x15">
      <x15ac:absPath xmlns:x15ac="http://schemas.microsoft.com/office/spreadsheetml/2010/11/ac" url="/Users/somik/PycharmProjects/VCDA/spreadsheets/"/>
    </mc:Choice>
  </mc:AlternateContent>
  <xr:revisionPtr revIDLastSave="0" documentId="13_ncr:1_{95EFE28B-AAE5-294A-8800-030CF1CE6CA0}" xr6:coauthVersionLast="40" xr6:coauthVersionMax="40" xr10:uidLastSave="{00000000-0000-0000-0000-000000000000}"/>
  <bookViews>
    <workbookView xWindow="19340" yWindow="-26400" windowWidth="33600" windowHeight="18940" tabRatio="783" activeTab="1" xr2:uid="{00000000-000D-0000-FFFF-FFFF00000000}"/>
  </bookViews>
  <sheets>
    <sheet name="License" sheetId="6" r:id="rId1"/>
    <sheet name="Model" sheetId="1" r:id="rId2"/>
    <sheet name="Uncertainty" sheetId="8" r:id="rId3"/>
    <sheet name="Tornado" sheetId="4" r:id="rId4"/>
    <sheet name="Life Stage Assessments" sheetId="2" r:id="rId5"/>
    <sheet name="Full Distribution" sheetId="5" r:id="rId6"/>
  </sheets>
  <functionGroups builtInGroupCount="19"/>
  <definedNames>
    <definedName name="CompanyName">'Life Stage Assessments'!$C$2</definedName>
    <definedName name="CrossChasm">Model!$H$44</definedName>
    <definedName name="crossChasm_financial">'Life Stage Assessments'!$D$48</definedName>
    <definedName name="crossChasm_market">'Life Stage Assessments'!$D$32</definedName>
    <definedName name="crossChasm_product">'Life Stage Assessments'!$D$38</definedName>
    <definedName name="crossChasm_team">'Life Stage Assessments'!$D$43</definedName>
    <definedName name="CumeCostCrossChasm">Uncertainty!$O$37</definedName>
    <definedName name="CumeCostEarlyStage">Uncertainty!$O$39</definedName>
    <definedName name="Decisions">1</definedName>
    <definedName name="Dilution">Model!$O$21</definedName>
    <definedName name="earlyStage_financial">'Life Stage Assessments'!$D$27</definedName>
    <definedName name="earlyStage_market">'Life Stage Assessments'!$D$12</definedName>
    <definedName name="earlyStage_product">'Life Stage Assessments'!$D$17</definedName>
    <definedName name="earlyStage_team">'Life Stage Assessments'!$D$22</definedName>
    <definedName name="EarlySuccess">Model!$H$43</definedName>
    <definedName name="EarningsMult">Model!$O$36</definedName>
    <definedName name="exitValue">Model!$O$53:$O$64</definedName>
    <definedName name="InitialRoundSize">Model!$O$20</definedName>
    <definedName name="inputTable">Model!$B$12:$L$39</definedName>
    <definedName name="Investment">Model!$O$18</definedName>
    <definedName name="KingChance">Model!$O$25</definedName>
    <definedName name="KingMktShare">Model!$O$29</definedName>
    <definedName name="MainstreamSuccess">Model!$H$45</definedName>
    <definedName name="MarketTree">Uncertainty!$A$10:$K$62</definedName>
    <definedName name="massMarket_financial">'Life Stage Assessments'!$D$69</definedName>
    <definedName name="massMarket_market">'Life Stage Assessments'!$D$54</definedName>
    <definedName name="massMarket_product">'Life Stage Assessments'!$D$59</definedName>
    <definedName name="massMarket_team">'Life Stage Assessments'!$D$63</definedName>
    <definedName name="NicheDilution">Model!$O$22</definedName>
    <definedName name="NicheEarningsMultDisc">Model!$O$37</definedName>
    <definedName name="NicheMarketShare">Model!$O$33</definedName>
    <definedName name="NicheMultDisc">Model!$O$37</definedName>
    <definedName name="NicheOwnershipAtExit">Model!$E$68</definedName>
    <definedName name="NicheSize">Model!$O$32</definedName>
    <definedName name="NicheTAM">Model!$E$53</definedName>
    <definedName name="outputDefnTable">Uncertainty!$B$3:$F$6</definedName>
    <definedName name="outputTable">Uncertainty!$A$1:$K$8</definedName>
    <definedName name="ownershipAtExit">Model!$E$65</definedName>
    <definedName name="pCrossChasm_total">Uncertainty!$J$32</definedName>
    <definedName name="pFailCrossChasm">Uncertainty!$O$38</definedName>
    <definedName name="pFailEarlyStage">Uncertainty!$O$40</definedName>
    <definedName name="pMassMkt_total">Uncertainty!$J$33</definedName>
    <definedName name="PreMoneyValue">Model!$O$19</definedName>
    <definedName name="PrinceChance">Model!$O$26</definedName>
    <definedName name="PrinceMktShare">Model!$O$30</definedName>
    <definedName name="RD_InputTable" localSheetId="1">Model!$C$11:$P$37</definedName>
    <definedName name="SalesMult">Model!$O$36</definedName>
    <definedName name="SerfMktShare">Model!$O$31</definedName>
    <definedName name="SmartOrgInputTable">Model!$O$12:$Q$39</definedName>
    <definedName name="SweetSpotTABLE">Uncertainty!$M$18:$Q$28</definedName>
    <definedName name="SweetspotTAM">Model!$E$51</definedName>
    <definedName name="tam_sweetSpot">Model!$O$14</definedName>
    <definedName name="tam_total">Model!$O$15</definedName>
    <definedName name="Tornado_ChosenTableRangeName">Tornado!$S$19</definedName>
    <definedName name="Tornado_Output1">Tornado!$U$2:$AG$1048576</definedName>
    <definedName name="Tornado_Output10">Tornado!$EQ$2:$FC$1048576</definedName>
    <definedName name="Tornado_Output2">Tornado!$AI$2:$AU$1048576</definedName>
    <definedName name="Tornado_Output3">Tornado!$AW$2:$BI$1048576</definedName>
    <definedName name="Tornado_Output4">Tornado!$BK$2:$BW$1048576</definedName>
    <definedName name="Tornado_Output5">Tornado!$BY$2:$CK$1048576</definedName>
    <definedName name="Tornado_Output6">Tornado!$CM$2:$CY$1048576</definedName>
    <definedName name="Tornado_Output7">Tornado!$DA$2:$DM$1048576</definedName>
    <definedName name="Tornado_Output8">Tornado!$DO$2:$EA$1048576</definedName>
    <definedName name="Tornado_Output9">Tornado!$EC$2:$EO$1048576</definedName>
    <definedName name="Tornado_OutputsList">Tornado!$S$2:$S$12</definedName>
    <definedName name="Tornado_SelectedOutputName">Tornado!$C$2</definedName>
    <definedName name="Tornado_TableIndex">Tornado!$R$19</definedName>
    <definedName name="TotalPWMOIC_SweetSpot_Given_CrossChasmSuccess">Uncertainty!$J$30</definedName>
    <definedName name="TotalPWMOIC_SweetSpot_Given_MarketSuccess">Uncertainty!$J$31</definedName>
    <definedName name="TotalTAM">Model!$E$55</definedName>
  </definedNames>
  <calcPr calcId="191029"/>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O22" i="8" l="1"/>
  <c r="E43" i="1" l="1"/>
  <c r="F43" i="1"/>
  <c r="G43" i="1"/>
  <c r="E44" i="1"/>
  <c r="F44" i="1"/>
  <c r="G44" i="1"/>
  <c r="E45" i="1"/>
  <c r="F45" i="1"/>
  <c r="G45" i="1"/>
  <c r="D45" i="1"/>
  <c r="D44" i="1"/>
  <c r="D43" i="1"/>
  <c r="E63" i="2" l="1"/>
  <c r="E69" i="2"/>
  <c r="E59" i="2"/>
  <c r="E54" i="2"/>
  <c r="E48" i="2"/>
  <c r="E43" i="2"/>
  <c r="E38" i="2"/>
  <c r="E32" i="2"/>
  <c r="E27" i="2"/>
  <c r="E22" i="2"/>
  <c r="E17" i="2"/>
  <c r="E12" i="2"/>
  <c r="E45" i="8" l="1"/>
  <c r="E43" i="8"/>
  <c r="O39" i="8"/>
  <c r="O37" i="8"/>
  <c r="O21" i="8"/>
  <c r="E19" i="8"/>
  <c r="E17" i="8"/>
  <c r="E47" i="8" l="1"/>
  <c r="E21" i="8"/>
  <c r="P27" i="8"/>
  <c r="E55" i="1" s="1"/>
  <c r="J55" i="8" a="1"/>
  <c r="J29" i="8" a="1"/>
  <c r="P25" i="8"/>
  <c r="E51" i="1" s="1"/>
  <c r="E67" i="1"/>
  <c r="E6" i="2" l="1"/>
  <c r="O8" i="5" l="1"/>
  <c r="O9" i="5"/>
  <c r="O10" i="5"/>
  <c r="O11" i="5"/>
  <c r="T12" i="5" s="1"/>
  <c r="O12" i="5"/>
  <c r="T13" i="5" s="1"/>
  <c r="O13" i="5"/>
  <c r="T14" i="5" s="1"/>
  <c r="O14" i="5"/>
  <c r="T15" i="5" s="1"/>
  <c r="O15" i="5"/>
  <c r="T16" i="5" s="1"/>
  <c r="O16" i="5"/>
  <c r="O17" i="5"/>
  <c r="T18" i="5" s="1"/>
  <c r="O18" i="5"/>
  <c r="O19" i="5"/>
  <c r="O20" i="5"/>
  <c r="T21" i="5" s="1"/>
  <c r="O21" i="5"/>
  <c r="T22" i="5" s="1"/>
  <c r="O22" i="5"/>
  <c r="T23" i="5" s="1"/>
  <c r="O23" i="5"/>
  <c r="T24" i="5" s="1"/>
  <c r="O24" i="5"/>
  <c r="O25" i="5"/>
  <c r="O26" i="5"/>
  <c r="O27" i="5"/>
  <c r="T28" i="5" s="1"/>
  <c r="O28" i="5"/>
  <c r="T29" i="5" s="1"/>
  <c r="O29" i="5"/>
  <c r="T30" i="5" s="1"/>
  <c r="O30" i="5"/>
  <c r="T31" i="5" s="1"/>
  <c r="O31" i="5"/>
  <c r="T32" i="5" s="1"/>
  <c r="O32" i="5"/>
  <c r="O33" i="5"/>
  <c r="O34" i="5"/>
  <c r="O35" i="5"/>
  <c r="O36" i="5"/>
  <c r="T37" i="5" s="1"/>
  <c r="O37" i="5"/>
  <c r="T38" i="5" s="1"/>
  <c r="O38" i="5"/>
  <c r="T39" i="5" s="1"/>
  <c r="O39" i="5"/>
  <c r="T40" i="5" s="1"/>
  <c r="O40" i="5"/>
  <c r="O41" i="5"/>
  <c r="O42" i="5"/>
  <c r="O43" i="5"/>
  <c r="T44" i="5" s="1"/>
  <c r="O44" i="5"/>
  <c r="T45" i="5" s="1"/>
  <c r="O45" i="5"/>
  <c r="T46" i="5" s="1"/>
  <c r="O46" i="5"/>
  <c r="T47" i="5" s="1"/>
  <c r="O47" i="5"/>
  <c r="T48" i="5" s="1"/>
  <c r="O48" i="5"/>
  <c r="O49" i="5"/>
  <c r="O50" i="5"/>
  <c r="O51" i="5"/>
  <c r="T52" i="5" s="1"/>
  <c r="O52" i="5"/>
  <c r="T53" i="5" s="1"/>
  <c r="O53" i="5"/>
  <c r="T54" i="5" s="1"/>
  <c r="O54" i="5"/>
  <c r="T55" i="5" s="1"/>
  <c r="O55" i="5"/>
  <c r="T56" i="5" s="1"/>
  <c r="O56" i="5"/>
  <c r="O57" i="5"/>
  <c r="O58" i="5"/>
  <c r="T59" i="5" s="1"/>
  <c r="O59" i="5"/>
  <c r="T60" i="5" s="1"/>
  <c r="O60" i="5"/>
  <c r="T61" i="5" s="1"/>
  <c r="O61" i="5"/>
  <c r="T62" i="5" s="1"/>
  <c r="O62" i="5"/>
  <c r="T63" i="5" s="1"/>
  <c r="O63" i="5"/>
  <c r="T64" i="5" s="1"/>
  <c r="O64" i="5"/>
  <c r="O65" i="5"/>
  <c r="O66" i="5"/>
  <c r="O67" i="5"/>
  <c r="T68" i="5" s="1"/>
  <c r="O68" i="5"/>
  <c r="T69" i="5" s="1"/>
  <c r="O69" i="5"/>
  <c r="T70" i="5" s="1"/>
  <c r="O70" i="5"/>
  <c r="T71" i="5" s="1"/>
  <c r="O71" i="5"/>
  <c r="T72" i="5" s="1"/>
  <c r="O72" i="5"/>
  <c r="O73" i="5"/>
  <c r="O74" i="5"/>
  <c r="T75" i="5" s="1"/>
  <c r="O75" i="5"/>
  <c r="T76" i="5" s="1"/>
  <c r="O76" i="5"/>
  <c r="T77" i="5" s="1"/>
  <c r="O77" i="5"/>
  <c r="T78" i="5" s="1"/>
  <c r="O78" i="5"/>
  <c r="T79" i="5" s="1"/>
  <c r="O79" i="5"/>
  <c r="T80" i="5" s="1"/>
  <c r="O80" i="5"/>
  <c r="O81" i="5"/>
  <c r="O82" i="5"/>
  <c r="T83" i="5" s="1"/>
  <c r="O83" i="5"/>
  <c r="T84" i="5" s="1"/>
  <c r="O84" i="5"/>
  <c r="T85" i="5" s="1"/>
  <c r="O85" i="5"/>
  <c r="T86" i="5" s="1"/>
  <c r="O86" i="5"/>
  <c r="T87" i="5" s="1"/>
  <c r="O87" i="5"/>
  <c r="T88" i="5" s="1"/>
  <c r="O88" i="5"/>
  <c r="O89" i="5"/>
  <c r="O90" i="5"/>
  <c r="O91" i="5"/>
  <c r="O92" i="5"/>
  <c r="T93" i="5" s="1"/>
  <c r="O93" i="5"/>
  <c r="T94" i="5" s="1"/>
  <c r="O94" i="5"/>
  <c r="T95" i="5" s="1"/>
  <c r="O95" i="5"/>
  <c r="T96" i="5" s="1"/>
  <c r="O96" i="5"/>
  <c r="O97" i="5"/>
  <c r="O98" i="5"/>
  <c r="O99" i="5"/>
  <c r="T100" i="5" s="1"/>
  <c r="O100" i="5"/>
  <c r="T101" i="5" s="1"/>
  <c r="O101" i="5"/>
  <c r="T102" i="5" s="1"/>
  <c r="O102" i="5"/>
  <c r="T103" i="5" s="1"/>
  <c r="O103" i="5"/>
  <c r="T104" i="5" s="1"/>
  <c r="O104" i="5"/>
  <c r="O105" i="5"/>
  <c r="T106" i="5" s="1"/>
  <c r="O106" i="5"/>
  <c r="T107" i="5" s="1"/>
  <c r="O107" i="5"/>
  <c r="T108" i="5" s="1"/>
  <c r="O108" i="5"/>
  <c r="T109" i="5" s="1"/>
  <c r="O109" i="5"/>
  <c r="T110" i="5" s="1"/>
  <c r="O110" i="5"/>
  <c r="T111" i="5" s="1"/>
  <c r="O111" i="5"/>
  <c r="T112" i="5" s="1"/>
  <c r="O112" i="5"/>
  <c r="O113" i="5"/>
  <c r="O114" i="5"/>
  <c r="T115" i="5" s="1"/>
  <c r="O115" i="5"/>
  <c r="T116" i="5" s="1"/>
  <c r="O116" i="5"/>
  <c r="T117" i="5" s="1"/>
  <c r="O117" i="5"/>
  <c r="T118" i="5" s="1"/>
  <c r="O118" i="5"/>
  <c r="T119" i="5" s="1"/>
  <c r="O119" i="5"/>
  <c r="T120" i="5" s="1"/>
  <c r="O120" i="5"/>
  <c r="O121" i="5"/>
  <c r="O122" i="5"/>
  <c r="O123" i="5"/>
  <c r="T124" i="5" s="1"/>
  <c r="O124" i="5"/>
  <c r="T125" i="5" s="1"/>
  <c r="O125" i="5"/>
  <c r="T126" i="5" s="1"/>
  <c r="O126" i="5"/>
  <c r="T127" i="5" s="1"/>
  <c r="O127" i="5"/>
  <c r="T128" i="5" s="1"/>
  <c r="O128" i="5"/>
  <c r="O129" i="5"/>
  <c r="T130" i="5" s="1"/>
  <c r="O130" i="5"/>
  <c r="T131" i="5" s="1"/>
  <c r="O131" i="5"/>
  <c r="T132" i="5" s="1"/>
  <c r="O132" i="5"/>
  <c r="T133" i="5" s="1"/>
  <c r="O133" i="5"/>
  <c r="T134" i="5" s="1"/>
  <c r="O134" i="5"/>
  <c r="T135" i="5" s="1"/>
  <c r="O135" i="5"/>
  <c r="T136" i="5" s="1"/>
  <c r="O136" i="5"/>
  <c r="O137" i="5"/>
  <c r="O138" i="5"/>
  <c r="T139" i="5" s="1"/>
  <c r="O139" i="5"/>
  <c r="T140" i="5" s="1"/>
  <c r="O140" i="5"/>
  <c r="T141" i="5" s="1"/>
  <c r="O141" i="5"/>
  <c r="T142" i="5" s="1"/>
  <c r="O142" i="5"/>
  <c r="T143" i="5" s="1"/>
  <c r="O143" i="5"/>
  <c r="T144" i="5" s="1"/>
  <c r="O144" i="5"/>
  <c r="O145" i="5"/>
  <c r="O146" i="5"/>
  <c r="O147" i="5"/>
  <c r="T148" i="5" s="1"/>
  <c r="O148" i="5"/>
  <c r="T149" i="5" s="1"/>
  <c r="O149" i="5"/>
  <c r="T150" i="5" s="1"/>
  <c r="O150" i="5"/>
  <c r="T151" i="5" s="1"/>
  <c r="O151" i="5"/>
  <c r="T152" i="5" s="1"/>
  <c r="O152" i="5"/>
  <c r="T153" i="5" s="1"/>
  <c r="O153" i="5"/>
  <c r="T154" i="5" s="1"/>
  <c r="O154" i="5"/>
  <c r="T155" i="5" s="1"/>
  <c r="O155" i="5"/>
  <c r="T156" i="5" s="1"/>
  <c r="O156" i="5"/>
  <c r="T157" i="5" s="1"/>
  <c r="O157" i="5"/>
  <c r="T158" i="5" s="1"/>
  <c r="O158" i="5"/>
  <c r="T159" i="5" s="1"/>
  <c r="O159" i="5"/>
  <c r="T160" i="5" s="1"/>
  <c r="O160" i="5"/>
  <c r="T161" i="5" s="1"/>
  <c r="O161" i="5"/>
  <c r="O162" i="5"/>
  <c r="T163" i="5" s="1"/>
  <c r="O163" i="5"/>
  <c r="T164" i="5" s="1"/>
  <c r="O164" i="5"/>
  <c r="T165" i="5" s="1"/>
  <c r="O165" i="5"/>
  <c r="T166" i="5" s="1"/>
  <c r="O166" i="5"/>
  <c r="T167" i="5" s="1"/>
  <c r="O167" i="5"/>
  <c r="T168" i="5" s="1"/>
  <c r="O168" i="5"/>
  <c r="O169" i="5"/>
  <c r="O170" i="5"/>
  <c r="T171" i="5" s="1"/>
  <c r="O171" i="5"/>
  <c r="T172" i="5" s="1"/>
  <c r="O172" i="5"/>
  <c r="T173" i="5" s="1"/>
  <c r="O173" i="5"/>
  <c r="T174" i="5" s="1"/>
  <c r="O174" i="5"/>
  <c r="T175" i="5" s="1"/>
  <c r="O175" i="5"/>
  <c r="T176" i="5" s="1"/>
  <c r="O176" i="5"/>
  <c r="O177" i="5"/>
  <c r="O178" i="5"/>
  <c r="T179" i="5" s="1"/>
  <c r="O179" i="5"/>
  <c r="T180" i="5" s="1"/>
  <c r="O180" i="5"/>
  <c r="T181" i="5" s="1"/>
  <c r="O181" i="5"/>
  <c r="T182" i="5" s="1"/>
  <c r="O182" i="5"/>
  <c r="T183" i="5" s="1"/>
  <c r="O183" i="5"/>
  <c r="T184" i="5" s="1"/>
  <c r="O184" i="5"/>
  <c r="O185" i="5"/>
  <c r="O186" i="5"/>
  <c r="T187" i="5" s="1"/>
  <c r="O187" i="5"/>
  <c r="T188" i="5" s="1"/>
  <c r="O188" i="5"/>
  <c r="T189" i="5" s="1"/>
  <c r="O189" i="5"/>
  <c r="T190" i="5" s="1"/>
  <c r="O190" i="5"/>
  <c r="T191" i="5" s="1"/>
  <c r="O191" i="5"/>
  <c r="T192" i="5" s="1"/>
  <c r="O192" i="5"/>
  <c r="O193" i="5"/>
  <c r="O194" i="5"/>
  <c r="T195" i="5" s="1"/>
  <c r="O195" i="5"/>
  <c r="T196" i="5" s="1"/>
  <c r="O196" i="5"/>
  <c r="T197" i="5" s="1"/>
  <c r="O197" i="5"/>
  <c r="T198" i="5" s="1"/>
  <c r="O198" i="5"/>
  <c r="T199" i="5" s="1"/>
  <c r="O199" i="5"/>
  <c r="T200" i="5" s="1"/>
  <c r="O200" i="5"/>
  <c r="O201" i="5"/>
  <c r="O202" i="5"/>
  <c r="T203" i="5" s="1"/>
  <c r="O203" i="5"/>
  <c r="T204" i="5" s="1"/>
  <c r="O204" i="5"/>
  <c r="T205" i="5" s="1"/>
  <c r="O205" i="5"/>
  <c r="T206" i="5" s="1"/>
  <c r="O206" i="5"/>
  <c r="T207" i="5" s="1"/>
  <c r="O207" i="5"/>
  <c r="T208" i="5" s="1"/>
  <c r="O208" i="5"/>
  <c r="T209" i="5" s="1"/>
  <c r="O209" i="5"/>
  <c r="T210" i="5" s="1"/>
  <c r="O210" i="5"/>
  <c r="T211" i="5" s="1"/>
  <c r="O211" i="5"/>
  <c r="T212" i="5" s="1"/>
  <c r="O212" i="5"/>
  <c r="T213" i="5" s="1"/>
  <c r="O213" i="5"/>
  <c r="T214" i="5" s="1"/>
  <c r="O214" i="5"/>
  <c r="T215" i="5" s="1"/>
  <c r="O215" i="5"/>
  <c r="T216" i="5" s="1"/>
  <c r="O216" i="5"/>
  <c r="T217" i="5" s="1"/>
  <c r="O217" i="5"/>
  <c r="O218" i="5"/>
  <c r="T219" i="5" s="1"/>
  <c r="O219" i="5"/>
  <c r="T220" i="5" s="1"/>
  <c r="O220" i="5"/>
  <c r="T221" i="5" s="1"/>
  <c r="O221" i="5"/>
  <c r="T222" i="5" s="1"/>
  <c r="O222" i="5"/>
  <c r="T223" i="5" s="1"/>
  <c r="O223" i="5"/>
  <c r="T224" i="5" s="1"/>
  <c r="O224" i="5"/>
  <c r="O225" i="5"/>
  <c r="O226" i="5"/>
  <c r="T227" i="5" s="1"/>
  <c r="O227" i="5"/>
  <c r="T228" i="5" s="1"/>
  <c r="O228" i="5"/>
  <c r="T229" i="5" s="1"/>
  <c r="O229" i="5"/>
  <c r="T230" i="5" s="1"/>
  <c r="O230" i="5"/>
  <c r="T231" i="5" s="1"/>
  <c r="O231" i="5"/>
  <c r="T232" i="5" s="1"/>
  <c r="O232" i="5"/>
  <c r="O233" i="5"/>
  <c r="T234" i="5" s="1"/>
  <c r="O234" i="5"/>
  <c r="T235" i="5" s="1"/>
  <c r="O235" i="5"/>
  <c r="T236" i="5" s="1"/>
  <c r="O236" i="5"/>
  <c r="T237" i="5" s="1"/>
  <c r="O237" i="5"/>
  <c r="T238" i="5" s="1"/>
  <c r="O238" i="5"/>
  <c r="T239" i="5" s="1"/>
  <c r="O239" i="5"/>
  <c r="T240" i="5" s="1"/>
  <c r="O240" i="5"/>
  <c r="O241" i="5"/>
  <c r="O242" i="5"/>
  <c r="O243" i="5"/>
  <c r="T244" i="5" s="1"/>
  <c r="O244" i="5"/>
  <c r="T245" i="5" s="1"/>
  <c r="O245" i="5"/>
  <c r="T246" i="5" s="1"/>
  <c r="O246" i="5"/>
  <c r="T247" i="5" s="1"/>
  <c r="O247" i="5"/>
  <c r="T248" i="5" s="1"/>
  <c r="O248" i="5"/>
  <c r="O249" i="5"/>
  <c r="O7" i="5"/>
  <c r="N8" i="5"/>
  <c r="N9" i="5"/>
  <c r="N10" i="5"/>
  <c r="N11" i="5"/>
  <c r="N12" i="5"/>
  <c r="N13" i="5"/>
  <c r="N14" i="5"/>
  <c r="N15" i="5"/>
  <c r="N16" i="5"/>
  <c r="N17" i="5"/>
  <c r="N18" i="5"/>
  <c r="N19" i="5"/>
  <c r="N20" i="5"/>
  <c r="N21" i="5"/>
  <c r="N22" i="5"/>
  <c r="N23" i="5"/>
  <c r="N24" i="5"/>
  <c r="N25" i="5"/>
  <c r="N26" i="5"/>
  <c r="N27" i="5"/>
  <c r="N28" i="5"/>
  <c r="N29" i="5"/>
  <c r="N30" i="5"/>
  <c r="N31" i="5"/>
  <c r="N32" i="5"/>
  <c r="N33" i="5"/>
  <c r="N34" i="5"/>
  <c r="N35" i="5"/>
  <c r="N36" i="5"/>
  <c r="N37" i="5"/>
  <c r="N38" i="5"/>
  <c r="N39" i="5"/>
  <c r="N40" i="5"/>
  <c r="N41" i="5"/>
  <c r="N42" i="5"/>
  <c r="N43" i="5"/>
  <c r="N44" i="5"/>
  <c r="N45" i="5"/>
  <c r="N46" i="5"/>
  <c r="N47" i="5"/>
  <c r="N48" i="5"/>
  <c r="N49" i="5"/>
  <c r="N50" i="5"/>
  <c r="N51" i="5"/>
  <c r="N52" i="5"/>
  <c r="N53" i="5"/>
  <c r="N54" i="5"/>
  <c r="N55" i="5"/>
  <c r="N56" i="5"/>
  <c r="N57" i="5"/>
  <c r="N58" i="5"/>
  <c r="N59" i="5"/>
  <c r="N60" i="5"/>
  <c r="N61" i="5"/>
  <c r="N62" i="5"/>
  <c r="N63" i="5"/>
  <c r="N64" i="5"/>
  <c r="N65" i="5"/>
  <c r="N66" i="5"/>
  <c r="N67" i="5"/>
  <c r="N68" i="5"/>
  <c r="N69" i="5"/>
  <c r="N70" i="5"/>
  <c r="N71" i="5"/>
  <c r="N72" i="5"/>
  <c r="N73" i="5"/>
  <c r="N74" i="5"/>
  <c r="N75" i="5"/>
  <c r="N76" i="5"/>
  <c r="N77" i="5"/>
  <c r="N78" i="5"/>
  <c r="N79" i="5"/>
  <c r="N80" i="5"/>
  <c r="N81" i="5"/>
  <c r="N82" i="5"/>
  <c r="N83" i="5"/>
  <c r="N84" i="5"/>
  <c r="N85" i="5"/>
  <c r="N86" i="5"/>
  <c r="N87" i="5"/>
  <c r="N88" i="5"/>
  <c r="N89" i="5"/>
  <c r="N90" i="5"/>
  <c r="N91" i="5"/>
  <c r="N92" i="5"/>
  <c r="N93" i="5"/>
  <c r="N94" i="5"/>
  <c r="N95" i="5"/>
  <c r="N96" i="5"/>
  <c r="N97" i="5"/>
  <c r="N98" i="5"/>
  <c r="N99" i="5"/>
  <c r="N100" i="5"/>
  <c r="N101" i="5"/>
  <c r="N102" i="5"/>
  <c r="N103" i="5"/>
  <c r="N104" i="5"/>
  <c r="N105" i="5"/>
  <c r="N106" i="5"/>
  <c r="N107" i="5"/>
  <c r="N108" i="5"/>
  <c r="N109" i="5"/>
  <c r="N110" i="5"/>
  <c r="N111" i="5"/>
  <c r="N112" i="5"/>
  <c r="N113"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7" i="5"/>
  <c r="M8" i="5"/>
  <c r="M9" i="5"/>
  <c r="M10" i="5"/>
  <c r="M11" i="5"/>
  <c r="M12" i="5"/>
  <c r="M13" i="5"/>
  <c r="M14" i="5"/>
  <c r="M15" i="5"/>
  <c r="M16" i="5"/>
  <c r="M17" i="5"/>
  <c r="M18" i="5"/>
  <c r="M19" i="5"/>
  <c r="M20" i="5"/>
  <c r="M21" i="5"/>
  <c r="M22" i="5"/>
  <c r="M23" i="5"/>
  <c r="M24" i="5"/>
  <c r="M25" i="5"/>
  <c r="M26" i="5"/>
  <c r="M27" i="5"/>
  <c r="M28" i="5"/>
  <c r="M29" i="5"/>
  <c r="M30" i="5"/>
  <c r="M31" i="5"/>
  <c r="M32" i="5"/>
  <c r="M33" i="5"/>
  <c r="M34" i="5"/>
  <c r="M35" i="5"/>
  <c r="M36" i="5"/>
  <c r="M37" i="5"/>
  <c r="M38" i="5"/>
  <c r="M39" i="5"/>
  <c r="M40" i="5"/>
  <c r="M41" i="5"/>
  <c r="M42" i="5"/>
  <c r="M43" i="5"/>
  <c r="M44" i="5"/>
  <c r="M45" i="5"/>
  <c r="M46" i="5"/>
  <c r="M47" i="5"/>
  <c r="M48" i="5"/>
  <c r="M49" i="5"/>
  <c r="M50" i="5"/>
  <c r="M51" i="5"/>
  <c r="M52" i="5"/>
  <c r="M53" i="5"/>
  <c r="M54" i="5"/>
  <c r="M55" i="5"/>
  <c r="M56" i="5"/>
  <c r="M57" i="5"/>
  <c r="M58" i="5"/>
  <c r="M59" i="5"/>
  <c r="M60" i="5"/>
  <c r="M61" i="5"/>
  <c r="M62" i="5"/>
  <c r="M63" i="5"/>
  <c r="M64" i="5"/>
  <c r="M65" i="5"/>
  <c r="M66" i="5"/>
  <c r="M67" i="5"/>
  <c r="M68" i="5"/>
  <c r="M69" i="5"/>
  <c r="M70" i="5"/>
  <c r="M71" i="5"/>
  <c r="M72" i="5"/>
  <c r="M73" i="5"/>
  <c r="M74" i="5"/>
  <c r="M75" i="5"/>
  <c r="M76" i="5"/>
  <c r="M77" i="5"/>
  <c r="M78" i="5"/>
  <c r="M79" i="5"/>
  <c r="M80" i="5"/>
  <c r="M81" i="5"/>
  <c r="M82" i="5"/>
  <c r="M83" i="5"/>
  <c r="M84" i="5"/>
  <c r="M85" i="5"/>
  <c r="M86" i="5"/>
  <c r="M87" i="5"/>
  <c r="M88" i="5"/>
  <c r="M89" i="5"/>
  <c r="M90" i="5"/>
  <c r="M91" i="5"/>
  <c r="M92" i="5"/>
  <c r="M93" i="5"/>
  <c r="M94" i="5"/>
  <c r="M95" i="5"/>
  <c r="M96" i="5"/>
  <c r="M97" i="5"/>
  <c r="M98" i="5"/>
  <c r="M99" i="5"/>
  <c r="M100" i="5"/>
  <c r="M101" i="5"/>
  <c r="M102" i="5"/>
  <c r="M103" i="5"/>
  <c r="M104" i="5"/>
  <c r="M105" i="5"/>
  <c r="M106" i="5"/>
  <c r="M107" i="5"/>
  <c r="M108" i="5"/>
  <c r="M109" i="5"/>
  <c r="M110" i="5"/>
  <c r="M111" i="5"/>
  <c r="M112" i="5"/>
  <c r="M113" i="5"/>
  <c r="M114" i="5"/>
  <c r="M115" i="5"/>
  <c r="M116" i="5"/>
  <c r="M117" i="5"/>
  <c r="M118" i="5"/>
  <c r="M119" i="5"/>
  <c r="M120" i="5"/>
  <c r="M121" i="5"/>
  <c r="M122" i="5"/>
  <c r="M123" i="5"/>
  <c r="M124" i="5"/>
  <c r="M125" i="5"/>
  <c r="M126" i="5"/>
  <c r="M127" i="5"/>
  <c r="M128" i="5"/>
  <c r="M129" i="5"/>
  <c r="M130" i="5"/>
  <c r="M131" i="5"/>
  <c r="M132" i="5"/>
  <c r="M133" i="5"/>
  <c r="M134" i="5"/>
  <c r="M135" i="5"/>
  <c r="M136" i="5"/>
  <c r="M137"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7" i="5"/>
  <c r="T250" i="5"/>
  <c r="T249" i="5"/>
  <c r="T242" i="5"/>
  <c r="T243" i="5"/>
  <c r="T241" i="5"/>
  <c r="T233" i="5"/>
  <c r="T226" i="5"/>
  <c r="T225" i="5"/>
  <c r="T218" i="5"/>
  <c r="T202" i="5"/>
  <c r="T201" i="5"/>
  <c r="T194" i="5"/>
  <c r="T193" i="5"/>
  <c r="T186" i="5"/>
  <c r="T185" i="5"/>
  <c r="T178" i="5"/>
  <c r="T177" i="5"/>
  <c r="T170" i="5"/>
  <c r="T169" i="5"/>
  <c r="T162" i="5"/>
  <c r="T146" i="5"/>
  <c r="T147" i="5"/>
  <c r="T145" i="5"/>
  <c r="T138" i="5"/>
  <c r="T137" i="5"/>
  <c r="T129" i="5"/>
  <c r="T122" i="5"/>
  <c r="T123" i="5"/>
  <c r="T121" i="5"/>
  <c r="T114" i="5"/>
  <c r="T113" i="5"/>
  <c r="T105" i="5"/>
  <c r="T98" i="5"/>
  <c r="T99" i="5"/>
  <c r="T97" i="5"/>
  <c r="T92" i="5"/>
  <c r="T90" i="5"/>
  <c r="T91" i="5"/>
  <c r="T89" i="5"/>
  <c r="T82" i="5"/>
  <c r="T81" i="5"/>
  <c r="T74" i="5"/>
  <c r="T73" i="5"/>
  <c r="T67" i="5"/>
  <c r="T65" i="5"/>
  <c r="T66" i="5"/>
  <c r="T57" i="5"/>
  <c r="T58" i="5"/>
  <c r="T51" i="5"/>
  <c r="T49" i="5"/>
  <c r="T50" i="5"/>
  <c r="T43" i="5"/>
  <c r="T41" i="5"/>
  <c r="T42" i="5"/>
  <c r="T35" i="5"/>
  <c r="T36" i="5"/>
  <c r="T33" i="5"/>
  <c r="T34" i="5"/>
  <c r="T27" i="5"/>
  <c r="T25" i="5"/>
  <c r="T26" i="5"/>
  <c r="T19" i="5"/>
  <c r="T20" i="5"/>
  <c r="T17" i="5"/>
  <c r="T11" i="5"/>
  <c r="T10" i="5"/>
  <c r="T8" i="5"/>
  <c r="T9" i="5"/>
  <c r="R19" i="4" l="1"/>
  <c r="S19" i="4" s="1"/>
  <c r="S12" i="4"/>
  <c r="S11" i="4"/>
  <c r="S10" i="4"/>
  <c r="S9" i="4"/>
  <c r="S7" i="4"/>
  <c r="S8" i="4"/>
  <c r="E58" i="1" l="1"/>
  <c r="E59" i="1"/>
  <c r="E60" i="1"/>
  <c r="G7" i="2"/>
  <c r="F7" i="2"/>
  <c r="E7" i="2"/>
  <c r="D7" i="2"/>
  <c r="G6" i="2"/>
  <c r="F6" i="2"/>
  <c r="D6" i="2"/>
  <c r="G5" i="2"/>
  <c r="F5" i="2"/>
  <c r="E5" i="2"/>
  <c r="D5" i="2"/>
  <c r="L54" i="1"/>
  <c r="H45" i="1"/>
  <c r="H44" i="1"/>
  <c r="H43" i="1"/>
  <c r="E64" i="1"/>
  <c r="L76" i="1"/>
  <c r="K76" i="1" l="1"/>
  <c r="D49" i="8"/>
  <c r="D45" i="8"/>
  <c r="D19" i="8"/>
  <c r="D23" i="8"/>
  <c r="B49" i="8"/>
  <c r="B54" i="8"/>
  <c r="F53" i="8" s="1"/>
  <c r="J53" i="8" s="1"/>
  <c r="B28" i="8"/>
  <c r="F27" i="8" s="1"/>
  <c r="J27" i="8" s="1"/>
  <c r="B23" i="8"/>
  <c r="O40" i="8"/>
  <c r="O38" i="8"/>
  <c r="J58" i="1"/>
  <c r="C47" i="8"/>
  <c r="C21" i="8"/>
  <c r="C51" i="8"/>
  <c r="C25" i="8"/>
  <c r="I80" i="1"/>
  <c r="H5" i="2"/>
  <c r="J82" i="1"/>
  <c r="J62" i="1"/>
  <c r="L74" i="1"/>
  <c r="K56" i="1"/>
  <c r="J78" i="1"/>
  <c r="K60" i="1"/>
  <c r="H7" i="2"/>
  <c r="K80" i="1"/>
  <c r="H6" i="2"/>
  <c r="E61" i="1"/>
  <c r="E63" i="1" s="1"/>
  <c r="E68" i="1" s="1"/>
  <c r="L56" i="1"/>
  <c r="L58" i="1" s="1"/>
  <c r="I65" i="1"/>
  <c r="M64" i="1" s="1"/>
  <c r="Q64" i="1" s="1"/>
  <c r="I60" i="1"/>
  <c r="I85" i="1"/>
  <c r="M84" i="1" s="1"/>
  <c r="Q84" i="1" s="1"/>
  <c r="F22" i="8" l="1"/>
  <c r="F50" i="8"/>
  <c r="J50" i="8" s="1"/>
  <c r="F46" i="8"/>
  <c r="F44" i="8"/>
  <c r="F16" i="8"/>
  <c r="F48" i="8"/>
  <c r="J60" i="8"/>
  <c r="J34" i="8"/>
  <c r="F42" i="8"/>
  <c r="J61" i="8"/>
  <c r="J35" i="8"/>
  <c r="F24" i="8"/>
  <c r="J24" i="8" s="1"/>
  <c r="F18" i="8"/>
  <c r="F20" i="8"/>
  <c r="M81" i="1"/>
  <c r="Q81" i="1" s="1"/>
  <c r="M75" i="1"/>
  <c r="M53" i="1"/>
  <c r="M79" i="1"/>
  <c r="M73" i="1"/>
  <c r="L78" i="1"/>
  <c r="M77" i="1" s="1"/>
  <c r="E65" i="1"/>
  <c r="M57" i="1"/>
  <c r="M55" i="1"/>
  <c r="M59" i="1"/>
  <c r="M61" i="1"/>
  <c r="Q61" i="1" s="1"/>
  <c r="J33" i="8" l="1"/>
  <c r="J32" i="8"/>
  <c r="F29" i="8"/>
  <c r="J59" i="8"/>
  <c r="F55" i="8"/>
  <c r="J58" i="8"/>
  <c r="M86" i="1"/>
  <c r="M66" i="1"/>
  <c r="P244" i="5" l="1"/>
  <c r="P227" i="5"/>
  <c r="P218" i="5"/>
  <c r="P208" i="5"/>
  <c r="P203" i="5"/>
  <c r="P187" i="5"/>
  <c r="P174" i="5"/>
  <c r="P164" i="5"/>
  <c r="P154" i="5"/>
  <c r="P148" i="5"/>
  <c r="P138" i="5"/>
  <c r="P124" i="5"/>
  <c r="P114" i="5"/>
  <c r="P108" i="5"/>
  <c r="P104" i="5"/>
  <c r="P93" i="5"/>
  <c r="P89" i="5"/>
  <c r="P69" i="5"/>
  <c r="P59" i="5"/>
  <c r="P53" i="5"/>
  <c r="P43" i="5"/>
  <c r="P38" i="5"/>
  <c r="P24" i="5"/>
  <c r="P13" i="5"/>
  <c r="P9" i="5"/>
  <c r="P145" i="5"/>
  <c r="P50" i="5"/>
  <c r="P209" i="5"/>
  <c r="P144" i="5"/>
  <c r="P75" i="5"/>
  <c r="P19" i="5"/>
  <c r="P243" i="5"/>
  <c r="P237" i="5"/>
  <c r="P233" i="5"/>
  <c r="P222" i="5"/>
  <c r="P212" i="5"/>
  <c r="P207" i="5"/>
  <c r="P197" i="5"/>
  <c r="P193" i="5"/>
  <c r="P182" i="5"/>
  <c r="P178" i="5"/>
  <c r="P163" i="5"/>
  <c r="P147" i="5"/>
  <c r="P133" i="5"/>
  <c r="P129" i="5"/>
  <c r="P123" i="5"/>
  <c r="P107" i="5"/>
  <c r="P98" i="5"/>
  <c r="P88" i="5"/>
  <c r="P83" i="5"/>
  <c r="P74" i="5"/>
  <c r="P68" i="5"/>
  <c r="P64" i="5"/>
  <c r="P58" i="5"/>
  <c r="P49" i="5"/>
  <c r="P37" i="5"/>
  <c r="P18" i="5"/>
  <c r="P27" i="5"/>
  <c r="P12" i="5"/>
  <c r="P8" i="5"/>
  <c r="P130" i="5"/>
  <c r="P10" i="5"/>
  <c r="P160" i="5"/>
  <c r="P109" i="5"/>
  <c r="P54" i="5"/>
  <c r="P232" i="5"/>
  <c r="P226" i="5"/>
  <c r="P211" i="5"/>
  <c r="P202" i="5"/>
  <c r="P192" i="5"/>
  <c r="P186" i="5"/>
  <c r="P173" i="5"/>
  <c r="P169" i="5"/>
  <c r="P157" i="5"/>
  <c r="P153" i="5"/>
  <c r="P128" i="5"/>
  <c r="P117" i="5"/>
  <c r="P113" i="5"/>
  <c r="P102" i="5"/>
  <c r="P92" i="5"/>
  <c r="P78" i="5"/>
  <c r="P73" i="5"/>
  <c r="P52" i="5"/>
  <c r="P48" i="5"/>
  <c r="P42" i="5"/>
  <c r="P36" i="5"/>
  <c r="P33" i="5"/>
  <c r="P99" i="5"/>
  <c r="P80" i="5"/>
  <c r="P40" i="5"/>
  <c r="P170" i="5"/>
  <c r="P84" i="5"/>
  <c r="P28" i="5"/>
  <c r="P248" i="5"/>
  <c r="P236" i="5"/>
  <c r="P221" i="5"/>
  <c r="P217" i="5"/>
  <c r="P196" i="5"/>
  <c r="P181" i="5"/>
  <c r="P177" i="5"/>
  <c r="P168" i="5"/>
  <c r="P162" i="5"/>
  <c r="P152" i="5"/>
  <c r="P146" i="5"/>
  <c r="P141" i="5"/>
  <c r="P137" i="5"/>
  <c r="P132" i="5"/>
  <c r="P127" i="5"/>
  <c r="P122" i="5"/>
  <c r="P112" i="5"/>
  <c r="P91" i="5"/>
  <c r="P82" i="5"/>
  <c r="P67" i="5"/>
  <c r="P61" i="5"/>
  <c r="P21" i="5"/>
  <c r="P17" i="5"/>
  <c r="P20" i="5"/>
  <c r="P16" i="5"/>
  <c r="S7" i="5"/>
  <c r="P125" i="5"/>
  <c r="P7" i="5"/>
  <c r="P120" i="5"/>
  <c r="P105" i="5"/>
  <c r="P65" i="5"/>
  <c r="P25" i="5"/>
  <c r="P235" i="5"/>
  <c r="P230" i="5"/>
  <c r="P216" i="5"/>
  <c r="P210" i="5"/>
  <c r="P205" i="5"/>
  <c r="P201" i="5"/>
  <c r="P195" i="5"/>
  <c r="P176" i="5"/>
  <c r="P172" i="5"/>
  <c r="P156" i="5"/>
  <c r="P136" i="5"/>
  <c r="S137" i="5" s="1"/>
  <c r="P131" i="5"/>
  <c r="P116" i="5"/>
  <c r="P101" i="5"/>
  <c r="P97" i="5"/>
  <c r="P81" i="5"/>
  <c r="P77" i="5"/>
  <c r="P57" i="5"/>
  <c r="P45" i="5"/>
  <c r="S46" i="5" s="1"/>
  <c r="P32" i="5"/>
  <c r="P26" i="5"/>
  <c r="P213" i="5"/>
  <c r="P241" i="5"/>
  <c r="P229" i="5"/>
  <c r="P225" i="5"/>
  <c r="P220" i="5"/>
  <c r="P200" i="5"/>
  <c r="S201" i="5" s="1"/>
  <c r="P189" i="5"/>
  <c r="P185" i="5"/>
  <c r="P180" i="5"/>
  <c r="P171" i="5"/>
  <c r="P140" i="5"/>
  <c r="P110" i="5"/>
  <c r="P106" i="5"/>
  <c r="P100" i="5"/>
  <c r="S101" i="5" s="1"/>
  <c r="P96" i="5"/>
  <c r="P90" i="5"/>
  <c r="P85" i="5"/>
  <c r="P76" i="5"/>
  <c r="P72" i="5"/>
  <c r="P66" i="5"/>
  <c r="P60" i="5"/>
  <c r="P56" i="5"/>
  <c r="S57" i="5" s="1"/>
  <c r="P51" i="5"/>
  <c r="P44" i="5"/>
  <c r="P41" i="5"/>
  <c r="P35" i="5"/>
  <c r="P11" i="5"/>
  <c r="P121" i="5"/>
  <c r="P179" i="5"/>
  <c r="S180" i="5" s="1"/>
  <c r="P245" i="5"/>
  <c r="S246" i="5" s="1"/>
  <c r="P240" i="5"/>
  <c r="P234" i="5"/>
  <c r="P224" i="5"/>
  <c r="P219" i="5"/>
  <c r="P204" i="5"/>
  <c r="P199" i="5"/>
  <c r="P194" i="5"/>
  <c r="S195" i="5" s="1"/>
  <c r="P184" i="5"/>
  <c r="S185" i="5" s="1"/>
  <c r="P165" i="5"/>
  <c r="P161" i="5"/>
  <c r="P155" i="5"/>
  <c r="P149" i="5"/>
  <c r="P139" i="5"/>
  <c r="P115" i="5"/>
  <c r="P29" i="5"/>
  <c r="S30" i="5" s="1"/>
  <c r="P228" i="5"/>
  <c r="S229" i="5" s="1"/>
  <c r="P188" i="5"/>
  <c r="P34" i="5"/>
  <c r="P242" i="5"/>
  <c r="P183" i="5"/>
  <c r="P111" i="5"/>
  <c r="P47" i="5"/>
  <c r="P206" i="5"/>
  <c r="S207" i="5" s="1"/>
  <c r="P126" i="5"/>
  <c r="S127" i="5" s="1"/>
  <c r="P22" i="5"/>
  <c r="P159" i="5"/>
  <c r="P23" i="5"/>
  <c r="P86" i="5"/>
  <c r="P151" i="5"/>
  <c r="P158" i="5"/>
  <c r="P223" i="5"/>
  <c r="S224" i="5" s="1"/>
  <c r="P62" i="5"/>
  <c r="S63" i="5" s="1"/>
  <c r="P135" i="5"/>
  <c r="P249" i="5"/>
  <c r="P175" i="5"/>
  <c r="P103" i="5"/>
  <c r="P39" i="5"/>
  <c r="P198" i="5"/>
  <c r="P118" i="5"/>
  <c r="S119" i="5" s="1"/>
  <c r="P14" i="5"/>
  <c r="S15" i="5" s="1"/>
  <c r="P239" i="5"/>
  <c r="P166" i="5"/>
  <c r="P231" i="5"/>
  <c r="P70" i="5"/>
  <c r="P143" i="5"/>
  <c r="P150" i="5"/>
  <c r="P215" i="5"/>
  <c r="S216" i="5" s="1"/>
  <c r="P247" i="5"/>
  <c r="S248" i="5" s="1"/>
  <c r="P167" i="5"/>
  <c r="P95" i="5"/>
  <c r="P31" i="5"/>
  <c r="P190" i="5"/>
  <c r="P94" i="5"/>
  <c r="P87" i="5"/>
  <c r="P79" i="5"/>
  <c r="S80" i="5" s="1"/>
  <c r="P15" i="5"/>
  <c r="S16" i="5" s="1"/>
  <c r="P71" i="5"/>
  <c r="P246" i="5"/>
  <c r="P63" i="5"/>
  <c r="P46" i="5"/>
  <c r="P142" i="5"/>
  <c r="P238" i="5"/>
  <c r="P191" i="5"/>
  <c r="S192" i="5" s="1"/>
  <c r="P55" i="5"/>
  <c r="S56" i="5" s="1"/>
  <c r="P214" i="5"/>
  <c r="P134" i="5"/>
  <c r="P30" i="5"/>
  <c r="P119" i="5"/>
  <c r="S217" i="5" l="1"/>
  <c r="S126" i="5"/>
  <c r="R127" i="5" s="1"/>
  <c r="S83" i="5"/>
  <c r="S147" i="5"/>
  <c r="S222" i="5"/>
  <c r="S100" i="5"/>
  <c r="R101" i="5" s="1"/>
  <c r="S93" i="5"/>
  <c r="S174" i="5"/>
  <c r="S110" i="5"/>
  <c r="S38" i="5"/>
  <c r="S99" i="5"/>
  <c r="S183" i="5"/>
  <c r="S244" i="5"/>
  <c r="S14" i="5"/>
  <c r="R15" i="5" s="1"/>
  <c r="S94" i="5"/>
  <c r="S165" i="5"/>
  <c r="R217" i="5"/>
  <c r="S61" i="5"/>
  <c r="S221" i="5"/>
  <c r="S239" i="5"/>
  <c r="S88" i="5"/>
  <c r="S231" i="5"/>
  <c r="S120" i="5"/>
  <c r="R120" i="5" s="1"/>
  <c r="S150" i="5"/>
  <c r="S107" i="5"/>
  <c r="S47" i="5"/>
  <c r="R47" i="5" s="1"/>
  <c r="S184" i="5"/>
  <c r="R185" i="5" s="1"/>
  <c r="S58" i="5"/>
  <c r="R58" i="5" s="1"/>
  <c r="S71" i="5"/>
  <c r="S104" i="5"/>
  <c r="S157" i="5"/>
  <c r="S191" i="5"/>
  <c r="R192" i="5" s="1"/>
  <c r="S87" i="5"/>
  <c r="R16" i="5"/>
  <c r="S213" i="5"/>
  <c r="R7" i="5"/>
  <c r="S92" i="5"/>
  <c r="S153" i="5"/>
  <c r="S237" i="5"/>
  <c r="S34" i="5"/>
  <c r="S103" i="5"/>
  <c r="S187" i="5"/>
  <c r="S161" i="5"/>
  <c r="S50" i="5"/>
  <c r="S108" i="5"/>
  <c r="S194" i="5"/>
  <c r="S20" i="5"/>
  <c r="S25" i="5"/>
  <c r="S105" i="5"/>
  <c r="S175" i="5"/>
  <c r="S151" i="5"/>
  <c r="S199" i="5"/>
  <c r="S159" i="5"/>
  <c r="S48" i="5"/>
  <c r="S116" i="5"/>
  <c r="S200" i="5"/>
  <c r="S122" i="5"/>
  <c r="S67" i="5"/>
  <c r="S111" i="5"/>
  <c r="S226" i="5"/>
  <c r="S78" i="5"/>
  <c r="S173" i="5"/>
  <c r="S236" i="5"/>
  <c r="S17" i="5"/>
  <c r="R17" i="5" s="1"/>
  <c r="S113" i="5"/>
  <c r="S163" i="5"/>
  <c r="S249" i="5"/>
  <c r="R249" i="5" s="1"/>
  <c r="S37" i="5"/>
  <c r="S114" i="5"/>
  <c r="S193" i="5"/>
  <c r="R193" i="5" s="1"/>
  <c r="S11" i="5"/>
  <c r="S59" i="5"/>
  <c r="S124" i="5"/>
  <c r="S198" i="5"/>
  <c r="S76" i="5"/>
  <c r="S39" i="5"/>
  <c r="S109" i="5"/>
  <c r="S188" i="5"/>
  <c r="S143" i="5"/>
  <c r="S95" i="5"/>
  <c r="S144" i="5"/>
  <c r="S40" i="5"/>
  <c r="S152" i="5"/>
  <c r="S112" i="5"/>
  <c r="S140" i="5"/>
  <c r="S205" i="5"/>
  <c r="S12" i="5"/>
  <c r="S73" i="5"/>
  <c r="S141" i="5"/>
  <c r="S230" i="5"/>
  <c r="R230" i="5" s="1"/>
  <c r="S82" i="5"/>
  <c r="S177" i="5"/>
  <c r="S26" i="5"/>
  <c r="S21" i="5"/>
  <c r="S123" i="5"/>
  <c r="S169" i="5"/>
  <c r="S29" i="5"/>
  <c r="R30" i="5" s="1"/>
  <c r="S43" i="5"/>
  <c r="S118" i="5"/>
  <c r="S203" i="5"/>
  <c r="S131" i="5"/>
  <c r="S65" i="5"/>
  <c r="S130" i="5"/>
  <c r="S208" i="5"/>
  <c r="R208" i="5" s="1"/>
  <c r="S145" i="5"/>
  <c r="S44" i="5"/>
  <c r="S115" i="5"/>
  <c r="S204" i="5"/>
  <c r="S220" i="5"/>
  <c r="S36" i="5"/>
  <c r="S77" i="5"/>
  <c r="S172" i="5"/>
  <c r="S242" i="5"/>
  <c r="S98" i="5"/>
  <c r="S196" i="5"/>
  <c r="R196" i="5" s="1"/>
  <c r="S66" i="5"/>
  <c r="S18" i="5"/>
  <c r="S128" i="5"/>
  <c r="R128" i="5" s="1"/>
  <c r="S178" i="5"/>
  <c r="S85" i="5"/>
  <c r="S49" i="5"/>
  <c r="S129" i="5"/>
  <c r="S212" i="5"/>
  <c r="S9" i="5"/>
  <c r="S69" i="5"/>
  <c r="S134" i="5"/>
  <c r="S210" i="5"/>
  <c r="S54" i="5"/>
  <c r="S125" i="5"/>
  <c r="S209" i="5"/>
  <c r="S64" i="5"/>
  <c r="R64" i="5" s="1"/>
  <c r="S176" i="5"/>
  <c r="S243" i="5"/>
  <c r="S225" i="5"/>
  <c r="R225" i="5" s="1"/>
  <c r="S86" i="5"/>
  <c r="S181" i="5"/>
  <c r="R181" i="5" s="1"/>
  <c r="S214" i="5"/>
  <c r="S102" i="5"/>
  <c r="R102" i="5" s="1"/>
  <c r="S202" i="5"/>
  <c r="R202" i="5" s="1"/>
  <c r="S106" i="5"/>
  <c r="S22" i="5"/>
  <c r="S133" i="5"/>
  <c r="S182" i="5"/>
  <c r="S171" i="5"/>
  <c r="S53" i="5"/>
  <c r="S154" i="5"/>
  <c r="S227" i="5"/>
  <c r="S13" i="5"/>
  <c r="S75" i="5"/>
  <c r="S148" i="5"/>
  <c r="R148" i="5" s="1"/>
  <c r="S223" i="5"/>
  <c r="R223" i="5" s="1"/>
  <c r="S51" i="5"/>
  <c r="S60" i="5"/>
  <c r="S139" i="5"/>
  <c r="S219" i="5"/>
  <c r="S31" i="5"/>
  <c r="R31" i="5" s="1"/>
  <c r="S232" i="5"/>
  <c r="S247" i="5"/>
  <c r="R247" i="5" s="1"/>
  <c r="S96" i="5"/>
  <c r="S167" i="5"/>
  <c r="S250" i="5"/>
  <c r="S160" i="5"/>
  <c r="S35" i="5"/>
  <c r="S162" i="5"/>
  <c r="S235" i="5"/>
  <c r="S45" i="5"/>
  <c r="R46" i="5" s="1"/>
  <c r="S91" i="5"/>
  <c r="S186" i="5"/>
  <c r="R186" i="5" s="1"/>
  <c r="S27" i="5"/>
  <c r="S117" i="5"/>
  <c r="S206" i="5"/>
  <c r="R207" i="5" s="1"/>
  <c r="S121" i="5"/>
  <c r="S62" i="5"/>
  <c r="S138" i="5"/>
  <c r="S197" i="5"/>
  <c r="S41" i="5"/>
  <c r="S74" i="5"/>
  <c r="S158" i="5"/>
  <c r="S233" i="5"/>
  <c r="S28" i="5"/>
  <c r="S84" i="5"/>
  <c r="S164" i="5"/>
  <c r="S234" i="5"/>
  <c r="S146" i="5"/>
  <c r="S70" i="5"/>
  <c r="S149" i="5"/>
  <c r="S228" i="5"/>
  <c r="R57" i="5"/>
  <c r="S32" i="5"/>
  <c r="S24" i="5"/>
  <c r="S156" i="5"/>
  <c r="S42" i="5"/>
  <c r="S135" i="5"/>
  <c r="S215" i="5"/>
  <c r="R216" i="5" s="1"/>
  <c r="S72" i="5"/>
  <c r="S168" i="5"/>
  <c r="S240" i="5"/>
  <c r="S136" i="5"/>
  <c r="R137" i="5" s="1"/>
  <c r="S23" i="5"/>
  <c r="S189" i="5"/>
  <c r="S166" i="5"/>
  <c r="S241" i="5"/>
  <c r="S52" i="5"/>
  <c r="S97" i="5"/>
  <c r="S190" i="5"/>
  <c r="S33" i="5"/>
  <c r="S132" i="5"/>
  <c r="S211" i="5"/>
  <c r="S8" i="5"/>
  <c r="R8" i="5" s="1"/>
  <c r="S68" i="5"/>
  <c r="S142" i="5"/>
  <c r="S218" i="5"/>
  <c r="S81" i="5"/>
  <c r="R81" i="5" s="1"/>
  <c r="S79" i="5"/>
  <c r="R80" i="5" s="1"/>
  <c r="S170" i="5"/>
  <c r="S55" i="5"/>
  <c r="S19" i="5"/>
  <c r="S89" i="5"/>
  <c r="S179" i="5"/>
  <c r="R180" i="5" s="1"/>
  <c r="S238" i="5"/>
  <c r="S10" i="5"/>
  <c r="S90" i="5"/>
  <c r="S155" i="5"/>
  <c r="S245" i="5"/>
  <c r="R84" i="5" l="1"/>
  <c r="R218" i="5"/>
  <c r="R245" i="5"/>
  <c r="R228" i="5"/>
  <c r="R94" i="5"/>
  <c r="R222" i="5"/>
  <c r="R174" i="5"/>
  <c r="R100" i="5"/>
  <c r="R145" i="5"/>
  <c r="R183" i="5"/>
  <c r="R111" i="5"/>
  <c r="R99" i="5"/>
  <c r="R175" i="5"/>
  <c r="R39" i="5"/>
  <c r="R38" i="5"/>
  <c r="R166" i="5"/>
  <c r="R71" i="5"/>
  <c r="R95" i="5"/>
  <c r="R14" i="5"/>
  <c r="R152" i="5"/>
  <c r="R60" i="5"/>
  <c r="R55" i="5"/>
  <c r="R214" i="5"/>
  <c r="R184" i="5"/>
  <c r="R86" i="5"/>
  <c r="R62" i="5"/>
  <c r="R18" i="5"/>
  <c r="R104" i="5"/>
  <c r="R204" i="5"/>
  <c r="R112" i="5"/>
  <c r="R162" i="5"/>
  <c r="R121" i="5"/>
  <c r="R92" i="5"/>
  <c r="R59" i="5"/>
  <c r="R87" i="5"/>
  <c r="R107" i="5"/>
  <c r="R177" i="5"/>
  <c r="R53" i="5"/>
  <c r="R203" i="5"/>
  <c r="R97" i="5"/>
  <c r="R168" i="5"/>
  <c r="R232" i="5"/>
  <c r="R35" i="5"/>
  <c r="R160" i="5"/>
  <c r="R108" i="5"/>
  <c r="R41" i="5"/>
  <c r="R113" i="5"/>
  <c r="R122" i="5"/>
  <c r="R50" i="5"/>
  <c r="R190" i="5"/>
  <c r="R32" i="5"/>
  <c r="R154" i="5"/>
  <c r="R69" i="5"/>
  <c r="R220" i="5"/>
  <c r="R200" i="5"/>
  <c r="R157" i="5"/>
  <c r="R238" i="5"/>
  <c r="R164" i="5"/>
  <c r="R21" i="5"/>
  <c r="R88" i="5"/>
  <c r="R115" i="5"/>
  <c r="R142" i="5"/>
  <c r="R235" i="5"/>
  <c r="R56" i="5"/>
  <c r="R212" i="5"/>
  <c r="R173" i="5"/>
  <c r="R48" i="5"/>
  <c r="R248" i="5"/>
  <c r="R10" i="5"/>
  <c r="R51" i="5"/>
  <c r="R206" i="5"/>
  <c r="R158" i="5"/>
  <c r="R74" i="5"/>
  <c r="R250" i="5"/>
  <c r="R22" i="5"/>
  <c r="R243" i="5"/>
  <c r="R124" i="5"/>
  <c r="R171" i="5"/>
  <c r="R131" i="5"/>
  <c r="R52" i="5"/>
  <c r="R133" i="5"/>
  <c r="R118" i="5"/>
  <c r="R188" i="5"/>
  <c r="R105" i="5"/>
  <c r="R165" i="5"/>
  <c r="R13" i="5"/>
  <c r="R106" i="5"/>
  <c r="R176" i="5"/>
  <c r="R178" i="5"/>
  <c r="R77" i="5"/>
  <c r="R144" i="5"/>
  <c r="R199" i="5"/>
  <c r="R201" i="5"/>
  <c r="R72" i="5"/>
  <c r="R189" i="5"/>
  <c r="R134" i="5"/>
  <c r="R36" i="5"/>
  <c r="R151" i="5"/>
  <c r="R194" i="5"/>
  <c r="R153" i="5"/>
  <c r="R241" i="5"/>
  <c r="R240" i="5"/>
  <c r="R119" i="5"/>
  <c r="R90" i="5"/>
  <c r="R89" i="5"/>
  <c r="R215" i="5"/>
  <c r="R150" i="5"/>
  <c r="R149" i="5"/>
  <c r="R117" i="5"/>
  <c r="R182" i="5"/>
  <c r="R246" i="5"/>
  <c r="R9" i="5"/>
  <c r="R67" i="5"/>
  <c r="R66" i="5"/>
  <c r="R45" i="5"/>
  <c r="R44" i="5"/>
  <c r="R40" i="5"/>
  <c r="R161" i="5"/>
  <c r="R213" i="5"/>
  <c r="R233" i="5"/>
  <c r="R116" i="5"/>
  <c r="R19" i="5"/>
  <c r="R70" i="5"/>
  <c r="R29" i="5"/>
  <c r="R141" i="5"/>
  <c r="R109" i="5"/>
  <c r="R114" i="5"/>
  <c r="R78" i="5"/>
  <c r="R159" i="5"/>
  <c r="R187" i="5"/>
  <c r="R231" i="5"/>
  <c r="R110" i="5"/>
  <c r="R12" i="5"/>
  <c r="R11" i="5"/>
  <c r="R130" i="5"/>
  <c r="R129" i="5"/>
  <c r="R224" i="5"/>
  <c r="R37" i="5"/>
  <c r="R226" i="5"/>
  <c r="R103" i="5"/>
  <c r="R93" i="5"/>
  <c r="R179" i="5"/>
  <c r="R83" i="5"/>
  <c r="R82" i="5"/>
  <c r="R211" i="5"/>
  <c r="R146" i="5"/>
  <c r="R167" i="5"/>
  <c r="R98" i="5"/>
  <c r="R73" i="5"/>
  <c r="R170" i="5"/>
  <c r="R132" i="5"/>
  <c r="R23" i="5"/>
  <c r="R156" i="5"/>
  <c r="R147" i="5"/>
  <c r="R234" i="5"/>
  <c r="R197" i="5"/>
  <c r="R91" i="5"/>
  <c r="R96" i="5"/>
  <c r="R229" i="5"/>
  <c r="R126" i="5"/>
  <c r="R125" i="5"/>
  <c r="R49" i="5"/>
  <c r="R242" i="5"/>
  <c r="R244" i="5"/>
  <c r="R123" i="5"/>
  <c r="R143" i="5"/>
  <c r="R76" i="5"/>
  <c r="R26" i="5"/>
  <c r="R25" i="5"/>
  <c r="R140" i="5"/>
  <c r="R195" i="5"/>
  <c r="R236" i="5"/>
  <c r="R136" i="5"/>
  <c r="R135" i="5"/>
  <c r="R28" i="5"/>
  <c r="R27" i="5"/>
  <c r="R191" i="5"/>
  <c r="R43" i="5"/>
  <c r="R42" i="5"/>
  <c r="R75" i="5"/>
  <c r="R210" i="5"/>
  <c r="R209" i="5"/>
  <c r="R169" i="5"/>
  <c r="R155" i="5"/>
  <c r="R79" i="5"/>
  <c r="R34" i="5"/>
  <c r="R33" i="5"/>
  <c r="R24" i="5"/>
  <c r="R139" i="5"/>
  <c r="R138" i="5"/>
  <c r="R219" i="5"/>
  <c r="R227" i="5"/>
  <c r="R54" i="5"/>
  <c r="R85" i="5"/>
  <c r="R172" i="5"/>
  <c r="R63" i="5"/>
  <c r="R65" i="5"/>
  <c r="R205" i="5"/>
  <c r="R61" i="5"/>
  <c r="R198" i="5"/>
  <c r="R163" i="5"/>
  <c r="R68" i="5"/>
  <c r="R239" i="5"/>
  <c r="R20" i="5"/>
  <c r="R237" i="5"/>
  <c r="R221" i="5"/>
  <c r="D2" i="5" l="1"/>
  <c r="G16" i="8" l="1"/>
  <c r="H16" i="8" s="1"/>
  <c r="I16" i="8" s="1"/>
  <c r="G20" i="8"/>
  <c r="H20" i="8" s="1"/>
  <c r="I20" i="8" s="1"/>
  <c r="J20" i="8" s="1"/>
  <c r="G18" i="8"/>
  <c r="H18" i="8" s="1"/>
  <c r="I18" i="8" s="1"/>
  <c r="J18" i="8" s="1"/>
  <c r="F7" i="1"/>
  <c r="F5" i="8" s="1"/>
  <c r="G46" i="8"/>
  <c r="H46" i="8" s="1"/>
  <c r="I46" i="8" s="1"/>
  <c r="J46" i="8" s="1"/>
  <c r="G44" i="8"/>
  <c r="H44" i="8" s="1"/>
  <c r="I44" i="8" s="1"/>
  <c r="J44" i="8" s="1"/>
  <c r="G42" i="8"/>
  <c r="H42" i="8" s="1"/>
  <c r="I42" i="8" s="1"/>
  <c r="N73" i="1"/>
  <c r="O73" i="1" s="1"/>
  <c r="P73" i="1" s="1"/>
  <c r="N75" i="1"/>
  <c r="O75" i="1" s="1"/>
  <c r="P75" i="1" s="1"/>
  <c r="Q75" i="1" s="1"/>
  <c r="N57" i="1"/>
  <c r="O57" i="1" s="1"/>
  <c r="E53" i="1"/>
  <c r="N53" i="1"/>
  <c r="O53" i="1" s="1"/>
  <c r="P53" i="1" s="1"/>
  <c r="N55" i="1"/>
  <c r="O55" i="1" s="1"/>
  <c r="N77" i="1"/>
  <c r="O77" i="1" s="1"/>
  <c r="P77" i="1" s="1"/>
  <c r="Q77" i="1" s="1"/>
  <c r="J42" i="8" l="1"/>
  <c r="J57" i="8" s="1"/>
  <c r="P55" i="1"/>
  <c r="Q55" i="1" s="1"/>
  <c r="G48" i="8"/>
  <c r="H48" i="8" s="1"/>
  <c r="I48" i="8" s="1"/>
  <c r="J48" i="8" s="1"/>
  <c r="G22" i="8"/>
  <c r="H22" i="8" s="1"/>
  <c r="I22" i="8" s="1"/>
  <c r="J22" i="8" s="1"/>
  <c r="P57" i="1"/>
  <c r="Q57" i="1" s="1"/>
  <c r="J16" i="8"/>
  <c r="J31" i="8" s="1"/>
  <c r="N59" i="1"/>
  <c r="O59" i="1" s="1"/>
  <c r="N79" i="1"/>
  <c r="O79" i="1" s="1"/>
  <c r="P79" i="1" s="1"/>
  <c r="Q79" i="1" s="1"/>
  <c r="Q86" i="1" a="1"/>
  <c r="Q73" i="1"/>
  <c r="Q53" i="1"/>
  <c r="Q86" i="1" l="1"/>
  <c r="J55" i="8"/>
  <c r="J56" i="8" s="1"/>
  <c r="P59" i="1"/>
  <c r="Q59" i="1" s="1"/>
  <c r="J29" i="8"/>
  <c r="J30" i="8" s="1"/>
  <c r="F6" i="8" s="1"/>
  <c r="Q66" i="1" a="1"/>
  <c r="Q66" i="1" l="1"/>
  <c r="F5" i="1" s="1"/>
  <c r="F3" i="8" s="1"/>
  <c r="F6" i="1"/>
  <c r="F4" i="8" s="1"/>
</calcChain>
</file>

<file path=xl/sharedStrings.xml><?xml version="1.0" encoding="utf-8"?>
<sst xmlns="http://schemas.openxmlformats.org/spreadsheetml/2006/main" count="648" uniqueCount="234">
  <si>
    <t>Cross Chasm</t>
  </si>
  <si>
    <t>Investment</t>
  </si>
  <si>
    <t>dec</t>
  </si>
  <si>
    <t>No</t>
  </si>
  <si>
    <t>Early Stage</t>
  </si>
  <si>
    <t>Niche Only</t>
  </si>
  <si>
    <t>Mass Mkt</t>
  </si>
  <si>
    <t>TAM</t>
    <phoneticPr fontId="0" type="noConversion"/>
  </si>
  <si>
    <t>Description</t>
  </si>
  <si>
    <t>Value</t>
  </si>
  <si>
    <t>Unit</t>
  </si>
  <si>
    <t>Name</t>
  </si>
  <si>
    <t>Current</t>
  </si>
  <si>
    <t>Index</t>
  </si>
  <si>
    <t>Low</t>
  </si>
  <si>
    <t>Base</t>
  </si>
  <si>
    <t>High</t>
  </si>
  <si>
    <t>Calculations</t>
  </si>
  <si>
    <t>$mm</t>
  </si>
  <si>
    <t>%</t>
  </si>
  <si>
    <t>skip</t>
  </si>
  <si>
    <t>PreMoneyValue</t>
  </si>
  <si>
    <t>InitialRoundSize</t>
  </si>
  <si>
    <t>v1</t>
    <phoneticPr fontId="0" type="noConversion"/>
  </si>
  <si>
    <t>CrossChasm</t>
  </si>
  <si>
    <t>Dilution</t>
  </si>
  <si>
    <t>Chance of Commercial Success</t>
  </si>
  <si>
    <t>Exit Valuation</t>
  </si>
  <si>
    <t>Input Table</t>
  </si>
  <si>
    <t>Ownership %</t>
  </si>
  <si>
    <t>Initial Investment</t>
  </si>
  <si>
    <t>Initial round size</t>
  </si>
  <si>
    <t>Post-money valuation</t>
  </si>
  <si>
    <t>Initial Ownership</t>
  </si>
  <si>
    <t>Override</t>
  </si>
  <si>
    <t>Source / Notes</t>
  </si>
  <si>
    <t>Financing Terms</t>
  </si>
  <si>
    <t>Pre-money valuation</t>
  </si>
  <si>
    <t>EarlySuccess</t>
  </si>
  <si>
    <t>MainstreamSuccess</t>
  </si>
  <si>
    <t>Output Table</t>
  </si>
  <si>
    <t>King</t>
  </si>
  <si>
    <t>Prince</t>
  </si>
  <si>
    <t>Niche Dilution</t>
  </si>
  <si>
    <t>NicheDilution</t>
  </si>
  <si>
    <t>NicheMultDisc</t>
    <phoneticPr fontId="0" type="noConversion"/>
  </si>
  <si>
    <t>Serf</t>
  </si>
  <si>
    <t>PW</t>
  </si>
  <si>
    <t>Niche Exit Mult Disc</t>
  </si>
  <si>
    <t>No cross</t>
  </si>
  <si>
    <t>Revenue</t>
  </si>
  <si>
    <t>Prob</t>
  </si>
  <si>
    <t>Exit</t>
  </si>
  <si>
    <t>dec</t>
    <phoneticPr fontId="0" type="noConversion"/>
  </si>
  <si>
    <t>Exit Multiple (Sales)</t>
  </si>
  <si>
    <t>SalesMult</t>
  </si>
  <si>
    <t>Initial Assessments</t>
  </si>
  <si>
    <t>Market</t>
  </si>
  <si>
    <t>Product</t>
  </si>
  <si>
    <t>Team</t>
  </si>
  <si>
    <t>Financial</t>
  </si>
  <si>
    <t>Total</t>
  </si>
  <si>
    <t>Mass Market</t>
  </si>
  <si>
    <t>King / Gorrilla Chance</t>
  </si>
  <si>
    <t>KingChance</t>
  </si>
  <si>
    <t>Prince / Monkey Chance</t>
  </si>
  <si>
    <t>PrinceChance</t>
  </si>
  <si>
    <t>Market Share</t>
  </si>
  <si>
    <t>King Market Share</t>
  </si>
  <si>
    <t>KingMktShare</t>
  </si>
  <si>
    <t>Prince Market Share</t>
  </si>
  <si>
    <t>PrinceMktShare</t>
  </si>
  <si>
    <t>Serf Market Share</t>
  </si>
  <si>
    <t>SerfMktShare</t>
  </si>
  <si>
    <t>MOIC</t>
  </si>
  <si>
    <t>Invesment Amount</t>
  </si>
  <si>
    <t>Pre-money Valuation</t>
  </si>
  <si>
    <t>Investment size</t>
  </si>
  <si>
    <t>$m/yr</t>
  </si>
  <si>
    <t>Total TAM</t>
  </si>
  <si>
    <t>Values as of EOY 2024</t>
  </si>
  <si>
    <t>Total Market</t>
  </si>
  <si>
    <t>SweetspotTAM</t>
  </si>
  <si>
    <t>TotalTAM</t>
  </si>
  <si>
    <t>NicheSize</t>
  </si>
  <si>
    <t>Niche Market Share</t>
  </si>
  <si>
    <t>NicheMarketShare</t>
  </si>
  <si>
    <t>Niche Size - of sweetspot TAM</t>
  </si>
  <si>
    <t>Total Addressable Market 2024</t>
  </si>
  <si>
    <t>Total Mkt: PWMOIC</t>
  </si>
  <si>
    <t>Total Market TAM</t>
  </si>
  <si>
    <t>Mean</t>
  </si>
  <si>
    <t>INPUT</t>
  </si>
  <si>
    <t>VALUE</t>
  </si>
  <si>
    <t>Factor</t>
  </si>
  <si>
    <t>Units</t>
  </si>
  <si>
    <t>Med</t>
  </si>
  <si>
    <t>Swing</t>
  </si>
  <si>
    <t>Swing^2</t>
  </si>
  <si>
    <t>Ten</t>
  </si>
  <si>
    <t>Fifty</t>
  </si>
  <si>
    <t>Ninety</t>
  </si>
  <si>
    <t>Combined Uncertainty</t>
  </si>
  <si>
    <t>Probability</t>
  </si>
  <si>
    <t>Cume Probability</t>
  </si>
  <si>
    <t>DISTRIBUTION</t>
  </si>
  <si>
    <t>Outputs</t>
  </si>
  <si>
    <t>Output 5</t>
  </si>
  <si>
    <t>Output 6</t>
  </si>
  <si>
    <t>Output 7</t>
  </si>
  <si>
    <t>Output 8</t>
  </si>
  <si>
    <t>Output 9</t>
  </si>
  <si>
    <t>Output 10</t>
  </si>
  <si>
    <t>Select Output</t>
  </si>
  <si>
    <t>Combined Unc</t>
  </si>
  <si>
    <t>Output: Total Mkt: PWMOIC</t>
  </si>
  <si>
    <t>Output: Total Market TAM</t>
  </si>
  <si>
    <t>Range Name</t>
  </si>
  <si>
    <t>Honest Joe</t>
  </si>
  <si>
    <t>Typically these are visionary customers who are willing to take risks, be contrarian, avoid the heard, make intuitive decisions, and seek revolutionary advances.</t>
  </si>
  <si>
    <t>Technical capabilities to build the product</t>
  </si>
  <si>
    <t>Do not run out of money</t>
  </si>
  <si>
    <t>Plausible business model</t>
  </si>
  <si>
    <t xml:space="preserve">Critical mass in niche (focused on Software companies initially) </t>
  </si>
  <si>
    <t xml:space="preserve">Develop the Whole Product, which includes whatever customers need in order to achieve their compelling reason to buy. </t>
  </si>
  <si>
    <t>The whole product varies meaningfully by customer segment. Only the whole product for the mass market niche used to cross the chasm is required.</t>
  </si>
  <si>
    <t>Product scales without breaking.</t>
  </si>
  <si>
    <t>Able to fill key senior positions with high quality people</t>
  </si>
  <si>
    <t>Healthy company culture</t>
  </si>
  <si>
    <t>Able to transition from one niche to multiple niches</t>
  </si>
  <si>
    <t>Marquee customers required to make transition</t>
  </si>
  <si>
    <t>ARR &gt; $50m</t>
  </si>
  <si>
    <t>Able to scale to 1000s of customers and maintain high levels of customer service</t>
  </si>
  <si>
    <t>Able to continue to innovate and stay ahead of the competition</t>
  </si>
  <si>
    <t xml:space="preserve">Able to manage a large team </t>
  </si>
  <si>
    <t>Or, bring on people who can manage a large team</t>
  </si>
  <si>
    <t>Strong board</t>
  </si>
  <si>
    <t>No blow ups</t>
  </si>
  <si>
    <t>Able to raise adequate growth capital</t>
  </si>
  <si>
    <t>Profitability</t>
  </si>
  <si>
    <t xml:space="preserve">    ARR &gt;= $20M </t>
  </si>
  <si>
    <t>Timely topic</t>
  </si>
  <si>
    <t>Truthy may face regulatory challenges once this really takes off as a hiring practice</t>
  </si>
  <si>
    <t>This is a hot area with potential regulatory changes that might have significant product implications</t>
  </si>
  <si>
    <t>But, the biggest risk factors seem to have been figured out in crossing the chasm</t>
  </si>
  <si>
    <t>The founders are more mature than the average with strong relevant experience for a growth company</t>
  </si>
  <si>
    <t>Strong mission can be great for motivation, but can also attract people with strong, differing points of view which make alignment challenging</t>
  </si>
  <si>
    <t>If market, product and team success has been achieved, this is such a big idea that the team shouldn't have any trouble raising funds</t>
  </si>
  <si>
    <t xml:space="preserve">PWMOIC given cross chasm success --&gt; </t>
  </si>
  <si>
    <t>Target Mkt: PWMOIC given Cross Chasm Success</t>
  </si>
  <si>
    <t>Output: Target Mkt: PWMOIC given Cross Chasm Success</t>
  </si>
  <si>
    <t>Mean PWMOIC</t>
  </si>
  <si>
    <t>Adjusted Cume</t>
  </si>
  <si>
    <t>PWMOIC given market success --&gt;</t>
  </si>
  <si>
    <t>Probability of Cross Chasm Success --&gt;</t>
  </si>
  <si>
    <t>Probability of Mass Market Success --&gt;</t>
  </si>
  <si>
    <t>Probability of failing to cross the chasm --&gt;</t>
  </si>
  <si>
    <t>Probability of failing at early stage --&gt;</t>
  </si>
  <si>
    <t>Segment</t>
  </si>
  <si>
    <t>Annual Revenue</t>
  </si>
  <si>
    <t>In Sweet Spot</t>
  </si>
  <si>
    <t>Sweet Spot TAM</t>
  </si>
  <si>
    <t>Cume Cost of Crossing Chasm</t>
  </si>
  <si>
    <t>Probability of failing to cross chasm</t>
  </si>
  <si>
    <t>Cume Cost of Early Stage Failure</t>
  </si>
  <si>
    <t>Probability of failing at early stage</t>
  </si>
  <si>
    <t>Sweet Spot</t>
  </si>
  <si>
    <t>Copyright © 2018, Clint Korver, Somik Raha, Ulu Ventures</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</si>
  <si>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</si>
  <si>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</si>
  <si>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</si>
  <si>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MIT License</t>
  </si>
  <si>
    <t>Sweetspot TAM</t>
  </si>
  <si>
    <t>tam_sweetSpot</t>
  </si>
  <si>
    <t>tam_total</t>
  </si>
  <si>
    <t>Market mapping session Febuary 13, 2019</t>
  </si>
  <si>
    <t>Standard</t>
  </si>
  <si>
    <t>Standard for seed</t>
  </si>
  <si>
    <t>Typical market 2/ 10 major players</t>
  </si>
  <si>
    <t>1 king, as likely as anyone to be king, but not more likely</t>
  </si>
  <si>
    <t>2 princes, as likely as anyone to be a prince, but not more likely</t>
  </si>
  <si>
    <t>1 king * 35% = 35%</t>
  </si>
  <si>
    <t>3 princes * 10% = 30%</t>
  </si>
  <si>
    <t>6 serfs * 3% = 18%</t>
  </si>
  <si>
    <t>Assessed so that Niche revenue seems reasonable</t>
  </si>
  <si>
    <t>Investment amount doesn't change PWMOIC</t>
  </si>
  <si>
    <t>Price is uncertainty for lead investor. Not for others</t>
  </si>
  <si>
    <t>Move from early adopter customers to mainstream customers</t>
  </si>
  <si>
    <t>Easy to identify companies feeling the pain based on public scandals on ethics</t>
  </si>
  <si>
    <t>Question as to how much consulting / service will be required to rollout product for a mainstream customer</t>
  </si>
  <si>
    <t>Individual users may have personal behaviors / beliefs that make for challenging adoption at scale</t>
  </si>
  <si>
    <t>Founding team has experience working together</t>
  </si>
  <si>
    <t>Founders open to direction from people with more experience</t>
  </si>
  <si>
    <t>Strong mission should make it easier to recruit</t>
  </si>
  <si>
    <t>Founding team has deep domain expertise &amp; humility</t>
  </si>
  <si>
    <t>Proven gross margins - strong core unit economics</t>
  </si>
  <si>
    <t>Robust business model as long as customer servicing costs manageable</t>
  </si>
  <si>
    <t>Able to raise sufficient capital - most likely a Series A &amp;  B</t>
  </si>
  <si>
    <t>Strong market, team, biz model. Behavior change may scare investors</t>
  </si>
  <si>
    <t>Standard assessment</t>
  </si>
  <si>
    <t>Criteria for success</t>
  </si>
  <si>
    <t>assessment</t>
  </si>
  <si>
    <t>Supporting proof points / concerns</t>
  </si>
  <si>
    <t>Customers really use it</t>
  </si>
  <si>
    <t>MVP launched</t>
  </si>
  <si>
    <t>40 users</t>
  </si>
  <si>
    <t>Too early to call anyone an "active user"</t>
  </si>
  <si>
    <t>Working Minimum Viable Product</t>
  </si>
  <si>
    <t>Clear compelling reasons to buy - solid need, plausible value prop</t>
  </si>
  <si>
    <t>&gt; $100k ARR</t>
  </si>
  <si>
    <t>3 free POCs</t>
  </si>
  <si>
    <t>$300k in ARR if all POCs convert</t>
  </si>
  <si>
    <t>$1m+ sales pipeline, but unclear how qualified</t>
  </si>
  <si>
    <t>Team / market fit - have the background experience to plausibly identify and solve problem</t>
  </si>
  <si>
    <t>Team / stage fit - able to be scrappy in managing cash, finding customers, recruiting team members with few if any proof points</t>
  </si>
  <si>
    <t xml:space="preserve">Deep domain expertise and compelling explanation of the problem and why no one has been able to solve the problem yet. </t>
  </si>
  <si>
    <t xml:space="preserve">Limited startup experience, but have been able to get three POCs with no funding and limited product. </t>
  </si>
  <si>
    <t>Raising 24 months of capital</t>
  </si>
  <si>
    <t>Initial plan shows accomplishing fundable milestones in 12 months. So good buffer.</t>
  </si>
  <si>
    <t>Standard SaaS business model</t>
  </si>
  <si>
    <t>Standard SaaS Multiples</t>
  </si>
  <si>
    <t>Sweet Spot Mkt: PWMOIC</t>
  </si>
  <si>
    <t>Sweet Spot Market</t>
  </si>
  <si>
    <t>Future Dilution</t>
  </si>
  <si>
    <t>Ownership | Mass Mkt Exit</t>
  </si>
  <si>
    <t>Ownership | Niche Exit</t>
  </si>
  <si>
    <t>Niche TAM</t>
  </si>
  <si>
    <t>NicheTAM</t>
  </si>
  <si>
    <t xml:space="preserve">Life Stage Assessments </t>
  </si>
  <si>
    <t>Output: Sweet Spot Mkt: PWMOIC</t>
  </si>
  <si>
    <t>VentureDeal: Series Seed</t>
  </si>
  <si>
    <t>Company Name</t>
  </si>
  <si>
    <t>Awesome Company</t>
  </si>
  <si>
    <t xml:space="preserve">Remainder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</si>
</sst>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43" formatCode="_(* #,##0.00_);_(* \(#,##0.00\);_(* &quot;-&quot;??_);_(@_)"/>
    <numFmt numFmtId="164" formatCode="_(* #,##0.0_);_(* \(#,##0.0\);_(* &quot;-&quot;??_);_(@_)"/>
    <numFmt numFmtId="165" formatCode="_(* #,##0_);_(* \(#,##0\);_(* &quot;-&quot;??_);_(@_)"/>
    <numFmt numFmtId="166" formatCode="0.0"/>
    <numFmt numFmtId="167" formatCode="0.0%"/>
    <numFmt numFmtId="168" formatCode="&quot;$&quot;#,##0"/>
  </numFmts>
  <fonts count="45" x14ac:knownFonts="1">
    <font>
      <sz val="10"/>
      <name val="Geneva"/>
    </font>
    <font>
      <sz val="11"/>
      <color theme="1"/>
      <name val="Calibri"/>
      <family val="2"/>
      <scheme val="minor"/>
    </font>
    <font>
      <sz val="11"/>
      <color theme="1"/>
      <name val="Calibri"/>
      <family val="2"/>
      <scheme val="minor"/>
    </font>
    <font>
      <b/>
      <sz val="10"/>
      <name val="Geneva"/>
      <family val="2"/>
    </font>
    <font>
      <i/>
      <sz val="10"/>
      <name val="Geneva"/>
      <family val="2"/>
    </font>
    <font>
      <sz val="10"/>
      <name val="Geneva"/>
      <family val="2"/>
    </font>
    <font>
      <b/>
      <sz val="12"/>
      <name val="Geneva"/>
      <family val="2"/>
    </font>
    <font>
      <sz val="12"/>
      <name val="Geneva"/>
      <family val="2"/>
    </font>
    <font>
      <b/>
      <u/>
      <sz val="10"/>
      <name val="Geneva"/>
      <family val="2"/>
    </font>
    <font>
      <b/>
      <u/>
      <sz val="12"/>
      <name val="Geneva"/>
      <family val="2"/>
    </font>
    <font>
      <u/>
      <sz val="12"/>
      <name val="Geneva"/>
      <family val="2"/>
    </font>
    <font>
      <u/>
      <sz val="10"/>
      <name val="Arial"/>
      <family val="2"/>
    </font>
    <font>
      <sz val="10"/>
      <name val="Geneva"/>
      <family val="2"/>
    </font>
    <font>
      <u/>
      <sz val="10"/>
      <name val="Geneva"/>
      <family val="2"/>
    </font>
    <font>
      <sz val="11"/>
      <color indexed="8"/>
      <name val="Calibri"/>
      <family val="2"/>
    </font>
    <font>
      <sz val="11"/>
      <color indexed="9"/>
      <name val="Calibri"/>
      <family val="2"/>
    </font>
    <font>
      <sz val="11"/>
      <color indexed="20"/>
      <name val="Calibri"/>
      <family val="2"/>
    </font>
    <font>
      <b/>
      <sz val="11"/>
      <color indexed="10"/>
      <name val="Calibri"/>
      <family val="2"/>
    </font>
    <font>
      <b/>
      <sz val="11"/>
      <color indexed="9"/>
      <name val="Calibri"/>
      <family val="2"/>
    </font>
    <font>
      <i/>
      <sz val="11"/>
      <color indexed="23"/>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10"/>
      <name val="Calibri"/>
      <family val="2"/>
    </font>
    <font>
      <sz val="11"/>
      <color indexed="19"/>
      <name val="Calibri"/>
      <family val="2"/>
    </font>
    <font>
      <b/>
      <sz val="11"/>
      <color indexed="63"/>
      <name val="Calibri"/>
      <family val="2"/>
    </font>
    <font>
      <b/>
      <sz val="18"/>
      <color indexed="62"/>
      <name val="Cambria"/>
      <family val="2"/>
    </font>
    <font>
      <b/>
      <sz val="11"/>
      <color indexed="8"/>
      <name val="Calibri"/>
      <family val="2"/>
    </font>
    <font>
      <sz val="11"/>
      <color indexed="10"/>
      <name val="Calibri"/>
      <family val="2"/>
    </font>
    <font>
      <sz val="10"/>
      <color indexed="8"/>
      <name val="Helvetica"/>
      <family val="2"/>
    </font>
    <font>
      <u/>
      <sz val="10"/>
      <color theme="10"/>
      <name val="Geneva"/>
      <family val="2"/>
    </font>
    <font>
      <u/>
      <sz val="10"/>
      <color theme="11"/>
      <name val="Geneva"/>
      <family val="2"/>
    </font>
    <font>
      <sz val="11"/>
      <color rgb="FF000000"/>
      <name val="Arial"/>
      <family val="2"/>
    </font>
    <font>
      <sz val="11"/>
      <color indexed="8"/>
      <name val="Calibri"/>
      <family val="2"/>
      <scheme val="minor"/>
    </font>
    <font>
      <sz val="14"/>
      <name val="Geneva"/>
      <family val="2"/>
    </font>
    <font>
      <b/>
      <i/>
      <sz val="10"/>
      <name val="Geneva"/>
      <family val="2"/>
    </font>
    <font>
      <sz val="16"/>
      <color rgb="FF000000"/>
      <name val="Apple Chancery"/>
      <family val="4"/>
    </font>
    <font>
      <sz val="10.5"/>
      <color rgb="FF333333"/>
      <name val="Arial"/>
      <family val="2"/>
    </font>
    <font>
      <i/>
      <sz val="11"/>
      <color rgb="FF000000"/>
      <name val="Arial"/>
      <family val="2"/>
    </font>
    <font>
      <b/>
      <sz val="14"/>
      <name val="Geneva"/>
      <family val="2"/>
    </font>
    <font>
      <sz val="14"/>
      <color rgb="FF444444"/>
      <name val="Arial"/>
      <family val="2"/>
    </font>
    <font>
      <b/>
      <sz val="18"/>
      <color rgb="FF444444"/>
      <name val="Arial"/>
      <family val="2"/>
    </font>
    <font>
      <sz val="20"/>
      <color rgb="FF000000"/>
      <name val="Apple Chancery"/>
      <family val="4"/>
    </font>
  </fonts>
  <fills count="23">
    <fill>
      <patternFill patternType="none"/>
    </fill>
    <fill>
      <patternFill patternType="gray125"/>
    </fill>
    <fill>
      <patternFill patternType="solid">
        <fgColor indexed="23"/>
        <bgColor indexed="64"/>
      </patternFill>
    </fill>
    <fill>
      <patternFill patternType="solid">
        <fgColor indexed="44"/>
      </patternFill>
    </fill>
    <fill>
      <patternFill patternType="solid">
        <fgColor indexed="29"/>
      </patternFill>
    </fill>
    <fill>
      <patternFill patternType="solid">
        <fgColor indexed="26"/>
      </patternFill>
    </fill>
    <fill>
      <patternFill patternType="solid">
        <fgColor indexed="47"/>
      </patternFill>
    </fill>
    <fill>
      <patternFill patternType="solid">
        <fgColor indexed="27"/>
      </patternFill>
    </fill>
    <fill>
      <patternFill patternType="solid">
        <fgColor indexed="43"/>
      </patternFill>
    </fill>
    <fill>
      <patternFill patternType="solid">
        <fgColor indexed="45"/>
      </patternFill>
    </fill>
    <fill>
      <patternFill patternType="solid">
        <fgColor indexed="53"/>
      </patternFill>
    </fill>
    <fill>
      <patternFill patternType="solid">
        <fgColor indexed="51"/>
      </patternFill>
    </fill>
    <fill>
      <patternFill patternType="solid">
        <fgColor indexed="56"/>
      </patternFill>
    </fill>
    <fill>
      <patternFill patternType="solid">
        <fgColor indexed="54"/>
      </patternFill>
    </fill>
    <fill>
      <patternFill patternType="solid">
        <fgColor indexed="49"/>
      </patternFill>
    </fill>
    <fill>
      <patternFill patternType="solid">
        <fgColor indexed="10"/>
      </patternFill>
    </fill>
    <fill>
      <patternFill patternType="solid">
        <fgColor indexed="46"/>
      </patternFill>
    </fill>
    <fill>
      <patternFill patternType="solid">
        <fgColor indexed="9"/>
      </patternFill>
    </fill>
    <fill>
      <patternFill patternType="solid">
        <fgColor indexed="55"/>
      </patternFill>
    </fill>
    <fill>
      <patternFill patternType="solid">
        <fgColor theme="0"/>
        <bgColor indexed="64"/>
      </patternFill>
    </fill>
    <fill>
      <patternFill patternType="solid">
        <fgColor theme="6" tint="0.59999389629810485"/>
        <bgColor indexed="64"/>
      </patternFill>
    </fill>
    <fill>
      <patternFill patternType="solid">
        <fgColor rgb="FFFFFFFF"/>
        <bgColor rgb="FF000000"/>
      </patternFill>
    </fill>
    <fill>
      <patternFill patternType="solid">
        <fgColor rgb="FF92D050"/>
        <bgColor indexed="64"/>
      </patternFill>
    </fill>
  </fills>
  <borders count="50">
    <border>
      <left/>
      <right/>
      <top/>
      <bottom/>
      <diagonal/>
    </border>
    <border>
      <left style="thin">
        <color auto="1"/>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bottom style="double">
        <color indexed="10"/>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6"/>
      </top>
      <bottom style="double">
        <color indexed="56"/>
      </bottom>
      <diagonal/>
    </border>
    <border>
      <left style="medium">
        <color auto="1"/>
      </left>
      <right style="medium">
        <color auto="1"/>
      </right>
      <top style="medium">
        <color auto="1"/>
      </top>
      <bottom style="medium">
        <color auto="1"/>
      </bottom>
      <diagonal/>
    </border>
    <border>
      <left style="thin">
        <color auto="1"/>
      </left>
      <right/>
      <top style="thin">
        <color indexed="64"/>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rgb="FF000000"/>
      </right>
      <top style="thin">
        <color indexed="64"/>
      </top>
      <bottom style="thin">
        <color indexed="64"/>
      </bottom>
      <diagonal/>
    </border>
    <border>
      <left/>
      <right/>
      <top style="thin">
        <color indexed="64"/>
      </top>
      <bottom/>
      <diagonal/>
    </border>
    <border>
      <left style="thin">
        <color auto="1"/>
      </left>
      <right/>
      <top style="thin">
        <color auto="1"/>
      </top>
      <bottom/>
      <diagonal/>
    </border>
    <border>
      <left/>
      <right style="thin">
        <color auto="1"/>
      </right>
      <top style="thin">
        <color auto="1"/>
      </top>
      <bottom/>
      <diagonal/>
    </border>
    <border>
      <left style="thin">
        <color indexed="64"/>
      </left>
      <right style="thin">
        <color auto="1"/>
      </right>
      <top style="thin">
        <color indexed="64"/>
      </top>
      <bottom/>
      <diagonal/>
    </border>
    <border>
      <left/>
      <right/>
      <top style="medium">
        <color indexed="64"/>
      </top>
      <bottom style="medium">
        <color indexed="64"/>
      </bottom>
      <diagonal/>
    </border>
    <border>
      <left/>
      <right/>
      <top/>
      <bottom style="medium">
        <color indexed="64"/>
      </bottom>
      <diagonal/>
    </border>
    <border>
      <left/>
      <right/>
      <top style="medium">
        <color indexed="64"/>
      </top>
      <bottom/>
      <diagonal/>
    </border>
  </borders>
  <cellStyleXfs count="212">
    <xf numFmtId="0" fontId="0" fillId="0" borderId="0"/>
    <xf numFmtId="0" fontId="14" fillId="3" borderId="0" applyNumberFormat="0" applyBorder="0" applyAlignment="0" applyProtection="0"/>
    <xf numFmtId="0" fontId="14" fillId="4" borderId="0" applyNumberFormat="0" applyBorder="0" applyAlignment="0" applyProtection="0"/>
    <xf numFmtId="0" fontId="14" fillId="5" borderId="0" applyNumberFormat="0" applyBorder="0" applyAlignment="0" applyProtection="0"/>
    <xf numFmtId="0" fontId="14" fillId="6" borderId="0" applyNumberFormat="0" applyBorder="0" applyAlignment="0" applyProtection="0"/>
    <xf numFmtId="0" fontId="14" fillId="7" borderId="0" applyNumberFormat="0" applyBorder="0" applyAlignment="0" applyProtection="0"/>
    <xf numFmtId="0" fontId="14" fillId="5" borderId="0" applyNumberFormat="0" applyBorder="0" applyAlignment="0" applyProtection="0"/>
    <xf numFmtId="0" fontId="14" fillId="7" borderId="0" applyNumberFormat="0" applyBorder="0" applyAlignment="0" applyProtection="0"/>
    <xf numFmtId="0" fontId="14" fillId="4" borderId="0" applyNumberFormat="0" applyBorder="0" applyAlignment="0" applyProtection="0"/>
    <xf numFmtId="0" fontId="14" fillId="8" borderId="0" applyNumberFormat="0" applyBorder="0" applyAlignment="0" applyProtection="0"/>
    <xf numFmtId="0" fontId="14" fillId="9" borderId="0" applyNumberFormat="0" applyBorder="0" applyAlignment="0" applyProtection="0"/>
    <xf numFmtId="0" fontId="14" fillId="7" borderId="0" applyNumberFormat="0" applyBorder="0" applyAlignment="0" applyProtection="0"/>
    <xf numFmtId="0" fontId="14" fillId="5" borderId="0" applyNumberFormat="0" applyBorder="0" applyAlignment="0" applyProtection="0"/>
    <xf numFmtId="0" fontId="15" fillId="7" borderId="0" applyNumberFormat="0" applyBorder="0" applyAlignment="0" applyProtection="0"/>
    <xf numFmtId="0" fontId="15" fillId="10" borderId="0" applyNumberFormat="0" applyBorder="0" applyAlignment="0" applyProtection="0"/>
    <xf numFmtId="0" fontId="15" fillId="11" borderId="0" applyNumberFormat="0" applyBorder="0" applyAlignment="0" applyProtection="0"/>
    <xf numFmtId="0" fontId="15" fillId="9" borderId="0" applyNumberFormat="0" applyBorder="0" applyAlignment="0" applyProtection="0"/>
    <xf numFmtId="0" fontId="15" fillId="7" borderId="0" applyNumberFormat="0" applyBorder="0" applyAlignment="0" applyProtection="0"/>
    <xf numFmtId="0" fontId="15" fillId="4" borderId="0" applyNumberFormat="0" applyBorder="0" applyAlignment="0" applyProtection="0"/>
    <xf numFmtId="0" fontId="15" fillId="12" borderId="0" applyNumberFormat="0" applyBorder="0" applyAlignment="0" applyProtection="0"/>
    <xf numFmtId="0" fontId="15" fillId="10" borderId="0" applyNumberFormat="0" applyBorder="0" applyAlignment="0" applyProtection="0"/>
    <xf numFmtId="0" fontId="15" fillId="11" borderId="0" applyNumberFormat="0" applyBorder="0" applyAlignment="0" applyProtection="0"/>
    <xf numFmtId="0" fontId="15" fillId="13" borderId="0" applyNumberFormat="0" applyBorder="0" applyAlignment="0" applyProtection="0"/>
    <xf numFmtId="0" fontId="15" fillId="14" borderId="0" applyNumberFormat="0" applyBorder="0" applyAlignment="0" applyProtection="0"/>
    <xf numFmtId="0" fontId="15" fillId="15" borderId="0" applyNumberFormat="0" applyBorder="0" applyAlignment="0" applyProtection="0"/>
    <xf numFmtId="0" fontId="16" fillId="16" borderId="0" applyNumberFormat="0" applyBorder="0" applyAlignment="0" applyProtection="0"/>
    <xf numFmtId="0" fontId="17" fillId="17" borderId="12" applyNumberFormat="0" applyAlignment="0" applyProtection="0"/>
    <xf numFmtId="0" fontId="18" fillId="18" borderId="13" applyNumberFormat="0" applyAlignment="0" applyProtection="0"/>
    <xf numFmtId="43" fontId="5" fillId="0" borderId="0" applyFont="0" applyFill="0" applyBorder="0" applyAlignment="0" applyProtection="0"/>
    <xf numFmtId="0" fontId="19" fillId="0" borderId="0" applyNumberFormat="0" applyFill="0" applyBorder="0" applyAlignment="0" applyProtection="0"/>
    <xf numFmtId="0" fontId="20" fillId="7" borderId="0" applyNumberFormat="0" applyBorder="0" applyAlignment="0" applyProtection="0"/>
    <xf numFmtId="0" fontId="21" fillId="0" borderId="14" applyNumberFormat="0" applyFill="0" applyAlignment="0" applyProtection="0"/>
    <xf numFmtId="0" fontId="22" fillId="0" borderId="15" applyNumberFormat="0" applyFill="0" applyAlignment="0" applyProtection="0"/>
    <xf numFmtId="0" fontId="23" fillId="0" borderId="16" applyNumberFormat="0" applyFill="0" applyAlignment="0" applyProtection="0"/>
    <xf numFmtId="0" fontId="23" fillId="0" borderId="0" applyNumberFormat="0" applyFill="0" applyBorder="0" applyAlignment="0" applyProtection="0"/>
    <xf numFmtId="0" fontId="24" fillId="8" borderId="12" applyNumberFormat="0" applyAlignment="0" applyProtection="0"/>
    <xf numFmtId="0" fontId="25" fillId="0" borderId="17" applyNumberFormat="0" applyFill="0" applyAlignment="0" applyProtection="0"/>
    <xf numFmtId="0" fontId="26" fillId="8" borderId="0" applyNumberFormat="0" applyBorder="0" applyAlignment="0" applyProtection="0"/>
    <xf numFmtId="0" fontId="5" fillId="5" borderId="18" applyNumberFormat="0" applyFont="0" applyAlignment="0" applyProtection="0"/>
    <xf numFmtId="0" fontId="27" fillId="17" borderId="19" applyNumberFormat="0" applyAlignment="0" applyProtection="0"/>
    <xf numFmtId="9" fontId="5" fillId="0" borderId="0" applyFont="0" applyFill="0" applyBorder="0" applyAlignment="0" applyProtection="0"/>
    <xf numFmtId="0" fontId="28" fillId="0" borderId="0" applyNumberFormat="0" applyFill="0" applyBorder="0" applyAlignment="0" applyProtection="0"/>
    <xf numFmtId="0" fontId="29" fillId="0" borderId="20" applyNumberFormat="0" applyFill="0" applyAlignment="0" applyProtection="0"/>
    <xf numFmtId="0" fontId="30" fillId="0" borderId="0" applyNumberFormat="0" applyFill="0" applyBorder="0" applyAlignment="0" applyProtection="0"/>
    <xf numFmtId="0" fontId="2" fillId="0" borderId="0"/>
    <xf numFmtId="0" fontId="1" fillId="0" borderId="0"/>
    <xf numFmtId="0" fontId="31" fillId="0" borderId="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5" fillId="0" borderId="0"/>
    <xf numFmtId="43" fontId="35" fillId="0" borderId="0" applyFon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5" fillId="0" borderId="0"/>
  </cellStyleXfs>
  <cellXfs count="396">
    <xf numFmtId="0" fontId="0" fillId="0" borderId="0" xfId="0"/>
    <xf numFmtId="0" fontId="0" fillId="0" borderId="0" xfId="0" applyAlignment="1">
      <alignment horizontal="center"/>
    </xf>
    <xf numFmtId="0" fontId="0" fillId="0" borderId="0" xfId="0" applyBorder="1"/>
    <xf numFmtId="0" fontId="0" fillId="0" borderId="0" xfId="0" applyBorder="1" applyAlignment="1">
      <alignment horizontal="center"/>
    </xf>
    <xf numFmtId="0" fontId="3" fillId="0" borderId="0" xfId="0" applyFont="1"/>
    <xf numFmtId="0" fontId="5" fillId="0" borderId="0" xfId="0" applyFont="1"/>
    <xf numFmtId="0" fontId="5" fillId="0" borderId="0" xfId="0" applyFont="1" applyAlignment="1">
      <alignment horizontal="center"/>
    </xf>
    <xf numFmtId="0" fontId="7" fillId="0" borderId="0" xfId="0" applyFont="1"/>
    <xf numFmtId="0" fontId="6" fillId="2" borderId="0" xfId="0" applyFont="1" applyFill="1" applyBorder="1"/>
    <xf numFmtId="0" fontId="7" fillId="2" borderId="0" xfId="0" applyFont="1" applyFill="1" applyBorder="1"/>
    <xf numFmtId="0" fontId="7" fillId="2" borderId="0" xfId="0" applyFont="1" applyFill="1" applyBorder="1" applyAlignment="1">
      <alignment horizontal="center"/>
    </xf>
    <xf numFmtId="0" fontId="8" fillId="0" borderId="0" xfId="0" applyFont="1"/>
    <xf numFmtId="0" fontId="3" fillId="0" borderId="0" xfId="0" applyFont="1" applyAlignment="1">
      <alignment horizontal="center"/>
    </xf>
    <xf numFmtId="0" fontId="4" fillId="0" borderId="0" xfId="0" applyFont="1" applyBorder="1"/>
    <xf numFmtId="0" fontId="9" fillId="0" borderId="0" xfId="0" applyFont="1"/>
    <xf numFmtId="0" fontId="10" fillId="0" borderId="0" xfId="0" applyFont="1"/>
    <xf numFmtId="0" fontId="0" fillId="0" borderId="0" xfId="0" applyFill="1" applyBorder="1"/>
    <xf numFmtId="0" fontId="0" fillId="0" borderId="0" xfId="0" applyBorder="1" applyAlignment="1">
      <alignment horizontal="left"/>
    </xf>
    <xf numFmtId="0" fontId="5" fillId="0" borderId="0" xfId="0" applyFont="1" applyBorder="1" applyAlignment="1">
      <alignment horizontal="center"/>
    </xf>
    <xf numFmtId="3" fontId="0" fillId="0" borderId="0" xfId="0" applyNumberFormat="1" applyFill="1" applyBorder="1" applyAlignment="1">
      <alignment horizontal="right"/>
    </xf>
    <xf numFmtId="0" fontId="11" fillId="0" borderId="0" xfId="0" applyFont="1" applyBorder="1"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0" borderId="0" xfId="0" applyFill="1"/>
    <xf numFmtId="0" fontId="7" fillId="0" borderId="0" xfId="0" applyFont="1" applyFill="1" applyAlignment="1">
      <alignment horizontal="center"/>
    </xf>
    <xf numFmtId="0" fontId="5" fillId="0" borderId="0" xfId="0" applyFont="1" applyFill="1" applyAlignment="1">
      <alignment horizontal="center"/>
    </xf>
    <xf numFmtId="0" fontId="3" fillId="0" borderId="0" xfId="0" applyFont="1" applyFill="1" applyAlignment="1">
      <alignment horizontal="center"/>
    </xf>
    <xf numFmtId="1" fontId="0" fillId="0" borderId="0" xfId="0" applyNumberFormat="1" applyFill="1" applyBorder="1" applyAlignment="1">
      <alignment horizontal="center"/>
    </xf>
    <xf numFmtId="1" fontId="0" fillId="0" borderId="3" xfId="0" applyNumberFormat="1" applyFill="1" applyBorder="1" applyAlignment="1">
      <alignment horizontal="center"/>
    </xf>
    <xf numFmtId="1" fontId="0" fillId="0" borderId="4" xfId="0" applyNumberFormat="1" applyFill="1" applyBorder="1" applyAlignment="1">
      <alignment horizontal="center"/>
    </xf>
    <xf numFmtId="1" fontId="5" fillId="0" borderId="0" xfId="0" applyNumberFormat="1" applyFont="1" applyFill="1" applyBorder="1" applyAlignment="1">
      <alignment horizontal="center"/>
    </xf>
    <xf numFmtId="0" fontId="3" fillId="0" borderId="0" xfId="0" applyFont="1" applyFill="1"/>
    <xf numFmtId="0" fontId="12" fillId="0" borderId="0" xfId="0" applyFont="1"/>
    <xf numFmtId="0" fontId="8" fillId="0" borderId="0" xfId="0" applyFont="1" applyFill="1"/>
    <xf numFmtId="0" fontId="3" fillId="0" borderId="1" xfId="0" applyFont="1" applyFill="1" applyBorder="1"/>
    <xf numFmtId="0" fontId="0" fillId="0" borderId="5" xfId="0" applyFill="1" applyBorder="1"/>
    <xf numFmtId="0" fontId="3" fillId="0" borderId="0" xfId="0" applyFont="1" applyBorder="1"/>
    <xf numFmtId="0" fontId="5" fillId="0" borderId="0" xfId="0" applyFont="1" applyFill="1"/>
    <xf numFmtId="165" fontId="0" fillId="0" borderId="0" xfId="28" applyNumberFormat="1" applyFont="1" applyBorder="1" applyAlignment="1">
      <alignment horizontal="right"/>
    </xf>
    <xf numFmtId="165" fontId="5" fillId="0" borderId="10" xfId="28" applyNumberFormat="1" applyFont="1" applyBorder="1" applyAlignment="1">
      <alignment horizontal="right"/>
    </xf>
    <xf numFmtId="0" fontId="9" fillId="0" borderId="0" xfId="0" applyFont="1" applyFill="1"/>
    <xf numFmtId="0" fontId="10" fillId="0" borderId="0" xfId="0" applyFont="1" applyFill="1"/>
    <xf numFmtId="0" fontId="10" fillId="0" borderId="0" xfId="0" applyFont="1" applyFill="1" applyAlignment="1">
      <alignment horizontal="center"/>
    </xf>
    <xf numFmtId="0" fontId="9" fillId="0" borderId="0" xfId="0" applyFont="1" applyFill="1" applyAlignment="1">
      <alignment horizontal="left"/>
    </xf>
    <xf numFmtId="0" fontId="3" fillId="0" borderId="0" xfId="0" applyFont="1" applyFill="1" applyBorder="1"/>
    <xf numFmtId="0" fontId="0" fillId="0" borderId="2" xfId="0" applyFill="1" applyBorder="1"/>
    <xf numFmtId="0" fontId="0" fillId="0" borderId="4" xfId="0" applyFill="1" applyBorder="1"/>
    <xf numFmtId="38" fontId="0" fillId="0" borderId="0" xfId="0" applyNumberFormat="1" applyFill="1" applyBorder="1" applyAlignment="1">
      <alignment horizontal="right"/>
    </xf>
    <xf numFmtId="0" fontId="0" fillId="0" borderId="8" xfId="0" applyFill="1" applyBorder="1"/>
    <xf numFmtId="0" fontId="0" fillId="0" borderId="0" xfId="0" applyFill="1" applyBorder="1" applyAlignment="1">
      <alignment horizontal="right"/>
    </xf>
    <xf numFmtId="0" fontId="6" fillId="0" borderId="0" xfId="0" applyFont="1" applyFill="1"/>
    <xf numFmtId="0" fontId="7" fillId="0" borderId="0" xfId="0" applyFont="1" applyFill="1"/>
    <xf numFmtId="0" fontId="3" fillId="0" borderId="0" xfId="0" applyFont="1" applyFill="1" applyAlignment="1">
      <alignment horizontal="left"/>
    </xf>
    <xf numFmtId="0" fontId="3" fillId="0" borderId="2" xfId="0" applyFont="1" applyFill="1" applyBorder="1"/>
    <xf numFmtId="0" fontId="0" fillId="0" borderId="3" xfId="0" applyFill="1" applyBorder="1"/>
    <xf numFmtId="0" fontId="0" fillId="0" borderId="2" xfId="0" applyFill="1" applyBorder="1" applyAlignment="1">
      <alignment horizontal="center"/>
    </xf>
    <xf numFmtId="0" fontId="0" fillId="0" borderId="7" xfId="0" applyFill="1" applyBorder="1"/>
    <xf numFmtId="0" fontId="0" fillId="0" borderId="3" xfId="0" applyFill="1" applyBorder="1" applyAlignment="1">
      <alignment horizontal="center"/>
    </xf>
    <xf numFmtId="0" fontId="0" fillId="0" borderId="9" xfId="0" applyFill="1" applyBorder="1" applyAlignment="1">
      <alignment horizontal="center"/>
    </xf>
    <xf numFmtId="0" fontId="5" fillId="0" borderId="10" xfId="0" applyFont="1" applyFill="1" applyBorder="1" applyAlignment="1">
      <alignment horizontal="center"/>
    </xf>
    <xf numFmtId="1" fontId="0" fillId="0" borderId="8" xfId="0" applyNumberFormat="1" applyFill="1" applyBorder="1" applyAlignment="1">
      <alignment horizontal="center"/>
    </xf>
    <xf numFmtId="0" fontId="0" fillId="0" borderId="1" xfId="0" applyFill="1" applyBorder="1" applyAlignment="1">
      <alignment horizontal="left"/>
    </xf>
    <xf numFmtId="0" fontId="7" fillId="0" borderId="0" xfId="0" applyFont="1" applyFill="1" applyBorder="1"/>
    <xf numFmtId="38" fontId="0" fillId="0" borderId="0" xfId="0" applyNumberFormat="1" applyFill="1" applyBorder="1" applyAlignment="1"/>
    <xf numFmtId="0" fontId="5" fillId="0" borderId="9" xfId="0" applyFont="1" applyBorder="1" applyAlignment="1">
      <alignment horizontal="center"/>
    </xf>
    <xf numFmtId="164" fontId="5" fillId="0" borderId="10" xfId="28" applyNumberFormat="1" applyFont="1" applyBorder="1" applyAlignment="1">
      <alignment horizontal="right"/>
    </xf>
    <xf numFmtId="0" fontId="9" fillId="2" borderId="1" xfId="0" applyFont="1" applyFill="1" applyBorder="1"/>
    <xf numFmtId="0" fontId="3" fillId="0" borderId="1" xfId="0" applyFont="1" applyBorder="1"/>
    <xf numFmtId="6" fontId="0" fillId="0" borderId="0" xfId="0" applyNumberFormat="1" applyBorder="1" applyAlignment="1">
      <alignment horizontal="center"/>
    </xf>
    <xf numFmtId="0" fontId="0" fillId="0" borderId="5" xfId="0" applyBorder="1" applyAlignment="1">
      <alignment horizontal="center"/>
    </xf>
    <xf numFmtId="9" fontId="0" fillId="0" borderId="0" xfId="40" applyFont="1" applyBorder="1" applyAlignment="1">
      <alignment horizontal="center"/>
    </xf>
    <xf numFmtId="9" fontId="0" fillId="0" borderId="5" xfId="40" applyFont="1" applyBorder="1" applyAlignment="1">
      <alignment horizontal="center"/>
    </xf>
    <xf numFmtId="0" fontId="0" fillId="0" borderId="7" xfId="0" applyBorder="1" applyAlignment="1">
      <alignment horizontal="center"/>
    </xf>
    <xf numFmtId="0" fontId="3" fillId="0" borderId="0" xfId="0" applyFont="1" applyFill="1" applyBorder="1" applyAlignment="1">
      <alignment horizontal="left"/>
    </xf>
    <xf numFmtId="0" fontId="0" fillId="0" borderId="10" xfId="0" applyFill="1" applyBorder="1" applyAlignment="1">
      <alignment horizontal="center"/>
    </xf>
    <xf numFmtId="1" fontId="0" fillId="0" borderId="5" xfId="0" applyNumberFormat="1" applyFill="1" applyBorder="1" applyAlignment="1">
      <alignment horizontal="center"/>
    </xf>
    <xf numFmtId="0" fontId="5" fillId="0" borderId="10" xfId="0" applyFont="1" applyBorder="1" applyAlignment="1">
      <alignment horizontal="center"/>
    </xf>
    <xf numFmtId="0" fontId="0" fillId="0" borderId="0" xfId="0" applyFont="1"/>
    <xf numFmtId="37" fontId="0" fillId="0" borderId="0" xfId="0" applyNumberFormat="1" applyFont="1"/>
    <xf numFmtId="37" fontId="0" fillId="0" borderId="0" xfId="0" applyNumberFormat="1" applyFont="1" applyAlignment="1">
      <alignment horizontal="center"/>
    </xf>
    <xf numFmtId="37" fontId="0" fillId="0" borderId="0" xfId="0" applyNumberFormat="1" applyFont="1" applyFill="1" applyAlignment="1">
      <alignment horizontal="center"/>
    </xf>
    <xf numFmtId="165" fontId="3" fillId="0" borderId="0" xfId="0" applyNumberFormat="1" applyFont="1"/>
    <xf numFmtId="9" fontId="5" fillId="0" borderId="10" xfId="40" applyFont="1" applyBorder="1" applyAlignment="1">
      <alignment horizontal="right"/>
    </xf>
    <xf numFmtId="0" fontId="0" fillId="0" borderId="0" xfId="0" applyAlignment="1">
      <alignment horizontal="right"/>
    </xf>
    <xf numFmtId="0" fontId="0" fillId="0" borderId="1" xfId="0" applyBorder="1"/>
    <xf numFmtId="0" fontId="0" fillId="0" borderId="0" xfId="0" applyFont="1" applyAlignment="1">
      <alignment horizontal="right"/>
    </xf>
    <xf numFmtId="39" fontId="0" fillId="0" borderId="0" xfId="0" applyNumberFormat="1" applyFont="1" applyAlignment="1">
      <alignment horizontal="center"/>
    </xf>
    <xf numFmtId="39" fontId="0" fillId="0" borderId="1" xfId="0" applyNumberFormat="1" applyFont="1" applyBorder="1" applyAlignment="1">
      <alignment horizontal="center"/>
    </xf>
    <xf numFmtId="37" fontId="0" fillId="0" borderId="1" xfId="0" applyNumberFormat="1" applyFont="1" applyBorder="1" applyAlignment="1">
      <alignment horizontal="center"/>
    </xf>
    <xf numFmtId="0" fontId="0" fillId="0" borderId="1" xfId="0" applyBorder="1" applyAlignment="1">
      <alignment horizontal="center"/>
    </xf>
    <xf numFmtId="37" fontId="0" fillId="0" borderId="7" xfId="0" applyNumberFormat="1" applyBorder="1" applyAlignment="1">
      <alignment horizontal="center"/>
    </xf>
    <xf numFmtId="37" fontId="0" fillId="0" borderId="6" xfId="0" applyNumberFormat="1" applyBorder="1" applyAlignment="1">
      <alignment horizontal="center"/>
    </xf>
    <xf numFmtId="39" fontId="0" fillId="0" borderId="0" xfId="0" applyNumberFormat="1" applyFont="1" applyFill="1" applyAlignment="1">
      <alignment horizontal="center"/>
    </xf>
    <xf numFmtId="39" fontId="0" fillId="0" borderId="1" xfId="0" applyNumberFormat="1" applyFont="1" applyFill="1" applyBorder="1" applyAlignment="1">
      <alignment horizontal="center"/>
    </xf>
    <xf numFmtId="37" fontId="0" fillId="0" borderId="1" xfId="0" applyNumberFormat="1" applyFont="1" applyFill="1" applyBorder="1" applyAlignment="1">
      <alignment horizontal="center"/>
    </xf>
    <xf numFmtId="37" fontId="0" fillId="0" borderId="7" xfId="0" applyNumberFormat="1" applyFill="1" applyBorder="1" applyAlignment="1">
      <alignment horizontal="center"/>
    </xf>
    <xf numFmtId="37" fontId="0" fillId="0" borderId="6" xfId="0" applyNumberFormat="1" applyFill="1" applyBorder="1" applyAlignment="1">
      <alignment horizontal="center"/>
    </xf>
    <xf numFmtId="37" fontId="0" fillId="0" borderId="7" xfId="0" applyNumberFormat="1" applyBorder="1"/>
    <xf numFmtId="37" fontId="0" fillId="0" borderId="6" xfId="0" applyNumberFormat="1" applyBorder="1"/>
    <xf numFmtId="37" fontId="0" fillId="0" borderId="7" xfId="0" applyNumberFormat="1" applyFont="1" applyBorder="1"/>
    <xf numFmtId="37" fontId="0" fillId="0" borderId="7" xfId="0" applyNumberFormat="1" applyFont="1" applyFill="1" applyBorder="1" applyAlignment="1">
      <alignment horizontal="center"/>
    </xf>
    <xf numFmtId="37" fontId="0" fillId="0" borderId="8" xfId="0" applyNumberFormat="1" applyBorder="1" applyAlignment="1">
      <alignment horizontal="center"/>
    </xf>
    <xf numFmtId="37" fontId="0" fillId="0" borderId="1" xfId="0" applyNumberFormat="1" applyBorder="1" applyAlignment="1">
      <alignment horizontal="center"/>
    </xf>
    <xf numFmtId="39" fontId="0" fillId="0" borderId="2" xfId="0" applyNumberFormat="1" applyFont="1" applyBorder="1" applyAlignment="1">
      <alignment horizontal="center"/>
    </xf>
    <xf numFmtId="9" fontId="0" fillId="0" borderId="0" xfId="40" applyFont="1"/>
    <xf numFmtId="37" fontId="0" fillId="0" borderId="0" xfId="0" applyNumberFormat="1" applyFont="1" applyAlignment="1">
      <alignment horizontal="right"/>
    </xf>
    <xf numFmtId="37" fontId="0" fillId="0" borderId="0" xfId="0" applyNumberFormat="1" applyAlignment="1">
      <alignment horizontal="right"/>
    </xf>
    <xf numFmtId="0" fontId="4" fillId="0" borderId="2" xfId="0" applyFont="1" applyBorder="1"/>
    <xf numFmtId="0" fontId="5" fillId="0" borderId="4" xfId="0" applyFont="1" applyBorder="1"/>
    <xf numFmtId="0" fontId="4" fillId="0" borderId="1" xfId="0" applyFont="1" applyBorder="1"/>
    <xf numFmtId="0" fontId="5" fillId="0" borderId="5" xfId="0" applyFont="1" applyBorder="1"/>
    <xf numFmtId="0" fontId="4" fillId="0" borderId="6" xfId="0" applyFont="1" applyBorder="1"/>
    <xf numFmtId="0" fontId="5" fillId="0" borderId="8" xfId="0" applyFont="1" applyBorder="1"/>
    <xf numFmtId="43" fontId="5" fillId="0" borderId="10" xfId="28" applyNumberFormat="1" applyFont="1" applyBorder="1" applyAlignment="1">
      <alignment horizontal="right"/>
    </xf>
    <xf numFmtId="166" fontId="0" fillId="0" borderId="0" xfId="0" applyNumberFormat="1"/>
    <xf numFmtId="37" fontId="0" fillId="0" borderId="0" xfId="0" applyNumberFormat="1" applyFont="1" applyBorder="1" applyAlignment="1">
      <alignment horizontal="center"/>
    </xf>
    <xf numFmtId="37" fontId="0" fillId="0" borderId="0" xfId="0" applyNumberFormat="1" applyFont="1" applyFill="1" applyBorder="1" applyAlignment="1">
      <alignment horizontal="center"/>
    </xf>
    <xf numFmtId="0" fontId="0" fillId="0" borderId="0" xfId="0" applyFont="1" applyAlignment="1"/>
    <xf numFmtId="1" fontId="0" fillId="0" borderId="0" xfId="0" applyNumberFormat="1" applyFont="1" applyAlignment="1"/>
    <xf numFmtId="0" fontId="0" fillId="0" borderId="1" xfId="0" applyBorder="1" applyAlignment="1">
      <alignment horizontal="left"/>
    </xf>
    <xf numFmtId="37" fontId="3" fillId="0" borderId="0" xfId="0" applyNumberFormat="1" applyFont="1" applyAlignment="1">
      <alignment horizontal="left"/>
    </xf>
    <xf numFmtId="0" fontId="0" fillId="0" borderId="0" xfId="0" applyFont="1" applyFill="1" applyBorder="1"/>
    <xf numFmtId="38" fontId="13" fillId="0" borderId="0" xfId="0" applyNumberFormat="1" applyFont="1" applyFill="1" applyBorder="1" applyAlignment="1"/>
    <xf numFmtId="165" fontId="0" fillId="0" borderId="0" xfId="28" applyNumberFormat="1" applyFont="1" applyBorder="1"/>
    <xf numFmtId="165" fontId="0" fillId="0" borderId="0" xfId="28" applyNumberFormat="1" applyFont="1" applyBorder="1" applyAlignment="1">
      <alignment horizontal="center"/>
    </xf>
    <xf numFmtId="0" fontId="0" fillId="0" borderId="0" xfId="0" applyFont="1" applyBorder="1" applyAlignment="1">
      <alignment horizontal="center"/>
    </xf>
    <xf numFmtId="0" fontId="0" fillId="0" borderId="2" xfId="0" applyBorder="1"/>
    <xf numFmtId="9" fontId="5" fillId="0" borderId="3" xfId="40" applyFont="1" applyBorder="1" applyAlignment="1">
      <alignment horizontal="center"/>
    </xf>
    <xf numFmtId="9" fontId="5" fillId="0" borderId="2" xfId="40" applyFont="1" applyFill="1" applyBorder="1" applyAlignment="1">
      <alignment horizontal="center"/>
    </xf>
    <xf numFmtId="0" fontId="4" fillId="0" borderId="3" xfId="0" applyFont="1" applyBorder="1"/>
    <xf numFmtId="9" fontId="5" fillId="0" borderId="1" xfId="40" applyFont="1" applyFill="1" applyBorder="1" applyAlignment="1">
      <alignment horizontal="center"/>
    </xf>
    <xf numFmtId="0" fontId="0" fillId="0" borderId="6" xfId="0" applyBorder="1"/>
    <xf numFmtId="9" fontId="0" fillId="0" borderId="7" xfId="40" applyFont="1" applyBorder="1" applyAlignment="1">
      <alignment horizontal="center"/>
    </xf>
    <xf numFmtId="9" fontId="5" fillId="0" borderId="6" xfId="40" applyFont="1" applyFill="1" applyBorder="1" applyAlignment="1">
      <alignment horizontal="center"/>
    </xf>
    <xf numFmtId="0" fontId="4" fillId="0" borderId="7" xfId="0" applyFont="1" applyBorder="1"/>
    <xf numFmtId="3" fontId="0" fillId="0" borderId="0" xfId="28" applyNumberFormat="1" applyFont="1" applyBorder="1" applyAlignment="1">
      <alignment horizontal="right"/>
    </xf>
    <xf numFmtId="2" fontId="0" fillId="0" borderId="0" xfId="0" applyNumberFormat="1" applyFill="1" applyBorder="1"/>
    <xf numFmtId="3" fontId="0" fillId="0" borderId="0" xfId="0" applyNumberFormat="1" applyFont="1" applyBorder="1" applyAlignment="1">
      <alignment horizontal="right"/>
    </xf>
    <xf numFmtId="167" fontId="0" fillId="0" borderId="0" xfId="40" applyNumberFormat="1" applyFont="1"/>
    <xf numFmtId="0" fontId="0" fillId="0" borderId="7" xfId="0" applyBorder="1" applyAlignment="1">
      <alignment horizontal="right"/>
    </xf>
    <xf numFmtId="37" fontId="5" fillId="0" borderId="0" xfId="0" applyNumberFormat="1" applyFont="1" applyAlignment="1">
      <alignment horizontal="right"/>
    </xf>
    <xf numFmtId="167" fontId="0" fillId="0" borderId="0" xfId="40" applyNumberFormat="1" applyFont="1" applyAlignment="1">
      <alignment horizontal="right"/>
    </xf>
    <xf numFmtId="9" fontId="0" fillId="0" borderId="7" xfId="40" applyNumberFormat="1" applyFont="1" applyBorder="1" applyAlignment="1">
      <alignment horizontal="right"/>
    </xf>
    <xf numFmtId="0" fontId="5" fillId="0" borderId="0" xfId="0" applyFont="1" applyAlignment="1">
      <alignment horizontal="right"/>
    </xf>
    <xf numFmtId="165" fontId="0" fillId="0" borderId="0" xfId="28" applyNumberFormat="1" applyFont="1" applyBorder="1" applyAlignment="1"/>
    <xf numFmtId="165" fontId="5" fillId="0" borderId="0" xfId="28" applyNumberFormat="1" applyFont="1" applyFill="1" applyBorder="1" applyAlignment="1"/>
    <xf numFmtId="2" fontId="5" fillId="0" borderId="0" xfId="0" applyNumberFormat="1" applyFont="1" applyFill="1" applyBorder="1" applyAlignment="1">
      <alignment horizontal="center"/>
    </xf>
    <xf numFmtId="165" fontId="5" fillId="0" borderId="0" xfId="28" applyNumberFormat="1" applyFont="1" applyBorder="1" applyAlignment="1"/>
    <xf numFmtId="6" fontId="0" fillId="0" borderId="0" xfId="0" applyNumberFormat="1" applyFill="1" applyBorder="1" applyAlignment="1">
      <alignment horizontal="right"/>
    </xf>
    <xf numFmtId="3" fontId="0" fillId="0" borderId="21" xfId="0" applyNumberFormat="1" applyBorder="1" applyAlignment="1">
      <alignment horizontal="right"/>
    </xf>
    <xf numFmtId="3" fontId="0" fillId="0" borderId="21" xfId="28" applyNumberFormat="1" applyFont="1" applyBorder="1" applyAlignment="1">
      <alignment horizontal="right"/>
    </xf>
    <xf numFmtId="0" fontId="4" fillId="0" borderId="0" xfId="0" applyFont="1"/>
    <xf numFmtId="37" fontId="4" fillId="0" borderId="0" xfId="0" applyNumberFormat="1" applyFont="1"/>
    <xf numFmtId="9" fontId="3" fillId="0" borderId="0" xfId="40" applyFont="1" applyBorder="1" applyAlignment="1">
      <alignment horizontal="center"/>
    </xf>
    <xf numFmtId="167" fontId="0" fillId="0" borderId="0" xfId="0" applyNumberFormat="1"/>
    <xf numFmtId="1" fontId="0" fillId="0" borderId="0" xfId="0" applyNumberFormat="1"/>
    <xf numFmtId="0" fontId="5" fillId="0" borderId="0" xfId="0" applyFont="1" applyFill="1" applyBorder="1"/>
    <xf numFmtId="0" fontId="0" fillId="19" borderId="0" xfId="0" applyFill="1"/>
    <xf numFmtId="0" fontId="0" fillId="19" borderId="1" xfId="0" applyFill="1" applyBorder="1"/>
    <xf numFmtId="0" fontId="0" fillId="19" borderId="0" xfId="0" applyFill="1" applyBorder="1"/>
    <xf numFmtId="0" fontId="0" fillId="19" borderId="5" xfId="0" applyFill="1" applyBorder="1"/>
    <xf numFmtId="0" fontId="3" fillId="0" borderId="0" xfId="0" applyFont="1" applyFill="1" applyBorder="1" applyAlignment="1">
      <alignment horizontal="right"/>
    </xf>
    <xf numFmtId="0" fontId="5" fillId="19" borderId="0" xfId="0" applyFont="1" applyFill="1"/>
    <xf numFmtId="0" fontId="3" fillId="19" borderId="6" xfId="0" applyFont="1" applyFill="1" applyBorder="1" applyAlignment="1">
      <alignment horizontal="right"/>
    </xf>
    <xf numFmtId="0" fontId="3" fillId="19" borderId="7" xfId="0" applyFont="1" applyFill="1" applyBorder="1" applyAlignment="1">
      <alignment horizontal="right"/>
    </xf>
    <xf numFmtId="0" fontId="3" fillId="19" borderId="8" xfId="0" applyFont="1" applyFill="1" applyBorder="1" applyAlignment="1">
      <alignment horizontal="right"/>
    </xf>
    <xf numFmtId="0" fontId="0" fillId="19" borderId="8" xfId="0" applyFill="1" applyBorder="1"/>
    <xf numFmtId="0" fontId="0" fillId="19" borderId="6" xfId="0" applyFill="1" applyBorder="1"/>
    <xf numFmtId="0" fontId="3" fillId="19" borderId="11" xfId="0" applyFont="1" applyFill="1" applyBorder="1" applyAlignment="1">
      <alignment horizontal="right"/>
    </xf>
    <xf numFmtId="0" fontId="0" fillId="19" borderId="2" xfId="0" applyFill="1" applyBorder="1"/>
    <xf numFmtId="0" fontId="0" fillId="19" borderId="3" xfId="0" applyFill="1" applyBorder="1"/>
    <xf numFmtId="0" fontId="0" fillId="19" borderId="4" xfId="0" applyFill="1" applyBorder="1"/>
    <xf numFmtId="0" fontId="5" fillId="19" borderId="0" xfId="0" applyFont="1" applyFill="1" applyBorder="1" applyAlignment="1">
      <alignment horizontal="center"/>
    </xf>
    <xf numFmtId="0" fontId="5" fillId="19" borderId="1" xfId="0" applyFont="1" applyFill="1" applyBorder="1"/>
    <xf numFmtId="0" fontId="5" fillId="19" borderId="21" xfId="0" applyFont="1" applyFill="1" applyBorder="1" applyAlignment="1">
      <alignment horizontal="center"/>
    </xf>
    <xf numFmtId="0" fontId="5" fillId="19" borderId="34" xfId="0" applyFont="1" applyFill="1" applyBorder="1" applyAlignment="1">
      <alignment horizontal="center"/>
    </xf>
    <xf numFmtId="0" fontId="5" fillId="19" borderId="35" xfId="0" applyFont="1" applyFill="1" applyBorder="1" applyAlignment="1">
      <alignment horizontal="center"/>
    </xf>
    <xf numFmtId="0" fontId="5" fillId="19" borderId="33" xfId="0" applyFont="1" applyFill="1" applyBorder="1" applyAlignment="1">
      <alignment horizontal="center"/>
    </xf>
    <xf numFmtId="0" fontId="37" fillId="19" borderId="36" xfId="0" applyFont="1" applyFill="1" applyBorder="1"/>
    <xf numFmtId="0" fontId="0" fillId="20" borderId="37" xfId="0" applyFill="1" applyBorder="1"/>
    <xf numFmtId="2" fontId="0" fillId="19" borderId="0" xfId="0" applyNumberFormat="1" applyFill="1" applyBorder="1"/>
    <xf numFmtId="2" fontId="0" fillId="19" borderId="5" xfId="0" applyNumberFormat="1" applyFill="1" applyBorder="1"/>
    <xf numFmtId="0" fontId="4" fillId="19" borderId="0" xfId="0" applyFont="1" applyFill="1"/>
    <xf numFmtId="0" fontId="37" fillId="19" borderId="0" xfId="0" applyFont="1" applyFill="1" applyBorder="1" applyAlignment="1">
      <alignment horizontal="right"/>
    </xf>
    <xf numFmtId="0" fontId="4" fillId="19" borderId="38" xfId="0" applyFont="1" applyFill="1" applyBorder="1" applyAlignment="1">
      <alignment horizontal="right"/>
    </xf>
    <xf numFmtId="0" fontId="37" fillId="19" borderId="39" xfId="0" applyFont="1" applyFill="1" applyBorder="1" applyAlignment="1">
      <alignment horizontal="right"/>
    </xf>
    <xf numFmtId="0" fontId="5" fillId="19" borderId="40" xfId="0" applyFont="1" applyFill="1" applyBorder="1"/>
    <xf numFmtId="0" fontId="0" fillId="19" borderId="41" xfId="0" applyFill="1" applyBorder="1"/>
    <xf numFmtId="0" fontId="5" fillId="0" borderId="0" xfId="0" applyFont="1" applyFill="1" applyBorder="1" applyAlignment="1">
      <alignment horizontal="center"/>
    </xf>
    <xf numFmtId="0" fontId="4" fillId="19" borderId="0" xfId="0" applyFont="1" applyFill="1" applyBorder="1"/>
    <xf numFmtId="0" fontId="5" fillId="0" borderId="0" xfId="0" applyFont="1" applyFill="1" applyBorder="1" applyAlignment="1">
      <alignment horizontal="left"/>
    </xf>
    <xf numFmtId="0" fontId="0" fillId="19" borderId="0" xfId="0" applyFill="1" applyBorder="1" applyAlignment="1">
      <alignment wrapText="1"/>
    </xf>
    <xf numFmtId="0" fontId="0" fillId="19" borderId="0" xfId="0" applyFill="1" applyBorder="1" applyAlignment="1">
      <alignment horizontal="center"/>
    </xf>
    <xf numFmtId="0" fontId="0" fillId="19" borderId="0" xfId="0" applyFont="1" applyFill="1" applyBorder="1" applyAlignment="1">
      <alignment horizontal="center"/>
    </xf>
    <xf numFmtId="1" fontId="0" fillId="19" borderId="0" xfId="0" applyNumberFormat="1" applyFill="1" applyBorder="1" applyAlignment="1">
      <alignment horizontal="center"/>
    </xf>
    <xf numFmtId="0" fontId="0" fillId="19" borderId="2" xfId="0" applyFill="1" applyBorder="1" applyAlignment="1">
      <alignment wrapText="1"/>
    </xf>
    <xf numFmtId="9" fontId="5" fillId="19" borderId="3" xfId="40" applyFont="1" applyFill="1" applyBorder="1" applyAlignment="1">
      <alignment horizontal="center"/>
    </xf>
    <xf numFmtId="9" fontId="5" fillId="19" borderId="2" xfId="40" applyFont="1" applyFill="1" applyBorder="1" applyAlignment="1">
      <alignment horizontal="center"/>
    </xf>
    <xf numFmtId="0" fontId="4" fillId="19" borderId="3" xfId="0" applyFont="1" applyFill="1" applyBorder="1"/>
    <xf numFmtId="1" fontId="0" fillId="19" borderId="4" xfId="0" applyNumberFormat="1" applyFill="1" applyBorder="1" applyAlignment="1">
      <alignment horizontal="center"/>
    </xf>
    <xf numFmtId="0" fontId="0" fillId="19" borderId="1" xfId="0" applyFill="1" applyBorder="1" applyAlignment="1">
      <alignment wrapText="1"/>
    </xf>
    <xf numFmtId="9" fontId="0" fillId="19" borderId="0" xfId="40" applyFont="1" applyFill="1" applyBorder="1" applyAlignment="1">
      <alignment horizontal="center"/>
    </xf>
    <xf numFmtId="9" fontId="4" fillId="19" borderId="0" xfId="40" applyFont="1" applyFill="1" applyBorder="1" applyAlignment="1">
      <alignment horizontal="center"/>
    </xf>
    <xf numFmtId="9" fontId="5" fillId="19" borderId="1" xfId="40" applyFont="1" applyFill="1" applyBorder="1" applyAlignment="1">
      <alignment horizontal="center"/>
    </xf>
    <xf numFmtId="1" fontId="0" fillId="19" borderId="5" xfId="0" applyNumberFormat="1" applyFill="1" applyBorder="1" applyAlignment="1">
      <alignment horizontal="center"/>
    </xf>
    <xf numFmtId="0" fontId="0" fillId="19" borderId="6" xfId="0" applyFill="1" applyBorder="1" applyAlignment="1">
      <alignment wrapText="1"/>
    </xf>
    <xf numFmtId="9" fontId="0" fillId="19" borderId="7" xfId="40" applyFont="1" applyFill="1" applyBorder="1" applyAlignment="1">
      <alignment horizontal="center"/>
    </xf>
    <xf numFmtId="9" fontId="4" fillId="19" borderId="7" xfId="40" applyFont="1" applyFill="1" applyBorder="1" applyAlignment="1">
      <alignment horizontal="center"/>
    </xf>
    <xf numFmtId="9" fontId="5" fillId="19" borderId="6" xfId="40" applyFont="1" applyFill="1" applyBorder="1" applyAlignment="1">
      <alignment horizontal="center"/>
    </xf>
    <xf numFmtId="0" fontId="4" fillId="19" borderId="7" xfId="0" applyFont="1" applyFill="1" applyBorder="1"/>
    <xf numFmtId="1" fontId="0" fillId="19" borderId="8" xfId="0" applyNumberFormat="1" applyFill="1" applyBorder="1" applyAlignment="1">
      <alignment horizontal="center"/>
    </xf>
    <xf numFmtId="0" fontId="0" fillId="19" borderId="0" xfId="0" applyFill="1" applyAlignment="1">
      <alignment wrapText="1"/>
    </xf>
    <xf numFmtId="9" fontId="0" fillId="19" borderId="0" xfId="40" applyFont="1" applyFill="1"/>
    <xf numFmtId="0" fontId="39" fillId="19" borderId="0" xfId="0" applyFont="1" applyFill="1" applyAlignment="1">
      <alignment wrapText="1"/>
    </xf>
    <xf numFmtId="0" fontId="34" fillId="19" borderId="0" xfId="0" applyFont="1" applyFill="1" applyAlignment="1">
      <alignment horizontal="left" vertical="center" wrapText="1" readingOrder="1"/>
    </xf>
    <xf numFmtId="9" fontId="0" fillId="19" borderId="0" xfId="40" applyFont="1" applyFill="1" applyBorder="1"/>
    <xf numFmtId="0" fontId="34" fillId="19" borderId="0" xfId="0" applyFont="1" applyFill="1" applyAlignment="1">
      <alignment wrapText="1"/>
    </xf>
    <xf numFmtId="0" fontId="34" fillId="19" borderId="0" xfId="0" applyFont="1" applyFill="1" applyBorder="1" applyAlignment="1">
      <alignment wrapText="1"/>
    </xf>
    <xf numFmtId="0" fontId="40" fillId="19" borderId="0" xfId="0" applyFont="1" applyFill="1" applyAlignment="1">
      <alignment wrapText="1"/>
    </xf>
    <xf numFmtId="165" fontId="0" fillId="19" borderId="0" xfId="28" applyNumberFormat="1" applyFont="1" applyFill="1" applyBorder="1" applyAlignment="1">
      <alignment horizontal="center" wrapText="1"/>
    </xf>
    <xf numFmtId="9" fontId="5" fillId="19" borderId="3" xfId="40" applyFont="1" applyFill="1" applyBorder="1" applyAlignment="1">
      <alignment horizontal="center" wrapText="1"/>
    </xf>
    <xf numFmtId="9" fontId="0" fillId="19" borderId="0" xfId="40" applyFont="1" applyFill="1" applyBorder="1" applyAlignment="1">
      <alignment horizontal="center" wrapText="1"/>
    </xf>
    <xf numFmtId="9" fontId="0" fillId="19" borderId="7" xfId="40" applyFont="1" applyFill="1" applyBorder="1" applyAlignment="1">
      <alignment horizontal="center" wrapText="1"/>
    </xf>
    <xf numFmtId="0" fontId="5" fillId="19" borderId="0" xfId="0" applyFont="1" applyFill="1" applyAlignment="1">
      <alignment wrapText="1"/>
    </xf>
    <xf numFmtId="0" fontId="3" fillId="19" borderId="0" xfId="0" applyFont="1" applyFill="1"/>
    <xf numFmtId="0" fontId="3" fillId="19" borderId="7" xfId="0" applyFont="1" applyFill="1" applyBorder="1"/>
    <xf numFmtId="0" fontId="3" fillId="19" borderId="7" xfId="0" applyFont="1" applyFill="1" applyBorder="1" applyAlignment="1">
      <alignment wrapText="1"/>
    </xf>
    <xf numFmtId="9" fontId="3" fillId="19" borderId="7" xfId="40" applyFont="1" applyFill="1" applyBorder="1"/>
    <xf numFmtId="9" fontId="0" fillId="0" borderId="43" xfId="40" applyFont="1" applyBorder="1"/>
    <xf numFmtId="0" fontId="0" fillId="0" borderId="43" xfId="0" applyFont="1" applyBorder="1"/>
    <xf numFmtId="0" fontId="0" fillId="0" borderId="43" xfId="0" applyBorder="1"/>
    <xf numFmtId="166" fontId="5" fillId="0" borderId="43" xfId="0" applyNumberFormat="1" applyFont="1" applyBorder="1"/>
    <xf numFmtId="0" fontId="5" fillId="0" borderId="1" xfId="0" applyFont="1" applyFill="1" applyBorder="1" applyAlignment="1">
      <alignment horizontal="left"/>
    </xf>
    <xf numFmtId="0" fontId="41" fillId="19" borderId="22" xfId="211" applyFont="1" applyFill="1" applyBorder="1"/>
    <xf numFmtId="2" fontId="41" fillId="19" borderId="24" xfId="211" applyNumberFormat="1" applyFont="1" applyFill="1" applyBorder="1"/>
    <xf numFmtId="0" fontId="5" fillId="19" borderId="0" xfId="211" applyFill="1"/>
    <xf numFmtId="0" fontId="5" fillId="19" borderId="0" xfId="211" applyFont="1" applyFill="1" applyBorder="1" applyAlignment="1">
      <alignment horizontal="left"/>
    </xf>
    <xf numFmtId="0" fontId="5" fillId="19" borderId="46" xfId="211" applyFill="1" applyBorder="1"/>
    <xf numFmtId="0" fontId="5" fillId="19" borderId="0" xfId="211" applyFont="1" applyFill="1"/>
    <xf numFmtId="0" fontId="5" fillId="19" borderId="44" xfId="211" applyFont="1" applyFill="1" applyBorder="1"/>
    <xf numFmtId="0" fontId="5" fillId="19" borderId="45" xfId="211" applyFont="1" applyFill="1" applyBorder="1" applyAlignment="1">
      <alignment horizontal="right"/>
    </xf>
    <xf numFmtId="0" fontId="3" fillId="19" borderId="10" xfId="211" applyFont="1" applyFill="1" applyBorder="1" applyAlignment="1">
      <alignment horizontal="right"/>
    </xf>
    <xf numFmtId="0" fontId="3" fillId="19" borderId="5" xfId="211" applyFont="1" applyFill="1" applyBorder="1" applyAlignment="1">
      <alignment horizontal="right"/>
    </xf>
    <xf numFmtId="0" fontId="3" fillId="19" borderId="5" xfId="211" applyFont="1" applyFill="1" applyBorder="1" applyAlignment="1">
      <alignment horizontal="center"/>
    </xf>
    <xf numFmtId="0" fontId="5" fillId="19" borderId="11" xfId="211" applyFont="1" applyFill="1" applyBorder="1"/>
    <xf numFmtId="0" fontId="5" fillId="19" borderId="1" xfId="211" applyFont="1" applyFill="1" applyBorder="1"/>
    <xf numFmtId="0" fontId="5" fillId="19" borderId="5" xfId="211" applyFont="1" applyFill="1" applyBorder="1" applyAlignment="1">
      <alignment horizontal="right"/>
    </xf>
    <xf numFmtId="0" fontId="5" fillId="19" borderId="44" xfId="211" applyFill="1" applyBorder="1"/>
    <xf numFmtId="0" fontId="5" fillId="19" borderId="43" xfId="211" applyFill="1" applyBorder="1"/>
    <xf numFmtId="0" fontId="5" fillId="19" borderId="45" xfId="211" applyFill="1" applyBorder="1"/>
    <xf numFmtId="0" fontId="5" fillId="19" borderId="5" xfId="211" applyFill="1" applyBorder="1"/>
    <xf numFmtId="0" fontId="5" fillId="19" borderId="1" xfId="211" applyFill="1" applyBorder="1"/>
    <xf numFmtId="0" fontId="5" fillId="19" borderId="0" xfId="211" applyFill="1" applyBorder="1"/>
    <xf numFmtId="0" fontId="5" fillId="19" borderId="6" xfId="211" applyFill="1" applyBorder="1"/>
    <xf numFmtId="0" fontId="5" fillId="19" borderId="7" xfId="211" applyFill="1" applyBorder="1"/>
    <xf numFmtId="0" fontId="5" fillId="19" borderId="8" xfId="211" applyFill="1" applyBorder="1"/>
    <xf numFmtId="168" fontId="0" fillId="0" borderId="0" xfId="0" applyNumberFormat="1" applyBorder="1" applyAlignment="1">
      <alignment horizontal="center"/>
    </xf>
    <xf numFmtId="0" fontId="5" fillId="0" borderId="7" xfId="0" applyFont="1" applyFill="1" applyBorder="1"/>
    <xf numFmtId="49" fontId="42" fillId="19" borderId="0" xfId="0" applyNumberFormat="1" applyFont="1" applyFill="1" applyAlignment="1">
      <alignment wrapText="1"/>
    </xf>
    <xf numFmtId="49" fontId="43" fillId="19" borderId="0" xfId="0" applyNumberFormat="1" applyFont="1" applyFill="1" applyAlignment="1">
      <alignment wrapText="1"/>
    </xf>
    <xf numFmtId="168" fontId="0" fillId="0" borderId="5" xfId="0" applyNumberFormat="1" applyBorder="1" applyAlignment="1">
      <alignment horizontal="center"/>
    </xf>
    <xf numFmtId="0" fontId="3" fillId="0" borderId="6" xfId="0" applyFont="1" applyBorder="1"/>
    <xf numFmtId="0" fontId="5" fillId="0" borderId="11" xfId="0" applyFont="1" applyFill="1" applyBorder="1" applyAlignment="1">
      <alignment horizontal="center"/>
    </xf>
    <xf numFmtId="9" fontId="0" fillId="0" borderId="8" xfId="40" applyFont="1" applyBorder="1" applyAlignment="1">
      <alignment horizontal="center"/>
    </xf>
    <xf numFmtId="1" fontId="5" fillId="0" borderId="7" xfId="0" applyNumberFormat="1" applyFont="1" applyFill="1" applyBorder="1" applyAlignment="1">
      <alignment horizontal="center"/>
    </xf>
    <xf numFmtId="0" fontId="0" fillId="0" borderId="6" xfId="0" applyBorder="1" applyAlignment="1">
      <alignment horizontal="left"/>
    </xf>
    <xf numFmtId="43" fontId="5" fillId="0" borderId="11" xfId="28" applyNumberFormat="1" applyFont="1" applyBorder="1" applyAlignment="1">
      <alignment horizontal="right"/>
    </xf>
    <xf numFmtId="0" fontId="0" fillId="19" borderId="3" xfId="0" applyFill="1" applyBorder="1" applyAlignment="1">
      <alignment horizontal="center"/>
    </xf>
    <xf numFmtId="0" fontId="5" fillId="0" borderId="1" xfId="0" applyFont="1" applyFill="1" applyBorder="1"/>
    <xf numFmtId="0" fontId="5" fillId="0" borderId="1" xfId="0" applyFont="1" applyBorder="1" applyAlignment="1">
      <alignment horizontal="left"/>
    </xf>
    <xf numFmtId="0" fontId="3" fillId="19" borderId="0" xfId="0" applyFont="1" applyFill="1" applyAlignment="1">
      <alignment wrapText="1"/>
    </xf>
    <xf numFmtId="9" fontId="3" fillId="19" borderId="0" xfId="40" applyFont="1" applyFill="1" applyAlignment="1">
      <alignment horizontal="right"/>
    </xf>
    <xf numFmtId="9" fontId="5" fillId="0" borderId="0" xfId="40" applyNumberFormat="1" applyFont="1" applyAlignment="1">
      <alignment horizontal="right"/>
    </xf>
    <xf numFmtId="10" fontId="5" fillId="0" borderId="43" xfId="40" applyNumberFormat="1" applyFont="1" applyBorder="1" applyAlignment="1">
      <alignment horizontal="right"/>
    </xf>
    <xf numFmtId="165" fontId="0" fillId="0" borderId="21" xfId="0" applyNumberFormat="1" applyBorder="1" applyAlignment="1">
      <alignment horizontal="right"/>
    </xf>
    <xf numFmtId="0" fontId="9" fillId="19" borderId="0" xfId="0" applyFont="1" applyFill="1" applyAlignment="1">
      <alignment horizontal="left"/>
    </xf>
    <xf numFmtId="0" fontId="10" fillId="19" borderId="0" xfId="0" applyFont="1" applyFill="1"/>
    <xf numFmtId="0" fontId="10" fillId="19" borderId="0" xfId="0" applyFont="1" applyFill="1" applyAlignment="1">
      <alignment horizontal="center"/>
    </xf>
    <xf numFmtId="0" fontId="3" fillId="19" borderId="0" xfId="0" applyFont="1" applyFill="1" applyBorder="1" applyAlignment="1">
      <alignment horizontal="center"/>
    </xf>
    <xf numFmtId="37" fontId="0" fillId="19" borderId="0" xfId="0" applyNumberFormat="1" applyFont="1" applyFill="1" applyBorder="1" applyAlignment="1">
      <alignment horizontal="center"/>
    </xf>
    <xf numFmtId="0" fontId="3" fillId="19" borderId="0" xfId="0" applyFont="1" applyFill="1" applyBorder="1" applyAlignment="1">
      <alignment horizontal="left"/>
    </xf>
    <xf numFmtId="0" fontId="3" fillId="19" borderId="0" xfId="0" applyFont="1" applyFill="1" applyBorder="1" applyAlignment="1">
      <alignment horizontal="right"/>
    </xf>
    <xf numFmtId="0" fontId="5" fillId="19" borderId="0" xfId="0" applyFont="1" applyFill="1" applyAlignment="1">
      <alignment horizontal="right"/>
    </xf>
    <xf numFmtId="0" fontId="5" fillId="19" borderId="0" xfId="0" applyFont="1" applyFill="1" applyBorder="1" applyAlignment="1">
      <alignment horizontal="right"/>
    </xf>
    <xf numFmtId="165" fontId="5" fillId="19" borderId="0" xfId="28" applyNumberFormat="1" applyFont="1" applyFill="1" applyBorder="1" applyAlignment="1">
      <alignment horizontal="right"/>
    </xf>
    <xf numFmtId="165" fontId="0" fillId="19" borderId="0" xfId="28" applyNumberFormat="1" applyFont="1" applyFill="1" applyBorder="1" applyAlignment="1"/>
    <xf numFmtId="0" fontId="0" fillId="19" borderId="0" xfId="0" applyFill="1" applyAlignment="1">
      <alignment horizontal="center"/>
    </xf>
    <xf numFmtId="0" fontId="5" fillId="19" borderId="2" xfId="0" applyFont="1" applyFill="1" applyBorder="1" applyAlignment="1">
      <alignment horizontal="left"/>
    </xf>
    <xf numFmtId="166" fontId="0" fillId="19" borderId="3" xfId="40" applyNumberFormat="1" applyFont="1" applyFill="1" applyBorder="1" applyAlignment="1">
      <alignment horizontal="right"/>
    </xf>
    <xf numFmtId="166" fontId="0" fillId="19" borderId="25" xfId="0" applyNumberFormat="1" applyFill="1" applyBorder="1" applyAlignment="1">
      <alignment horizontal="right"/>
    </xf>
    <xf numFmtId="166" fontId="5" fillId="19" borderId="26" xfId="0" applyNumberFormat="1" applyFont="1" applyFill="1" applyBorder="1" applyAlignment="1">
      <alignment horizontal="right"/>
    </xf>
    <xf numFmtId="166" fontId="5" fillId="19" borderId="27" xfId="28" applyNumberFormat="1" applyFont="1" applyFill="1" applyBorder="1" applyAlignment="1">
      <alignment horizontal="right"/>
    </xf>
    <xf numFmtId="165" fontId="5" fillId="19" borderId="0" xfId="28" applyNumberFormat="1" applyFont="1" applyFill="1" applyBorder="1" applyAlignment="1"/>
    <xf numFmtId="0" fontId="0" fillId="19" borderId="1" xfId="0" applyFill="1" applyBorder="1" applyAlignment="1">
      <alignment horizontal="left"/>
    </xf>
    <xf numFmtId="166" fontId="0" fillId="19" borderId="0" xfId="40" applyNumberFormat="1" applyFont="1" applyFill="1" applyBorder="1" applyAlignment="1">
      <alignment horizontal="right"/>
    </xf>
    <xf numFmtId="166" fontId="0" fillId="19" borderId="28" xfId="0" applyNumberFormat="1" applyFill="1" applyBorder="1" applyAlignment="1">
      <alignment horizontal="right"/>
    </xf>
    <xf numFmtId="166" fontId="5" fillId="19" borderId="0" xfId="0" applyNumberFormat="1" applyFont="1" applyFill="1" applyBorder="1" applyAlignment="1">
      <alignment horizontal="right"/>
    </xf>
    <xf numFmtId="166" fontId="5" fillId="19" borderId="29" xfId="28" applyNumberFormat="1" applyFont="1" applyFill="1" applyBorder="1" applyAlignment="1">
      <alignment horizontal="right"/>
    </xf>
    <xf numFmtId="0" fontId="0" fillId="19" borderId="1" xfId="0" applyFont="1" applyFill="1" applyBorder="1" applyAlignment="1">
      <alignment horizontal="left"/>
    </xf>
    <xf numFmtId="165" fontId="0" fillId="19" borderId="0" xfId="28" applyNumberFormat="1" applyFont="1" applyFill="1" applyBorder="1" applyAlignment="1">
      <alignment horizontal="right"/>
    </xf>
    <xf numFmtId="165" fontId="0" fillId="19" borderId="28" xfId="28" applyNumberFormat="1" applyFont="1" applyFill="1" applyBorder="1" applyAlignment="1">
      <alignment horizontal="right"/>
    </xf>
    <xf numFmtId="165" fontId="5" fillId="19" borderId="29" xfId="28" applyNumberFormat="1" applyFont="1" applyFill="1" applyBorder="1" applyAlignment="1">
      <alignment horizontal="right"/>
    </xf>
    <xf numFmtId="3" fontId="0" fillId="19" borderId="0" xfId="0" applyNumberFormat="1" applyFill="1" applyBorder="1" applyAlignment="1">
      <alignment horizontal="right"/>
    </xf>
    <xf numFmtId="0" fontId="5" fillId="19" borderId="6" xfId="0" applyFont="1" applyFill="1" applyBorder="1" applyAlignment="1">
      <alignment horizontal="left"/>
    </xf>
    <xf numFmtId="0" fontId="0" fillId="19" borderId="7" xfId="0" applyFill="1" applyBorder="1" applyAlignment="1">
      <alignment horizontal="center"/>
    </xf>
    <xf numFmtId="0" fontId="5" fillId="19" borderId="7" xfId="0" applyFont="1" applyFill="1" applyBorder="1" applyAlignment="1">
      <alignment horizontal="center"/>
    </xf>
    <xf numFmtId="0" fontId="0" fillId="19" borderId="7" xfId="0" applyFill="1" applyBorder="1"/>
    <xf numFmtId="166" fontId="0" fillId="19" borderId="7" xfId="0" applyNumberFormat="1" applyFill="1" applyBorder="1" applyAlignment="1">
      <alignment horizontal="right"/>
    </xf>
    <xf numFmtId="166" fontId="0" fillId="19" borderId="30" xfId="0" applyNumberFormat="1" applyFill="1" applyBorder="1" applyAlignment="1">
      <alignment horizontal="right"/>
    </xf>
    <xf numFmtId="166" fontId="0" fillId="19" borderId="31" xfId="0" applyNumberFormat="1" applyFont="1" applyFill="1" applyBorder="1" applyAlignment="1">
      <alignment horizontal="right"/>
    </xf>
    <xf numFmtId="166" fontId="5" fillId="19" borderId="31" xfId="0" applyNumberFormat="1" applyFont="1" applyFill="1" applyBorder="1" applyAlignment="1">
      <alignment horizontal="right"/>
    </xf>
    <xf numFmtId="166" fontId="5" fillId="19" borderId="32" xfId="28" applyNumberFormat="1" applyFont="1" applyFill="1" applyBorder="1" applyAlignment="1">
      <alignment horizontal="right"/>
    </xf>
    <xf numFmtId="0" fontId="0" fillId="19" borderId="0" xfId="0" applyFill="1" applyBorder="1" applyAlignment="1">
      <alignment horizontal="right"/>
    </xf>
    <xf numFmtId="6" fontId="0" fillId="19" borderId="0" xfId="0" applyNumberFormat="1" applyFill="1" applyBorder="1" applyAlignment="1">
      <alignment horizontal="right"/>
    </xf>
    <xf numFmtId="0" fontId="0" fillId="19" borderId="0" xfId="0" applyFont="1" applyFill="1" applyBorder="1"/>
    <xf numFmtId="0" fontId="10" fillId="19" borderId="0" xfId="0" applyFont="1" applyFill="1" applyBorder="1"/>
    <xf numFmtId="166" fontId="0" fillId="19" borderId="0" xfId="0" applyNumberFormat="1" applyFill="1" applyBorder="1" applyAlignment="1">
      <alignment horizontal="right"/>
    </xf>
    <xf numFmtId="166" fontId="5" fillId="19" borderId="0" xfId="28" applyNumberFormat="1" applyFont="1" applyFill="1" applyBorder="1" applyAlignment="1">
      <alignment horizontal="right"/>
    </xf>
    <xf numFmtId="0" fontId="5" fillId="0" borderId="44" xfId="0" applyFont="1" applyFill="1" applyBorder="1" applyAlignment="1">
      <alignment horizontal="left"/>
    </xf>
    <xf numFmtId="0" fontId="0" fillId="0" borderId="43" xfId="0" applyBorder="1" applyAlignment="1">
      <alignment horizontal="center"/>
    </xf>
    <xf numFmtId="0" fontId="0" fillId="0" borderId="43" xfId="0" applyFill="1" applyBorder="1" applyAlignment="1">
      <alignment horizontal="center"/>
    </xf>
    <xf numFmtId="166" fontId="0" fillId="0" borderId="45" xfId="40" applyNumberFormat="1" applyFont="1" applyFill="1" applyBorder="1" applyAlignment="1">
      <alignment horizontal="right"/>
    </xf>
    <xf numFmtId="166" fontId="0" fillId="0" borderId="5" xfId="40" applyNumberFormat="1" applyFont="1" applyFill="1" applyBorder="1" applyAlignment="1">
      <alignment horizontal="right"/>
    </xf>
    <xf numFmtId="0" fontId="0" fillId="0" borderId="6" xfId="0" applyFont="1" applyFill="1" applyBorder="1" applyAlignment="1">
      <alignment horizontal="left"/>
    </xf>
    <xf numFmtId="0" fontId="5" fillId="0" borderId="7" xfId="0" applyFont="1" applyFill="1" applyBorder="1" applyAlignment="1">
      <alignment horizontal="center"/>
    </xf>
    <xf numFmtId="0" fontId="0" fillId="0" borderId="7" xfId="0" applyBorder="1"/>
    <xf numFmtId="165" fontId="0" fillId="0" borderId="8" xfId="28" applyNumberFormat="1" applyFont="1" applyFill="1" applyBorder="1" applyAlignment="1">
      <alignment horizontal="right"/>
    </xf>
    <xf numFmtId="37" fontId="0" fillId="19" borderId="0" xfId="0" applyNumberFormat="1" applyFont="1" applyFill="1" applyAlignment="1">
      <alignment horizontal="center"/>
    </xf>
    <xf numFmtId="37" fontId="0" fillId="19" borderId="0" xfId="0" applyNumberFormat="1" applyFont="1" applyFill="1"/>
    <xf numFmtId="167" fontId="0" fillId="19" borderId="0" xfId="0" applyNumberFormat="1" applyFill="1"/>
    <xf numFmtId="37" fontId="0" fillId="19" borderId="0" xfId="0" applyNumberFormat="1" applyFont="1" applyFill="1" applyAlignment="1">
      <alignment horizontal="right"/>
    </xf>
    <xf numFmtId="0" fontId="0" fillId="19" borderId="0" xfId="0" applyFill="1" applyAlignment="1">
      <alignment horizontal="right"/>
    </xf>
    <xf numFmtId="0" fontId="0" fillId="19" borderId="0" xfId="0" applyFont="1" applyFill="1" applyAlignment="1">
      <alignment horizontal="right"/>
    </xf>
    <xf numFmtId="37" fontId="3" fillId="19" borderId="0" xfId="0" applyNumberFormat="1" applyFont="1" applyFill="1" applyAlignment="1">
      <alignment horizontal="left"/>
    </xf>
    <xf numFmtId="37" fontId="0" fillId="19" borderId="0" xfId="0" applyNumberFormat="1" applyFill="1" applyAlignment="1">
      <alignment horizontal="right"/>
    </xf>
    <xf numFmtId="0" fontId="0" fillId="19" borderId="0" xfId="0" applyFont="1" applyFill="1"/>
    <xf numFmtId="0" fontId="0" fillId="19" borderId="0" xfId="0" applyFont="1" applyFill="1" applyAlignment="1"/>
    <xf numFmtId="1" fontId="0" fillId="19" borderId="0" xfId="0" applyNumberFormat="1" applyFill="1"/>
    <xf numFmtId="37" fontId="0" fillId="19" borderId="7" xfId="0" applyNumberFormat="1" applyFill="1" applyBorder="1"/>
    <xf numFmtId="167" fontId="0" fillId="19" borderId="0" xfId="40" applyNumberFormat="1" applyFont="1" applyFill="1"/>
    <xf numFmtId="1" fontId="0" fillId="19" borderId="0" xfId="0" applyNumberFormat="1" applyFont="1" applyFill="1" applyAlignment="1"/>
    <xf numFmtId="166" fontId="0" fillId="19" borderId="0" xfId="0" applyNumberFormat="1" applyFill="1"/>
    <xf numFmtId="37" fontId="0" fillId="19" borderId="7" xfId="0" applyNumberFormat="1" applyFill="1" applyBorder="1" applyAlignment="1">
      <alignment horizontal="center"/>
    </xf>
    <xf numFmtId="37" fontId="0" fillId="19" borderId="6" xfId="0" applyNumberFormat="1" applyFill="1" applyBorder="1"/>
    <xf numFmtId="39" fontId="0" fillId="19" borderId="1" xfId="0" applyNumberFormat="1" applyFont="1" applyFill="1" applyBorder="1" applyAlignment="1">
      <alignment horizontal="center"/>
    </xf>
    <xf numFmtId="37" fontId="0" fillId="19" borderId="1" xfId="0" applyNumberFormat="1" applyFont="1" applyFill="1" applyBorder="1" applyAlignment="1">
      <alignment horizontal="center"/>
    </xf>
    <xf numFmtId="0" fontId="3" fillId="19" borderId="36" xfId="0" applyFont="1" applyFill="1" applyBorder="1"/>
    <xf numFmtId="0" fontId="3" fillId="19" borderId="47" xfId="0" applyFont="1" applyFill="1" applyBorder="1" applyAlignment="1">
      <alignment horizontal="center"/>
    </xf>
    <xf numFmtId="0" fontId="3" fillId="19" borderId="37" xfId="0" applyFont="1" applyFill="1" applyBorder="1" applyAlignment="1">
      <alignment horizontal="center"/>
    </xf>
    <xf numFmtId="0" fontId="5" fillId="19" borderId="38" xfId="0" applyFont="1" applyFill="1" applyBorder="1"/>
    <xf numFmtId="168" fontId="0" fillId="19" borderId="49" xfId="0" applyNumberFormat="1" applyFill="1" applyBorder="1" applyAlignment="1">
      <alignment horizontal="center"/>
    </xf>
    <xf numFmtId="0" fontId="0" fillId="19" borderId="39" xfId="0" applyFill="1" applyBorder="1" applyAlignment="1">
      <alignment horizontal="center"/>
    </xf>
    <xf numFmtId="37" fontId="0" fillId="19" borderId="8" xfId="0" applyNumberFormat="1" applyFill="1" applyBorder="1" applyAlignment="1">
      <alignment horizontal="center"/>
    </xf>
    <xf numFmtId="37" fontId="0" fillId="19" borderId="6" xfId="0" applyNumberFormat="1" applyFill="1" applyBorder="1" applyAlignment="1">
      <alignment horizontal="center"/>
    </xf>
    <xf numFmtId="37" fontId="0" fillId="19" borderId="7" xfId="0" applyNumberFormat="1" applyFont="1" applyFill="1" applyBorder="1"/>
    <xf numFmtId="168" fontId="0" fillId="19" borderId="48" xfId="0" applyNumberFormat="1" applyFill="1" applyBorder="1" applyAlignment="1">
      <alignment horizontal="center"/>
    </xf>
    <xf numFmtId="0" fontId="0" fillId="19" borderId="41" xfId="0" applyFill="1" applyBorder="1" applyAlignment="1">
      <alignment horizontal="center"/>
    </xf>
    <xf numFmtId="39" fontId="0" fillId="19" borderId="2" xfId="0" applyNumberFormat="1" applyFont="1" applyFill="1" applyBorder="1" applyAlignment="1">
      <alignment horizontal="center"/>
    </xf>
    <xf numFmtId="0" fontId="0" fillId="19" borderId="1" xfId="0" applyFill="1" applyBorder="1" applyAlignment="1">
      <alignment horizontal="center"/>
    </xf>
    <xf numFmtId="39" fontId="0" fillId="19" borderId="0" xfId="0" applyNumberFormat="1" applyFont="1" applyFill="1" applyAlignment="1">
      <alignment horizontal="center"/>
    </xf>
    <xf numFmtId="37" fontId="0" fillId="19" borderId="7" xfId="0" applyNumberFormat="1" applyFont="1" applyFill="1" applyBorder="1" applyAlignment="1">
      <alignment horizontal="center"/>
    </xf>
    <xf numFmtId="37" fontId="0" fillId="19" borderId="1" xfId="0" applyNumberFormat="1" applyFill="1" applyBorder="1" applyAlignment="1">
      <alignment horizontal="center"/>
    </xf>
    <xf numFmtId="168" fontId="0" fillId="19" borderId="0" xfId="0" applyNumberFormat="1" applyFill="1" applyBorder="1"/>
    <xf numFmtId="9" fontId="0" fillId="19" borderId="43" xfId="40" applyFont="1" applyFill="1" applyBorder="1"/>
    <xf numFmtId="0" fontId="0" fillId="19" borderId="43" xfId="0" applyFont="1" applyFill="1" applyBorder="1"/>
    <xf numFmtId="0" fontId="0" fillId="19" borderId="43" xfId="0" applyFill="1" applyBorder="1"/>
    <xf numFmtId="166" fontId="5" fillId="19" borderId="43" xfId="0" applyNumberFormat="1" applyFont="1" applyFill="1" applyBorder="1"/>
    <xf numFmtId="37" fontId="0" fillId="19" borderId="0" xfId="0" applyNumberFormat="1" applyFont="1" applyFill="1" applyBorder="1"/>
    <xf numFmtId="166" fontId="5" fillId="19" borderId="0" xfId="0" applyNumberFormat="1" applyFont="1" applyFill="1"/>
    <xf numFmtId="167" fontId="5" fillId="19" borderId="0" xfId="0" applyNumberFormat="1" applyFont="1" applyFill="1"/>
    <xf numFmtId="9" fontId="5" fillId="19" borderId="0" xfId="0" applyNumberFormat="1" applyFont="1" applyFill="1"/>
    <xf numFmtId="0" fontId="5" fillId="19" borderId="0" xfId="0" applyFont="1" applyFill="1" applyBorder="1"/>
    <xf numFmtId="0" fontId="5" fillId="19" borderId="44" xfId="0" applyFont="1" applyFill="1" applyBorder="1"/>
    <xf numFmtId="166" fontId="5" fillId="19" borderId="45" xfId="0" applyNumberFormat="1" applyFont="1" applyFill="1" applyBorder="1"/>
    <xf numFmtId="9" fontId="5" fillId="19" borderId="5" xfId="40" applyFont="1" applyFill="1" applyBorder="1"/>
    <xf numFmtId="166" fontId="5" fillId="19" borderId="5" xfId="0" applyNumberFormat="1" applyFont="1" applyFill="1" applyBorder="1"/>
    <xf numFmtId="0" fontId="5" fillId="19" borderId="6" xfId="0" applyFont="1" applyFill="1" applyBorder="1"/>
    <xf numFmtId="9" fontId="5" fillId="19" borderId="8" xfId="40" applyFont="1" applyFill="1" applyBorder="1"/>
    <xf numFmtId="0" fontId="5" fillId="19" borderId="0" xfId="0" applyFont="1" applyFill="1" applyAlignment="1">
      <alignment horizontal="center"/>
    </xf>
    <xf numFmtId="0" fontId="3" fillId="19" borderId="0" xfId="0" applyFont="1" applyFill="1" applyBorder="1"/>
    <xf numFmtId="168" fontId="0" fillId="19" borderId="0" xfId="0" applyNumberFormat="1" applyFill="1" applyBorder="1" applyAlignment="1">
      <alignment horizontal="center"/>
    </xf>
    <xf numFmtId="166" fontId="5" fillId="19" borderId="0" xfId="0" applyNumberFormat="1" applyFont="1" applyFill="1" applyBorder="1"/>
    <xf numFmtId="9" fontId="5" fillId="19" borderId="0" xfId="40" applyFont="1" applyFill="1" applyBorder="1"/>
    <xf numFmtId="0" fontId="5" fillId="22" borderId="0" xfId="0" applyFont="1" applyFill="1" applyAlignment="1">
      <alignment wrapText="1"/>
    </xf>
    <xf numFmtId="0" fontId="5" fillId="19" borderId="2" xfId="0" applyFont="1" applyFill="1" applyBorder="1" applyAlignment="1">
      <alignment horizontal="center"/>
    </xf>
    <xf numFmtId="0" fontId="0" fillId="19" borderId="3" xfId="0" applyFill="1" applyBorder="1" applyAlignment="1">
      <alignment horizontal="center"/>
    </xf>
    <xf numFmtId="0" fontId="0" fillId="19" borderId="4" xfId="0" applyFill="1" applyBorder="1" applyAlignment="1">
      <alignment horizontal="center"/>
    </xf>
    <xf numFmtId="0" fontId="36" fillId="19" borderId="22" xfId="0" applyFont="1" applyFill="1" applyBorder="1" applyAlignment="1">
      <alignment horizontal="center"/>
    </xf>
    <xf numFmtId="0" fontId="36" fillId="19" borderId="23" xfId="0" applyFont="1" applyFill="1" applyBorder="1" applyAlignment="1">
      <alignment horizontal="center"/>
    </xf>
    <xf numFmtId="0" fontId="36" fillId="19" borderId="24" xfId="0" applyFont="1" applyFill="1" applyBorder="1" applyAlignment="1">
      <alignment horizontal="center"/>
    </xf>
    <xf numFmtId="0" fontId="36" fillId="21" borderId="22" xfId="0" applyFont="1" applyFill="1" applyBorder="1" applyAlignment="1">
      <alignment horizontal="center"/>
    </xf>
    <xf numFmtId="0" fontId="36" fillId="21" borderId="23" xfId="0" applyFont="1" applyFill="1" applyBorder="1" applyAlignment="1">
      <alignment horizontal="center"/>
    </xf>
    <xf numFmtId="0" fontId="36" fillId="21" borderId="42" xfId="0" applyFont="1" applyFill="1" applyBorder="1" applyAlignment="1">
      <alignment horizontal="center"/>
    </xf>
    <xf numFmtId="0" fontId="5" fillId="19" borderId="44" xfId="211" applyFont="1" applyFill="1" applyBorder="1" applyAlignment="1">
      <alignment horizontal="center"/>
    </xf>
    <xf numFmtId="0" fontId="5" fillId="19" borderId="43" xfId="211" applyFill="1" applyBorder="1" applyAlignment="1">
      <alignment horizontal="center"/>
    </xf>
    <xf numFmtId="0" fontId="5" fillId="19" borderId="45" xfId="211" applyFill="1" applyBorder="1" applyAlignment="1">
      <alignment horizontal="center"/>
    </xf>
  </cellXfs>
  <cellStyles count="212">
    <cellStyle name="20% - Accent1" xfId="1" xr:uid="{00000000-0005-0000-0000-000000000000}"/>
    <cellStyle name="20% - Accent2" xfId="2" xr:uid="{00000000-0005-0000-0000-000001000000}"/>
    <cellStyle name="20% - Accent3" xfId="3" xr:uid="{00000000-0005-0000-0000-000002000000}"/>
    <cellStyle name="20% - Accent4" xfId="4" xr:uid="{00000000-0005-0000-0000-000003000000}"/>
    <cellStyle name="20% - Accent5" xfId="5" xr:uid="{00000000-0005-0000-0000-000004000000}"/>
    <cellStyle name="20% - Accent6" xfId="6" xr:uid="{00000000-0005-0000-0000-000005000000}"/>
    <cellStyle name="40% - Accent1" xfId="7" xr:uid="{00000000-0005-0000-0000-000006000000}"/>
    <cellStyle name="40% - Accent2" xfId="8" xr:uid="{00000000-0005-0000-0000-000007000000}"/>
    <cellStyle name="40% - Accent3" xfId="9" xr:uid="{00000000-0005-0000-0000-000008000000}"/>
    <cellStyle name="40% - Accent4" xfId="10" xr:uid="{00000000-0005-0000-0000-000009000000}"/>
    <cellStyle name="40% - Accent5" xfId="11" xr:uid="{00000000-0005-0000-0000-00000A000000}"/>
    <cellStyle name="40% - Accent6" xfId="12" xr:uid="{00000000-0005-0000-0000-00000B000000}"/>
    <cellStyle name="60% - Accent1" xfId="13" xr:uid="{00000000-0005-0000-0000-00000C000000}"/>
    <cellStyle name="60% - Accent2" xfId="14" xr:uid="{00000000-0005-0000-0000-00000D000000}"/>
    <cellStyle name="60% - Accent3" xfId="15" xr:uid="{00000000-0005-0000-0000-00000E000000}"/>
    <cellStyle name="60% - Accent4" xfId="16" xr:uid="{00000000-0005-0000-0000-00000F000000}"/>
    <cellStyle name="60% - Accent5" xfId="17" xr:uid="{00000000-0005-0000-0000-000010000000}"/>
    <cellStyle name="60% - Accent6" xfId="18" xr:uid="{00000000-0005-0000-0000-000011000000}"/>
    <cellStyle name="Accent1" xfId="19" xr:uid="{00000000-0005-0000-0000-000012000000}"/>
    <cellStyle name="Accent2" xfId="20" xr:uid="{00000000-0005-0000-0000-000013000000}"/>
    <cellStyle name="Accent3" xfId="21" xr:uid="{00000000-0005-0000-0000-000014000000}"/>
    <cellStyle name="Accent4" xfId="22" xr:uid="{00000000-0005-0000-0000-000015000000}"/>
    <cellStyle name="Accent5" xfId="23" xr:uid="{00000000-0005-0000-0000-000016000000}"/>
    <cellStyle name="Accent6" xfId="24" xr:uid="{00000000-0005-0000-0000-000017000000}"/>
    <cellStyle name="Bad" xfId="25" xr:uid="{00000000-0005-0000-0000-000018000000}"/>
    <cellStyle name="Calculation" xfId="26" xr:uid="{00000000-0005-0000-0000-000019000000}"/>
    <cellStyle name="Check Cell" xfId="27" xr:uid="{00000000-0005-0000-0000-00001A000000}"/>
    <cellStyle name="Comma" xfId="28" builtinId="3"/>
    <cellStyle name="Comma 2" xfId="196" xr:uid="{00000000-0005-0000-0000-00001C000000}"/>
    <cellStyle name="Explanatory Text" xfId="29" xr:uid="{00000000-0005-0000-0000-00001D000000}"/>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Good" xfId="30" xr:uid="{00000000-0005-0000-0000-00006F000000}"/>
    <cellStyle name="Heading 1" xfId="31" xr:uid="{00000000-0005-0000-0000-000070000000}"/>
    <cellStyle name="Heading 2" xfId="32" xr:uid="{00000000-0005-0000-0000-000071000000}"/>
    <cellStyle name="Heading 3" xfId="33" xr:uid="{00000000-0005-0000-0000-000072000000}"/>
    <cellStyle name="Heading 4" xfId="34" xr:uid="{00000000-0005-0000-0000-000073000000}"/>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Input" xfId="35" xr:uid="{00000000-0005-0000-0000-0000C5000000}"/>
    <cellStyle name="Linked Cell" xfId="36" xr:uid="{00000000-0005-0000-0000-0000C6000000}"/>
    <cellStyle name="Neutral" xfId="37" xr:uid="{00000000-0005-0000-0000-0000C7000000}"/>
    <cellStyle name="Normal" xfId="0" builtinId="0"/>
    <cellStyle name="Normal 2" xfId="44" xr:uid="{00000000-0005-0000-0000-0000C9000000}"/>
    <cellStyle name="Normal 3" xfId="45" xr:uid="{00000000-0005-0000-0000-0000CA000000}"/>
    <cellStyle name="Normal 4" xfId="46" xr:uid="{00000000-0005-0000-0000-0000CB000000}"/>
    <cellStyle name="Normal 5" xfId="195" xr:uid="{00000000-0005-0000-0000-0000CC000000}"/>
    <cellStyle name="Normal 6" xfId="211" xr:uid="{3EFAB044-DF85-514A-885C-AED9F7380330}"/>
    <cellStyle name="Note" xfId="38" xr:uid="{00000000-0005-0000-0000-0000CD000000}"/>
    <cellStyle name="Output" xfId="39" xr:uid="{00000000-0005-0000-0000-0000CE000000}"/>
    <cellStyle name="Percent" xfId="40" builtinId="5"/>
    <cellStyle name="Title" xfId="41" xr:uid="{00000000-0005-0000-0000-0000D0000000}"/>
    <cellStyle name="Total" xfId="42" xr:uid="{00000000-0005-0000-0000-0000D1000000}"/>
    <cellStyle name="Warning Text" xfId="43" xr:uid="{00000000-0005-0000-0000-0000D2000000}"/>
  </cellStyles>
  <dxfs count="22">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patternType="solid">
          <bgColor indexed="13"/>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s>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US" sz="2400"/>
              <a:t>Tornado for Sweet Spot Mkt: PWMOIC</a:t>
            </a:r>
          </a:p>
        </c:rich>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v>Low</c:v>
          </c:tx>
          <c:spPr>
            <a:solidFill>
              <a:schemeClr val="accent6">
                <a:lumMod val="60000"/>
                <a:lumOff val="40000"/>
              </a:schemeClr>
            </a:solidFill>
            <a:ln>
              <a:noFill/>
            </a:ln>
            <a:effectLst/>
          </c:spPr>
          <c:invertIfNegative val="0"/>
          <c:dPt>
            <c:idx val="0"/>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3-AC35-B44D-BED3-FD2662CF8EF4}"/>
              </c:ext>
            </c:extLst>
          </c:dPt>
          <c:dLbls>
            <c:dLbl>
              <c:idx val="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C35-B44D-BED3-FD2662CF8EF4}"/>
                </c:ext>
              </c:extLst>
            </c:dLbl>
            <c:dLbl>
              <c:idx val="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7000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4-AC35-B44D-BED3-FD2662CF8EF4}"/>
                </c:ext>
              </c:extLst>
            </c:dLbl>
            <c:dLbl>
              <c:idx val="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0.4</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C35-B44D-BED3-FD2662CF8EF4}"/>
                </c:ext>
              </c:extLst>
            </c:dLbl>
            <c:dLbl>
              <c:idx val="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AC35-B44D-BED3-FD2662CF8EF4}"/>
                </c:ext>
              </c:extLst>
            </c:dLbl>
            <c:dLbl>
              <c:idx val="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0.02</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AC35-B44D-BED3-FD2662CF8EF4}"/>
                </c:ext>
              </c:extLst>
            </c:dLbl>
            <c:dLbl>
              <c:idx val="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0.3</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AC35-B44D-BED3-FD2662CF8EF4}"/>
                </c:ext>
              </c:extLst>
            </c:dLbl>
            <c:dLbl>
              <c:idx val="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1.5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AC35-B44D-BED3-FD2662CF8EF4}"/>
                </c:ext>
              </c:extLst>
            </c:dLbl>
            <c:dLbl>
              <c:idx val="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AC35-B44D-BED3-FD2662CF8EF4}"/>
                </c:ext>
              </c:extLst>
            </c:dLbl>
            <c:dLbl>
              <c:idx val="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0.25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0-AC35-B44D-BED3-FD2662CF8EF4}"/>
                </c:ext>
              </c:extLst>
            </c:dLbl>
            <c:dLbl>
              <c:idx val="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2-AC35-B44D-BED3-FD2662CF8EF4}"/>
                </c:ext>
              </c:extLst>
            </c:dLbl>
            <c:dLbl>
              <c:idx val="1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4-AC35-B44D-BED3-FD2662CF8EF4}"/>
                </c:ext>
              </c:extLst>
            </c:dLbl>
            <c:dLbl>
              <c:idx val="1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3</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6-AC35-B44D-BED3-FD2662CF8EF4}"/>
                </c:ext>
              </c:extLst>
            </c:dLbl>
            <c:dLbl>
              <c:idx val="1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3000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8-AC35-B44D-BED3-FD2662CF8EF4}"/>
                </c:ext>
              </c:extLst>
            </c:dLbl>
            <c:dLbl>
              <c:idx val="1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A-AC35-B44D-BED3-FD2662CF8EF4}"/>
                </c:ext>
              </c:extLst>
            </c:dLbl>
            <c:dLbl>
              <c:idx val="1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2</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C-AC35-B44D-BED3-FD2662CF8EF4}"/>
                </c:ext>
              </c:extLst>
            </c:dLbl>
            <c:dLbl>
              <c:idx val="1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E-AC35-B44D-BED3-FD2662CF8EF4}"/>
                </c:ext>
              </c:extLst>
            </c:dLbl>
            <c:dLbl>
              <c:idx val="1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0-AC35-B44D-BED3-FD2662CF8EF4}"/>
                </c:ext>
              </c:extLst>
            </c:dLbl>
            <c:dLbl>
              <c:idx val="1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0.4</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2-AC35-B44D-BED3-FD2662CF8EF4}"/>
                </c:ext>
              </c:extLst>
            </c:dLbl>
            <c:dLbl>
              <c:idx val="1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4-AC35-B44D-BED3-FD2662CF8EF4}"/>
                </c:ext>
              </c:extLst>
            </c:dLbl>
            <c:dLbl>
              <c:idx val="1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0.2</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6-AC35-B44D-BED3-FD2662CF8EF4}"/>
                </c:ext>
              </c:extLst>
            </c:dLbl>
            <c:dLbl>
              <c:idx val="2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8-AC35-B44D-BED3-FD2662CF8EF4}"/>
                </c:ext>
              </c:extLst>
            </c:dLbl>
            <c:dLbl>
              <c:idx val="2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A-AC35-B44D-BED3-FD2662CF8EF4}"/>
                </c:ext>
              </c:extLst>
            </c:dLbl>
            <c:dLbl>
              <c:idx val="2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0.08</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C-AC35-B44D-BED3-FD2662CF8EF4}"/>
                </c:ext>
              </c:extLst>
            </c:dLbl>
            <c:dLbl>
              <c:idx val="2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200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E-AC35-B44D-BED3-FD2662CF8EF4}"/>
                </c:ext>
              </c:extLst>
            </c:dLbl>
            <c:dLbl>
              <c:idx val="2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3</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0-AC35-B44D-BED3-FD2662CF8EF4}"/>
                </c:ext>
              </c:extLst>
            </c:dLbl>
            <c:dLbl>
              <c:idx val="2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2-AC35-B44D-BED3-FD2662CF8EF4}"/>
                </c:ext>
              </c:extLst>
            </c:dLbl>
            <c:dLbl>
              <c:idx val="2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6-AC35-B44D-BED3-FD2662CF8EF4}"/>
                </c:ext>
              </c:extLst>
            </c:dLbl>
            <c:dLbl>
              <c:idx val="2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8-AC35-B44D-BED3-FD2662CF8EF4}"/>
                </c:ext>
              </c:extLst>
            </c:dLbl>
            <c:dLbl>
              <c:idx val="2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A-AC35-B44D-BED3-FD2662CF8EF4}"/>
                </c:ext>
              </c:extLst>
            </c:dLbl>
            <c:dLbl>
              <c:idx val="2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C-AC35-B44D-BED3-FD2662CF8EF4}"/>
                </c:ext>
              </c:extLst>
            </c:dLbl>
            <c:dLbl>
              <c:idx val="3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E-AC35-B44D-BED3-FD2662CF8EF4}"/>
                </c:ext>
              </c:extLst>
            </c:dLbl>
            <c:dLbl>
              <c:idx val="3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0-AC35-B44D-BED3-FD2662CF8EF4}"/>
                </c:ext>
              </c:extLst>
            </c:dLbl>
            <c:dLbl>
              <c:idx val="3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2-AC35-B44D-BED3-FD2662CF8EF4}"/>
                </c:ext>
              </c:extLst>
            </c:dLbl>
            <c:dLbl>
              <c:idx val="3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4-AC35-B44D-BED3-FD2662CF8EF4}"/>
                </c:ext>
              </c:extLst>
            </c:dLbl>
            <c:dLbl>
              <c:idx val="3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6-AC35-B44D-BED3-FD2662CF8EF4}"/>
                </c:ext>
              </c:extLst>
            </c:dLbl>
            <c:dLbl>
              <c:idx val="3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8-AC35-B44D-BED3-FD2662CF8EF4}"/>
                </c:ext>
              </c:extLst>
            </c:dLbl>
            <c:dLbl>
              <c:idx val="3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A-AC35-B44D-BED3-FD2662CF8EF4}"/>
                </c:ext>
              </c:extLst>
            </c:dLbl>
            <c:dLbl>
              <c:idx val="3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C-AC35-B44D-BED3-FD2662CF8EF4}"/>
                </c:ext>
              </c:extLst>
            </c:dLbl>
            <c:dLbl>
              <c:idx val="3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E-AC35-B44D-BED3-FD2662CF8EF4}"/>
                </c:ext>
              </c:extLst>
            </c:dLbl>
            <c:dLbl>
              <c:idx val="3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0-AC35-B44D-BED3-FD2662CF8EF4}"/>
                </c:ext>
              </c:extLst>
            </c:dLbl>
            <c:dLbl>
              <c:idx val="4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2-AC35-B44D-BED3-FD2662CF8EF4}"/>
                </c:ext>
              </c:extLst>
            </c:dLbl>
            <c:dLbl>
              <c:idx val="4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4-AC35-B44D-BED3-FD2662CF8EF4}"/>
                </c:ext>
              </c:extLst>
            </c:dLbl>
            <c:dLbl>
              <c:idx val="4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6-AC35-B44D-BED3-FD2662CF8EF4}"/>
                </c:ext>
              </c:extLst>
            </c:dLbl>
            <c:dLbl>
              <c:idx val="4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8-AC35-B44D-BED3-FD2662CF8EF4}"/>
                </c:ext>
              </c:extLst>
            </c:dLbl>
            <c:dLbl>
              <c:idx val="4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A-AC35-B44D-BED3-FD2662CF8EF4}"/>
                </c:ext>
              </c:extLst>
            </c:dLbl>
            <c:dLbl>
              <c:idx val="4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C-AC35-B44D-BED3-FD2662CF8EF4}"/>
                </c:ext>
              </c:extLst>
            </c:dLbl>
            <c:dLbl>
              <c:idx val="4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E-AC35-B44D-BED3-FD2662CF8EF4}"/>
                </c:ext>
              </c:extLst>
            </c:dLbl>
            <c:dLbl>
              <c:idx val="4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0-AC35-B44D-BED3-FD2662CF8EF4}"/>
                </c:ext>
              </c:extLst>
            </c:dLbl>
            <c:dLbl>
              <c:idx val="4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2-AC35-B44D-BED3-FD2662CF8EF4}"/>
                </c:ext>
              </c:extLst>
            </c:dLbl>
            <c:dLbl>
              <c:idx val="4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4-AC35-B44D-BED3-FD2662CF8EF4}"/>
                </c:ext>
              </c:extLst>
            </c:dLbl>
            <c:dLbl>
              <c:idx val="5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6-AC35-B44D-BED3-FD2662CF8EF4}"/>
                </c:ext>
              </c:extLst>
            </c:dLbl>
            <c:dLbl>
              <c:idx val="5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8-AC35-B44D-BED3-FD2662CF8EF4}"/>
                </c:ext>
              </c:extLst>
            </c:dLbl>
            <c:dLbl>
              <c:idx val="5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A-AC35-B44D-BED3-FD2662CF8EF4}"/>
                </c:ext>
              </c:extLst>
            </c:dLbl>
            <c:dLbl>
              <c:idx val="5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C-AC35-B44D-BED3-FD2662CF8EF4}"/>
                </c:ext>
              </c:extLst>
            </c:dLbl>
            <c:dLbl>
              <c:idx val="5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E-AC35-B44D-BED3-FD2662CF8EF4}"/>
                </c:ext>
              </c:extLst>
            </c:dLbl>
            <c:dLbl>
              <c:idx val="5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0-AC35-B44D-BED3-FD2662CF8EF4}"/>
                </c:ext>
              </c:extLst>
            </c:dLbl>
            <c:dLbl>
              <c:idx val="5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2-AC35-B44D-BED3-FD2662CF8EF4}"/>
                </c:ext>
              </c:extLst>
            </c:dLbl>
            <c:dLbl>
              <c:idx val="5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4-AC35-B44D-BED3-FD2662CF8EF4}"/>
                </c:ext>
              </c:extLst>
            </c:dLbl>
            <c:dLbl>
              <c:idx val="5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6-AC35-B44D-BED3-FD2662CF8EF4}"/>
                </c:ext>
              </c:extLst>
            </c:dLbl>
            <c:dLbl>
              <c:idx val="5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8-AC35-B44D-BED3-FD2662CF8EF4}"/>
                </c:ext>
              </c:extLst>
            </c:dLbl>
            <c:dLbl>
              <c:idx val="6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A-AC35-B44D-BED3-FD2662CF8EF4}"/>
                </c:ext>
              </c:extLst>
            </c:dLbl>
            <c:dLbl>
              <c:idx val="6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C-AC35-B44D-BED3-FD2662CF8EF4}"/>
                </c:ext>
              </c:extLst>
            </c:dLbl>
            <c:dLbl>
              <c:idx val="6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E-AC35-B44D-BED3-FD2662CF8EF4}"/>
                </c:ext>
              </c:extLst>
            </c:dLbl>
            <c:dLbl>
              <c:idx val="6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0-AC35-B44D-BED3-FD2662CF8EF4}"/>
                </c:ext>
              </c:extLst>
            </c:dLbl>
            <c:dLbl>
              <c:idx val="6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2-AC35-B44D-BED3-FD2662CF8EF4}"/>
                </c:ext>
              </c:extLst>
            </c:dLbl>
            <c:dLbl>
              <c:idx val="6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4-AC35-B44D-BED3-FD2662CF8EF4}"/>
                </c:ext>
              </c:extLst>
            </c:dLbl>
            <c:dLbl>
              <c:idx val="6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6-AC35-B44D-BED3-FD2662CF8EF4}"/>
                </c:ext>
              </c:extLst>
            </c:dLbl>
            <c:dLbl>
              <c:idx val="6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8-AC35-B44D-BED3-FD2662CF8EF4}"/>
                </c:ext>
              </c:extLst>
            </c:dLbl>
            <c:dLbl>
              <c:idx val="6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A-AC35-B44D-BED3-FD2662CF8EF4}"/>
                </c:ext>
              </c:extLst>
            </c:dLbl>
            <c:dLbl>
              <c:idx val="6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C-AC35-B44D-BED3-FD2662CF8EF4}"/>
                </c:ext>
              </c:extLst>
            </c:dLbl>
            <c:dLbl>
              <c:idx val="7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E-AC35-B44D-BED3-FD2662CF8EF4}"/>
                </c:ext>
              </c:extLst>
            </c:dLbl>
            <c:dLbl>
              <c:idx val="7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0-AC35-B44D-BED3-FD2662CF8EF4}"/>
                </c:ext>
              </c:extLst>
            </c:dLbl>
            <c:dLbl>
              <c:idx val="7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2-AC35-B44D-BED3-FD2662CF8EF4}"/>
                </c:ext>
              </c:extLst>
            </c:dLbl>
            <c:dLbl>
              <c:idx val="7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4-AC35-B44D-BED3-FD2662CF8EF4}"/>
                </c:ext>
              </c:extLst>
            </c:dLbl>
            <c:dLbl>
              <c:idx val="7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6-AC35-B44D-BED3-FD2662CF8EF4}"/>
                </c:ext>
              </c:extLst>
            </c:dLbl>
            <c:dLbl>
              <c:idx val="7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8-AC35-B44D-BED3-FD2662CF8EF4}"/>
                </c:ext>
              </c:extLst>
            </c:dLbl>
            <c:dLbl>
              <c:idx val="7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A-AC35-B44D-BED3-FD2662CF8EF4}"/>
                </c:ext>
              </c:extLst>
            </c:dLbl>
            <c:dLbl>
              <c:idx val="7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C-AC35-B44D-BED3-FD2662CF8EF4}"/>
                </c:ext>
              </c:extLst>
            </c:dLbl>
            <c:dLbl>
              <c:idx val="7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E-AC35-B44D-BED3-FD2662CF8EF4}"/>
                </c:ext>
              </c:extLst>
            </c:dLbl>
            <c:dLbl>
              <c:idx val="7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0-AC35-B44D-BED3-FD2662CF8EF4}"/>
                </c:ext>
              </c:extLst>
            </c:dLbl>
            <c:dLbl>
              <c:idx val="8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2-AC35-B44D-BED3-FD2662CF8EF4}"/>
                </c:ext>
              </c:extLst>
            </c:dLbl>
            <c:dLbl>
              <c:idx val="8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4-AC35-B44D-BED3-FD2662CF8EF4}"/>
                </c:ext>
              </c:extLst>
            </c:dLbl>
            <c:dLbl>
              <c:idx val="8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6-AC35-B44D-BED3-FD2662CF8EF4}"/>
                </c:ext>
              </c:extLst>
            </c:dLbl>
            <c:dLbl>
              <c:idx val="8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8-AC35-B44D-BED3-FD2662CF8EF4}"/>
                </c:ext>
              </c:extLst>
            </c:dLbl>
            <c:dLbl>
              <c:idx val="8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A-AC35-B44D-BED3-FD2662CF8EF4}"/>
                </c:ext>
              </c:extLst>
            </c:dLbl>
            <c:dLbl>
              <c:idx val="8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C-AC35-B44D-BED3-FD2662CF8EF4}"/>
                </c:ext>
              </c:extLst>
            </c:dLbl>
            <c:dLbl>
              <c:idx val="8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E-AC35-B44D-BED3-FD2662CF8EF4}"/>
                </c:ext>
              </c:extLst>
            </c:dLbl>
            <c:dLbl>
              <c:idx val="8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0-AC35-B44D-BED3-FD2662CF8EF4}"/>
                </c:ext>
              </c:extLst>
            </c:dLbl>
            <c:dLbl>
              <c:idx val="8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2-AC35-B44D-BED3-FD2662CF8EF4}"/>
                </c:ext>
              </c:extLst>
            </c:dLbl>
            <c:dLbl>
              <c:idx val="8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4-AC35-B44D-BED3-FD2662CF8EF4}"/>
                </c:ext>
              </c:extLst>
            </c:dLbl>
            <c:dLbl>
              <c:idx val="9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6-AC35-B44D-BED3-FD2662CF8EF4}"/>
                </c:ext>
              </c:extLst>
            </c:dLbl>
            <c:dLbl>
              <c:idx val="9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8-AC35-B44D-BED3-FD2662CF8EF4}"/>
                </c:ext>
              </c:extLst>
            </c:dLbl>
            <c:dLbl>
              <c:idx val="9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A-AC35-B44D-BED3-FD2662CF8EF4}"/>
                </c:ext>
              </c:extLst>
            </c:dLbl>
            <c:dLbl>
              <c:idx val="9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C-AC35-B44D-BED3-FD2662CF8EF4}"/>
                </c:ext>
              </c:extLst>
            </c:dLbl>
            <c:dLbl>
              <c:idx val="9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E-AC35-B44D-BED3-FD2662CF8EF4}"/>
                </c:ext>
              </c:extLst>
            </c:dLbl>
            <c:dLbl>
              <c:idx val="9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0-AC35-B44D-BED3-FD2662CF8EF4}"/>
                </c:ext>
              </c:extLst>
            </c:dLbl>
            <c:dLbl>
              <c:idx val="9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2-AC35-B44D-BED3-FD2662CF8EF4}"/>
                </c:ext>
              </c:extLst>
            </c:dLbl>
            <c:dLbl>
              <c:idx val="9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4-AC35-B44D-BED3-FD2662CF8EF4}"/>
                </c:ext>
              </c:extLst>
            </c:dLbl>
            <c:dLbl>
              <c:idx val="9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6-AC35-B44D-BED3-FD2662CF8EF4}"/>
                </c:ext>
              </c:extLst>
            </c:dLbl>
            <c:dLbl>
              <c:idx val="9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8-AC35-B44D-BED3-FD2662CF8EF4}"/>
                </c:ext>
              </c:extLst>
            </c:dLbl>
            <c:dLbl>
              <c:idx val="10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A-AC35-B44D-BED3-FD2662CF8EF4}"/>
                </c:ext>
              </c:extLst>
            </c:dLbl>
            <c:dLbl>
              <c:idx val="10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C-AC35-B44D-BED3-FD2662CF8EF4}"/>
                </c:ext>
              </c:extLst>
            </c:dLbl>
            <c:dLbl>
              <c:idx val="10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E-AC35-B44D-BED3-FD2662CF8EF4}"/>
                </c:ext>
              </c:extLst>
            </c:dLbl>
            <c:dLbl>
              <c:idx val="10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0-AC35-B44D-BED3-FD2662CF8EF4}"/>
                </c:ext>
              </c:extLst>
            </c:dLbl>
            <c:dLbl>
              <c:idx val="10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2-AC35-B44D-BED3-FD2662CF8EF4}"/>
                </c:ext>
              </c:extLst>
            </c:dLbl>
            <c:dLbl>
              <c:idx val="10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4-AC35-B44D-BED3-FD2662CF8EF4}"/>
                </c:ext>
              </c:extLst>
            </c:dLbl>
            <c:dLbl>
              <c:idx val="10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6-AC35-B44D-BED3-FD2662CF8EF4}"/>
                </c:ext>
              </c:extLst>
            </c:dLbl>
            <c:dLbl>
              <c:idx val="10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8-AC35-B44D-BED3-FD2662CF8EF4}"/>
                </c:ext>
              </c:extLst>
            </c:dLbl>
            <c:dLbl>
              <c:idx val="10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A-AC35-B44D-BED3-FD2662CF8EF4}"/>
                </c:ext>
              </c:extLst>
            </c:dLbl>
            <c:dLbl>
              <c:idx val="10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C-AC35-B44D-BED3-FD2662CF8EF4}"/>
                </c:ext>
              </c:extLst>
            </c:dLbl>
            <c:dLbl>
              <c:idx val="11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E-AC35-B44D-BED3-FD2662CF8EF4}"/>
                </c:ext>
              </c:extLst>
            </c:dLbl>
            <c:dLbl>
              <c:idx val="11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0-AC35-B44D-BED3-FD2662CF8EF4}"/>
                </c:ext>
              </c:extLst>
            </c:dLbl>
            <c:dLbl>
              <c:idx val="11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2-AC35-B44D-BED3-FD2662CF8EF4}"/>
                </c:ext>
              </c:extLst>
            </c:dLbl>
            <c:dLbl>
              <c:idx val="11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4-AC35-B44D-BED3-FD2662CF8EF4}"/>
                </c:ext>
              </c:extLst>
            </c:dLbl>
            <c:dLbl>
              <c:idx val="11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6-AC35-B44D-BED3-FD2662CF8EF4}"/>
                </c:ext>
              </c:extLst>
            </c:dLbl>
            <c:dLbl>
              <c:idx val="11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8-AC35-B44D-BED3-FD2662CF8EF4}"/>
                </c:ext>
              </c:extLst>
            </c:dLbl>
            <c:dLbl>
              <c:idx val="11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A-AC35-B44D-BED3-FD2662CF8EF4}"/>
                </c:ext>
              </c:extLst>
            </c:dLbl>
            <c:dLbl>
              <c:idx val="11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C-AC35-B44D-BED3-FD2662CF8EF4}"/>
                </c:ext>
              </c:extLst>
            </c:dLbl>
            <c:dLbl>
              <c:idx val="11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E-AC35-B44D-BED3-FD2662CF8EF4}"/>
                </c:ext>
              </c:extLst>
            </c:dLbl>
            <c:dLbl>
              <c:idx val="11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0-AC35-B44D-BED3-FD2662CF8EF4}"/>
                </c:ext>
              </c:extLst>
            </c:dLbl>
            <c:dLbl>
              <c:idx val="12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2-AC35-B44D-BED3-FD2662CF8EF4}"/>
                </c:ext>
              </c:extLst>
            </c:dLbl>
            <c:dLbl>
              <c:idx val="12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4-AC35-B44D-BED3-FD2662CF8EF4}"/>
                </c:ext>
              </c:extLst>
            </c:dLbl>
            <c:dLbl>
              <c:idx val="12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6-AC35-B44D-BED3-FD2662CF8EF4}"/>
                </c:ext>
              </c:extLst>
            </c:dLbl>
            <c:dLbl>
              <c:idx val="12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8-AC35-B44D-BED3-FD2662CF8EF4}"/>
                </c:ext>
              </c:extLst>
            </c:dLbl>
            <c:dLbl>
              <c:idx val="12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A-AC35-B44D-BED3-FD2662CF8EF4}"/>
                </c:ext>
              </c:extLst>
            </c:dLbl>
            <c:dLbl>
              <c:idx val="12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C-AC35-B44D-BED3-FD2662CF8EF4}"/>
                </c:ext>
              </c:extLst>
            </c:dLbl>
            <c:dLbl>
              <c:idx val="12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E-AC35-B44D-BED3-FD2662CF8EF4}"/>
                </c:ext>
              </c:extLst>
            </c:dLbl>
            <c:dLbl>
              <c:idx val="12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0-AC35-B44D-BED3-FD2662CF8EF4}"/>
                </c:ext>
              </c:extLst>
            </c:dLbl>
            <c:dLbl>
              <c:idx val="12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2-AC35-B44D-BED3-FD2662CF8EF4}"/>
                </c:ext>
              </c:extLst>
            </c:dLbl>
            <c:dLbl>
              <c:idx val="12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4-AC35-B44D-BED3-FD2662CF8EF4}"/>
                </c:ext>
              </c:extLst>
            </c:dLbl>
            <c:dLbl>
              <c:idx val="13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6-AC35-B44D-BED3-FD2662CF8EF4}"/>
                </c:ext>
              </c:extLst>
            </c:dLbl>
            <c:dLbl>
              <c:idx val="13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8-AC35-B44D-BED3-FD2662CF8EF4}"/>
                </c:ext>
              </c:extLst>
            </c:dLbl>
            <c:dLbl>
              <c:idx val="13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A-AC35-B44D-BED3-FD2662CF8EF4}"/>
                </c:ext>
              </c:extLst>
            </c:dLbl>
            <c:dLbl>
              <c:idx val="13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C-AC35-B44D-BED3-FD2662CF8EF4}"/>
                </c:ext>
              </c:extLst>
            </c:dLbl>
            <c:dLbl>
              <c:idx val="13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E-AC35-B44D-BED3-FD2662CF8EF4}"/>
                </c:ext>
              </c:extLst>
            </c:dLbl>
            <c:dLbl>
              <c:idx val="13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0-AC35-B44D-BED3-FD2662CF8EF4}"/>
                </c:ext>
              </c:extLst>
            </c:dLbl>
            <c:dLbl>
              <c:idx val="13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2-AC35-B44D-BED3-FD2662CF8EF4}"/>
                </c:ext>
              </c:extLst>
            </c:dLbl>
            <c:dLbl>
              <c:idx val="13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4-AC35-B44D-BED3-FD2662CF8EF4}"/>
                </c:ext>
              </c:extLst>
            </c:dLbl>
            <c:dLbl>
              <c:idx val="13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6-AC35-B44D-BED3-FD2662CF8EF4}"/>
                </c:ext>
              </c:extLst>
            </c:dLbl>
            <c:dLbl>
              <c:idx val="13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8-AC35-B44D-BED3-FD2662CF8EF4}"/>
                </c:ext>
              </c:extLst>
            </c:dLbl>
            <c:dLbl>
              <c:idx val="14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A-AC35-B44D-BED3-FD2662CF8EF4}"/>
                </c:ext>
              </c:extLst>
            </c:dLbl>
            <c:dLbl>
              <c:idx val="14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C-AC35-B44D-BED3-FD2662CF8EF4}"/>
                </c:ext>
              </c:extLst>
            </c:dLbl>
            <c:dLbl>
              <c:idx val="14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E-AC35-B44D-BED3-FD2662CF8EF4}"/>
                </c:ext>
              </c:extLst>
            </c:dLbl>
            <c:dLbl>
              <c:idx val="14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0-AC35-B44D-BED3-FD2662CF8EF4}"/>
                </c:ext>
              </c:extLst>
            </c:dLbl>
            <c:dLbl>
              <c:idx val="14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2-AC35-B44D-BED3-FD2662CF8EF4}"/>
                </c:ext>
              </c:extLst>
            </c:dLbl>
            <c:dLbl>
              <c:idx val="14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4-AC35-B44D-BED3-FD2662CF8EF4}"/>
                </c:ext>
              </c:extLst>
            </c:dLbl>
            <c:dLbl>
              <c:idx val="14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6-AC35-B44D-BED3-FD2662CF8EF4}"/>
                </c:ext>
              </c:extLst>
            </c:dLbl>
            <c:dLbl>
              <c:idx val="14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8-AC35-B44D-BED3-FD2662CF8EF4}"/>
                </c:ext>
              </c:extLst>
            </c:dLbl>
            <c:dLbl>
              <c:idx val="14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A-AC35-B44D-BED3-FD2662CF8EF4}"/>
                </c:ext>
              </c:extLst>
            </c:dLbl>
            <c:dLbl>
              <c:idx val="14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C-AC35-B44D-BED3-FD2662CF8EF4}"/>
                </c:ext>
              </c:extLst>
            </c:dLbl>
            <c:dLbl>
              <c:idx val="15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E-AC35-B44D-BED3-FD2662CF8EF4}"/>
                </c:ext>
              </c:extLst>
            </c:dLbl>
            <c:dLbl>
              <c:idx val="15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0-AC35-B44D-BED3-FD2662CF8EF4}"/>
                </c:ext>
              </c:extLst>
            </c:dLbl>
            <c:dLbl>
              <c:idx val="15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2-AC35-B44D-BED3-FD2662CF8EF4}"/>
                </c:ext>
              </c:extLst>
            </c:dLbl>
            <c:dLbl>
              <c:idx val="15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4-AC35-B44D-BED3-FD2662CF8EF4}"/>
                </c:ext>
              </c:extLst>
            </c:dLbl>
            <c:dLbl>
              <c:idx val="15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6-AC35-B44D-BED3-FD2662CF8EF4}"/>
                </c:ext>
              </c:extLst>
            </c:dLbl>
            <c:dLbl>
              <c:idx val="15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8-AC35-B44D-BED3-FD2662CF8EF4}"/>
                </c:ext>
              </c:extLst>
            </c:dLbl>
            <c:dLbl>
              <c:idx val="15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A-AC35-B44D-BED3-FD2662CF8EF4}"/>
                </c:ext>
              </c:extLst>
            </c:dLbl>
            <c:dLbl>
              <c:idx val="15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C-AC35-B44D-BED3-FD2662CF8EF4}"/>
                </c:ext>
              </c:extLst>
            </c:dLbl>
            <c:dLbl>
              <c:idx val="15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E-AC35-B44D-BED3-FD2662CF8EF4}"/>
                </c:ext>
              </c:extLst>
            </c:dLbl>
            <c:dLbl>
              <c:idx val="15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0-AC35-B44D-BED3-FD2662CF8EF4}"/>
                </c:ext>
              </c:extLst>
            </c:dLbl>
            <c:dLbl>
              <c:idx val="16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2-AC35-B44D-BED3-FD2662CF8EF4}"/>
                </c:ext>
              </c:extLst>
            </c:dLbl>
            <c:dLbl>
              <c:idx val="16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4-AC35-B44D-BED3-FD2662CF8EF4}"/>
                </c:ext>
              </c:extLst>
            </c:dLbl>
            <c:dLbl>
              <c:idx val="16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6-AC35-B44D-BED3-FD2662CF8EF4}"/>
                </c:ext>
              </c:extLst>
            </c:dLbl>
            <c:dLbl>
              <c:idx val="16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8-AC35-B44D-BED3-FD2662CF8EF4}"/>
                </c:ext>
              </c:extLst>
            </c:dLbl>
            <c:dLbl>
              <c:idx val="16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A-AC35-B44D-BED3-FD2662CF8EF4}"/>
                </c:ext>
              </c:extLst>
            </c:dLbl>
            <c:dLbl>
              <c:idx val="16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C-AC35-B44D-BED3-FD2662CF8EF4}"/>
                </c:ext>
              </c:extLst>
            </c:dLbl>
            <c:dLbl>
              <c:idx val="16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E-AC35-B44D-BED3-FD2662CF8EF4}"/>
                </c:ext>
              </c:extLst>
            </c:dLbl>
            <c:dLbl>
              <c:idx val="16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0-AC35-B44D-BED3-FD2662CF8EF4}"/>
                </c:ext>
              </c:extLst>
            </c:dLbl>
            <c:dLbl>
              <c:idx val="16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2-AC35-B44D-BED3-FD2662CF8EF4}"/>
                </c:ext>
              </c:extLst>
            </c:dLbl>
            <c:dLbl>
              <c:idx val="16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4-AC35-B44D-BED3-FD2662CF8EF4}"/>
                </c:ext>
              </c:extLst>
            </c:dLbl>
            <c:dLbl>
              <c:idx val="17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6-AC35-B44D-BED3-FD2662CF8EF4}"/>
                </c:ext>
              </c:extLst>
            </c:dLbl>
            <c:dLbl>
              <c:idx val="17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8-AC35-B44D-BED3-FD2662CF8EF4}"/>
                </c:ext>
              </c:extLst>
            </c:dLbl>
            <c:dLbl>
              <c:idx val="17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A-AC35-B44D-BED3-FD2662CF8EF4}"/>
                </c:ext>
              </c:extLst>
            </c:dLbl>
            <c:dLbl>
              <c:idx val="17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C-AC35-B44D-BED3-FD2662CF8EF4}"/>
                </c:ext>
              </c:extLst>
            </c:dLbl>
            <c:dLbl>
              <c:idx val="17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E-AC35-B44D-BED3-FD2662CF8EF4}"/>
                </c:ext>
              </c:extLst>
            </c:dLbl>
            <c:dLbl>
              <c:idx val="17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0-AC35-B44D-BED3-FD2662CF8EF4}"/>
                </c:ext>
              </c:extLst>
            </c:dLbl>
            <c:dLbl>
              <c:idx val="17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2-AC35-B44D-BED3-FD2662CF8EF4}"/>
                </c:ext>
              </c:extLst>
            </c:dLbl>
            <c:dLbl>
              <c:idx val="17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4-AC35-B44D-BED3-FD2662CF8EF4}"/>
                </c:ext>
              </c:extLst>
            </c:dLbl>
            <c:dLbl>
              <c:idx val="17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6-AC35-B44D-BED3-FD2662CF8EF4}"/>
                </c:ext>
              </c:extLst>
            </c:dLbl>
            <c:dLbl>
              <c:idx val="17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8-AC35-B44D-BED3-FD2662CF8EF4}"/>
                </c:ext>
              </c:extLst>
            </c:dLbl>
            <c:dLbl>
              <c:idx val="18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A-AC35-B44D-BED3-FD2662CF8EF4}"/>
                </c:ext>
              </c:extLst>
            </c:dLbl>
            <c:dLbl>
              <c:idx val="18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C-AC35-B44D-BED3-FD2662CF8EF4}"/>
                </c:ext>
              </c:extLst>
            </c:dLbl>
            <c:dLbl>
              <c:idx val="18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E-AC35-B44D-BED3-FD2662CF8EF4}"/>
                </c:ext>
              </c:extLst>
            </c:dLbl>
            <c:dLbl>
              <c:idx val="18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0-AC35-B44D-BED3-FD2662CF8EF4}"/>
                </c:ext>
              </c:extLst>
            </c:dLbl>
            <c:dLbl>
              <c:idx val="18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2-AC35-B44D-BED3-FD2662CF8EF4}"/>
                </c:ext>
              </c:extLst>
            </c:dLbl>
            <c:dLbl>
              <c:idx val="18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4-AC35-B44D-BED3-FD2662CF8EF4}"/>
                </c:ext>
              </c:extLst>
            </c:dLbl>
            <c:dLbl>
              <c:idx val="18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6-AC35-B44D-BED3-FD2662CF8EF4}"/>
                </c:ext>
              </c:extLst>
            </c:dLbl>
            <c:dLbl>
              <c:idx val="18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8-AC35-B44D-BED3-FD2662CF8EF4}"/>
                </c:ext>
              </c:extLst>
            </c:dLbl>
            <c:dLbl>
              <c:idx val="18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A-AC35-B44D-BED3-FD2662CF8EF4}"/>
                </c:ext>
              </c:extLst>
            </c:dLbl>
            <c:dLbl>
              <c:idx val="18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C-AC35-B44D-BED3-FD2662CF8EF4}"/>
                </c:ext>
              </c:extLst>
            </c:dLbl>
            <c:dLbl>
              <c:idx val="19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E-AC35-B44D-BED3-FD2662CF8EF4}"/>
                </c:ext>
              </c:extLst>
            </c:dLbl>
            <c:dLbl>
              <c:idx val="19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0-AC35-B44D-BED3-FD2662CF8EF4}"/>
                </c:ext>
              </c:extLst>
            </c:dLbl>
            <c:dLbl>
              <c:idx val="19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2-AC35-B44D-BED3-FD2662CF8EF4}"/>
                </c:ext>
              </c:extLst>
            </c:dLbl>
            <c:dLbl>
              <c:idx val="19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4-AC35-B44D-BED3-FD2662CF8EF4}"/>
                </c:ext>
              </c:extLst>
            </c:dLbl>
            <c:dLbl>
              <c:idx val="19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6-AC35-B44D-BED3-FD2662CF8EF4}"/>
                </c:ext>
              </c:extLst>
            </c:dLbl>
            <c:dLbl>
              <c:idx val="19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8-AC35-B44D-BED3-FD2662CF8EF4}"/>
                </c:ext>
              </c:extLst>
            </c:dLbl>
            <c:dLbl>
              <c:idx val="19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A-AC35-B44D-BED3-FD2662CF8EF4}"/>
                </c:ext>
              </c:extLst>
            </c:dLbl>
            <c:dLbl>
              <c:idx val="19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C-AC35-B44D-BED3-FD2662CF8EF4}"/>
                </c:ext>
              </c:extLst>
            </c:dLbl>
            <c:dLbl>
              <c:idx val="19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E-AC35-B44D-BED3-FD2662CF8EF4}"/>
                </c:ext>
              </c:extLst>
            </c:dLbl>
            <c:dLbl>
              <c:idx val="19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0-AC35-B44D-BED3-FD2662CF8EF4}"/>
                </c:ext>
              </c:extLst>
            </c:dLbl>
            <c:dLbl>
              <c:idx val="20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2-AC35-B44D-BED3-FD2662CF8EF4}"/>
                </c:ext>
              </c:extLst>
            </c:dLbl>
            <c:dLbl>
              <c:idx val="20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4-AC35-B44D-BED3-FD2662CF8EF4}"/>
                </c:ext>
              </c:extLst>
            </c:dLbl>
            <c:dLbl>
              <c:idx val="20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6-AC35-B44D-BED3-FD2662CF8EF4}"/>
                </c:ext>
              </c:extLst>
            </c:dLbl>
            <c:dLbl>
              <c:idx val="20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8-AC35-B44D-BED3-FD2662CF8EF4}"/>
                </c:ext>
              </c:extLst>
            </c:dLbl>
            <c:dLbl>
              <c:idx val="20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A-AC35-B44D-BED3-FD2662CF8EF4}"/>
                </c:ext>
              </c:extLst>
            </c:dLbl>
            <c:dLbl>
              <c:idx val="20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C-AC35-B44D-BED3-FD2662CF8EF4}"/>
                </c:ext>
              </c:extLst>
            </c:dLbl>
            <c:dLbl>
              <c:idx val="20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E-AC35-B44D-BED3-FD2662CF8EF4}"/>
                </c:ext>
              </c:extLst>
            </c:dLbl>
            <c:dLbl>
              <c:idx val="20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0-AC35-B44D-BED3-FD2662CF8EF4}"/>
                </c:ext>
              </c:extLst>
            </c:dLbl>
            <c:dLbl>
              <c:idx val="20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2-AC35-B44D-BED3-FD2662CF8EF4}"/>
                </c:ext>
              </c:extLst>
            </c:dLbl>
            <c:dLbl>
              <c:idx val="20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4-AC35-B44D-BED3-FD2662CF8EF4}"/>
                </c:ext>
              </c:extLst>
            </c:dLbl>
            <c:dLbl>
              <c:idx val="21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6-AC35-B44D-BED3-FD2662CF8EF4}"/>
                </c:ext>
              </c:extLst>
            </c:dLbl>
            <c:dLbl>
              <c:idx val="21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8-AC35-B44D-BED3-FD2662CF8EF4}"/>
                </c:ext>
              </c:extLst>
            </c:dLbl>
            <c:dLbl>
              <c:idx val="21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A-AC35-B44D-BED3-FD2662CF8EF4}"/>
                </c:ext>
              </c:extLst>
            </c:dLbl>
            <c:dLbl>
              <c:idx val="21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C-AC35-B44D-BED3-FD2662CF8EF4}"/>
                </c:ext>
              </c:extLst>
            </c:dLbl>
            <c:dLbl>
              <c:idx val="21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E-AC35-B44D-BED3-FD2662CF8EF4}"/>
                </c:ext>
              </c:extLst>
            </c:dLbl>
            <c:dLbl>
              <c:idx val="21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0-AC35-B44D-BED3-FD2662CF8EF4}"/>
                </c:ext>
              </c:extLst>
            </c:dLbl>
            <c:dLbl>
              <c:idx val="21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2-AC35-B44D-BED3-FD2662CF8EF4}"/>
                </c:ext>
              </c:extLst>
            </c:dLbl>
            <c:dLbl>
              <c:idx val="21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4-AC35-B44D-BED3-FD2662CF8EF4}"/>
                </c:ext>
              </c:extLst>
            </c:dLbl>
            <c:dLbl>
              <c:idx val="21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6-AC35-B44D-BED3-FD2662CF8EF4}"/>
                </c:ext>
              </c:extLst>
            </c:dLbl>
            <c:dLbl>
              <c:idx val="21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8-AC35-B44D-BED3-FD2662CF8EF4}"/>
                </c:ext>
              </c:extLst>
            </c:dLbl>
            <c:dLbl>
              <c:idx val="22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A-AC35-B44D-BED3-FD2662CF8EF4}"/>
                </c:ext>
              </c:extLst>
            </c:dLbl>
            <c:dLbl>
              <c:idx val="22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C-AC35-B44D-BED3-FD2662CF8EF4}"/>
                </c:ext>
              </c:extLst>
            </c:dLbl>
            <c:dLbl>
              <c:idx val="22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E-AC35-B44D-BED3-FD2662CF8EF4}"/>
                </c:ext>
              </c:extLst>
            </c:dLbl>
            <c:dLbl>
              <c:idx val="22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0-AC35-B44D-BED3-FD2662CF8EF4}"/>
                </c:ext>
              </c:extLst>
            </c:dLbl>
            <c:dLbl>
              <c:idx val="22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2-AC35-B44D-BED3-FD2662CF8EF4}"/>
                </c:ext>
              </c:extLst>
            </c:dLbl>
            <c:dLbl>
              <c:idx val="22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4-AC35-B44D-BED3-FD2662CF8EF4}"/>
                </c:ext>
              </c:extLst>
            </c:dLbl>
            <c:dLbl>
              <c:idx val="22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6-AC35-B44D-BED3-FD2662CF8EF4}"/>
                </c:ext>
              </c:extLst>
            </c:dLbl>
            <c:dLbl>
              <c:idx val="22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8-AC35-B44D-BED3-FD2662CF8EF4}"/>
                </c:ext>
              </c:extLst>
            </c:dLbl>
            <c:dLbl>
              <c:idx val="22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A-AC35-B44D-BED3-FD2662CF8EF4}"/>
                </c:ext>
              </c:extLst>
            </c:dLbl>
            <c:dLbl>
              <c:idx val="22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C-AC35-B44D-BED3-FD2662CF8EF4}"/>
                </c:ext>
              </c:extLst>
            </c:dLbl>
            <c:dLbl>
              <c:idx val="23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E-AC35-B44D-BED3-FD2662CF8EF4}"/>
                </c:ext>
              </c:extLst>
            </c:dLbl>
            <c:dLbl>
              <c:idx val="23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0-AC35-B44D-BED3-FD2662CF8EF4}"/>
                </c:ext>
              </c:extLst>
            </c:dLbl>
            <c:dLbl>
              <c:idx val="23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2-AC35-B44D-BED3-FD2662CF8EF4}"/>
                </c:ext>
              </c:extLst>
            </c:dLbl>
            <c:dLbl>
              <c:idx val="23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4-AC35-B44D-BED3-FD2662CF8EF4}"/>
                </c:ext>
              </c:extLst>
            </c:dLbl>
            <c:dLbl>
              <c:idx val="23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6-AC35-B44D-BED3-FD2662CF8EF4}"/>
                </c:ext>
              </c:extLst>
            </c:dLbl>
            <c:dLbl>
              <c:idx val="23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8-AC35-B44D-BED3-FD2662CF8EF4}"/>
                </c:ext>
              </c:extLst>
            </c:dLbl>
            <c:dLbl>
              <c:idx val="23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A-AC35-B44D-BED3-FD2662CF8EF4}"/>
                </c:ext>
              </c:extLst>
            </c:dLbl>
            <c:dLbl>
              <c:idx val="23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C-AC35-B44D-BED3-FD2662CF8EF4}"/>
                </c:ext>
              </c:extLst>
            </c:dLbl>
            <c:dLbl>
              <c:idx val="23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E-AC35-B44D-BED3-FD2662CF8EF4}"/>
                </c:ext>
              </c:extLst>
            </c:dLbl>
            <c:dLbl>
              <c:idx val="23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0-AC35-B44D-BED3-FD2662CF8EF4}"/>
                </c:ext>
              </c:extLst>
            </c:dLbl>
            <c:dLbl>
              <c:idx val="24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2-AC35-B44D-BED3-FD2662CF8EF4}"/>
                </c:ext>
              </c:extLst>
            </c:dLbl>
            <c:dLbl>
              <c:idx val="24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4-AC35-B44D-BED3-FD2662CF8EF4}"/>
                </c:ext>
              </c:extLst>
            </c:dLbl>
            <c:dLbl>
              <c:idx val="24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6-AC35-B44D-BED3-FD2662CF8EF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4"/>
              <c:pt idx="0">
                <c:v>Combined Unc</c:v>
              </c:pt>
              <c:pt idx="1">
                <c:v>Total TAM</c:v>
              </c:pt>
              <c:pt idx="2">
                <c:v>Niche Dilution</c:v>
              </c:pt>
              <c:pt idx="3">
                <c:v>Niche Size - of sweetspot TAM</c:v>
              </c:pt>
              <c:pt idx="4">
                <c:v>Serf Market Share</c:v>
              </c:pt>
              <c:pt idx="5">
                <c:v>Niche Exit Mult Disc</c:v>
              </c:pt>
              <c:pt idx="6">
                <c:v>Investment size</c:v>
              </c:pt>
              <c:pt idx="7">
                <c:v>Niche Market Share</c:v>
              </c:pt>
              <c:pt idx="8">
                <c:v>King Market Share</c:v>
              </c:pt>
              <c:pt idx="9">
                <c:v>Prince Market Share</c:v>
              </c:pt>
              <c:pt idx="10">
                <c:v>Pre-money Valuation</c:v>
              </c:pt>
              <c:pt idx="11">
                <c:v>Exit Multiple (Sales)</c:v>
              </c:pt>
              <c:pt idx="12">
                <c:v>Sweetspot TAM</c:v>
              </c:pt>
              <c:pt idx="13">
                <c:v>Dilution</c:v>
              </c:pt>
            </c:strLit>
          </c:cat>
          <c:val>
            <c:numLit>
              <c:formatCode>General</c:formatCode>
              <c:ptCount val="14"/>
              <c:pt idx="0">
                <c:v>2.0618606998079998</c:v>
              </c:pt>
              <c:pt idx="1">
                <c:v>7.2020222971200001</c:v>
              </c:pt>
              <c:pt idx="2">
                <c:v>7.3872308240639999</c:v>
              </c:pt>
              <c:pt idx="3">
                <c:v>6.8207106240000002</c:v>
              </c:pt>
              <c:pt idx="4">
                <c:v>6.7483370203200002</c:v>
              </c:pt>
              <c:pt idx="5">
                <c:v>6.8316052432319996</c:v>
              </c:pt>
              <c:pt idx="6">
                <c:v>7.6256706675388246</c:v>
              </c:pt>
              <c:pt idx="7">
                <c:v>6.5846605406399998</c:v>
              </c:pt>
              <c:pt idx="8">
                <c:v>6.4458801691199996</c:v>
              </c:pt>
              <c:pt idx="9">
                <c:v>6.0678091051200003</c:v>
              </c:pt>
              <c:pt idx="10">
                <c:v>9.25974295344</c:v>
              </c:pt>
              <c:pt idx="11">
                <c:v>4.3212133782720006</c:v>
              </c:pt>
              <c:pt idx="12">
                <c:v>3.0865809844800003</c:v>
              </c:pt>
              <c:pt idx="13">
                <c:v>13.47800195952</c:v>
              </c:pt>
            </c:numLit>
          </c:val>
          <c:extLst>
            <c:ext xmlns:c16="http://schemas.microsoft.com/office/drawing/2014/chart" uri="{C3380CC4-5D6E-409C-BE32-E72D297353CC}">
              <c16:uniqueId val="{00000000-AC35-B44D-BED3-FD2662CF8EF4}"/>
            </c:ext>
          </c:extLst>
        </c:ser>
        <c:ser>
          <c:idx val="1"/>
          <c:order val="1"/>
          <c:tx>
            <c:v>High</c:v>
          </c:tx>
          <c:spPr>
            <a:solidFill>
              <a:srgbClr val="92D050"/>
            </a:solidFill>
            <a:ln>
              <a:noFill/>
            </a:ln>
            <a:effectLst/>
          </c:spPr>
          <c:invertIfNegative val="0"/>
          <c:dPt>
            <c:idx val="0"/>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2-AC35-B44D-BED3-FD2662CF8EF4}"/>
              </c:ext>
            </c:extLst>
          </c:dPt>
          <c:dLbls>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C35-B44D-BED3-FD2662CF8EF4}"/>
                </c:ext>
              </c:extLst>
            </c:dLbl>
            <c:dLbl>
              <c:idx val="1"/>
              <c:tx>
                <c:rich>
                  <a:bodyPr/>
                  <a:lstStyle/>
                  <a:p>
                    <a:r>
                      <a:rPr lang="en-US"/>
                      <a:t>18000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5-AC35-B44D-BED3-FD2662CF8EF4}"/>
                </c:ext>
              </c:extLst>
            </c:dLbl>
            <c:dLbl>
              <c:idx val="2"/>
              <c:tx>
                <c:rich>
                  <a:bodyPr/>
                  <a:lstStyle/>
                  <a:p>
                    <a:r>
                      <a:rPr lang="en-US"/>
                      <a:t>0.75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AC35-B44D-BED3-FD2662CF8EF4}"/>
                </c:ext>
              </c:extLst>
            </c:dLbl>
            <c:dLbl>
              <c:idx val="3"/>
              <c:tx>
                <c:rich>
                  <a:bodyPr/>
                  <a:lstStyle/>
                  <a:p>
                    <a:r>
                      <a:rPr lang="en-US"/>
                      <a:t>0.25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AC35-B44D-BED3-FD2662CF8EF4}"/>
                </c:ext>
              </c:extLst>
            </c:dLbl>
            <c:dLbl>
              <c:idx val="4"/>
              <c:tx>
                <c:rich>
                  <a:bodyPr/>
                  <a:lstStyle/>
                  <a:p>
                    <a:r>
                      <a:rPr lang="en-US"/>
                      <a:t>0.04</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AC35-B44D-BED3-FD2662CF8EF4}"/>
                </c:ext>
              </c:extLst>
            </c:dLbl>
            <c:dLbl>
              <c:idx val="5"/>
              <c:tx>
                <c:rich>
                  <a:bodyPr/>
                  <a:lstStyle/>
                  <a:p>
                    <a:r>
                      <a:rPr lang="en-US"/>
                      <a:t>0.8</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AC35-B44D-BED3-FD2662CF8EF4}"/>
                </c:ext>
              </c:extLst>
            </c:dLbl>
            <c:dLbl>
              <c:idx val="6"/>
              <c:tx>
                <c:rich>
                  <a:bodyPr/>
                  <a:lstStyle/>
                  <a:p>
                    <a:r>
                      <a:rPr lang="en-US"/>
                      <a:t>3</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AC35-B44D-BED3-FD2662CF8EF4}"/>
                </c:ext>
              </c:extLst>
            </c:dLbl>
            <c:dLbl>
              <c:idx val="7"/>
              <c:tx>
                <c:rich>
                  <a:bodyPr/>
                  <a:lstStyle/>
                  <a:p>
                    <a:r>
                      <a:rPr lang="en-US"/>
                      <a:t>0.05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AC35-B44D-BED3-FD2662CF8EF4}"/>
                </c:ext>
              </c:extLst>
            </c:dLbl>
            <c:dLbl>
              <c:idx val="8"/>
              <c:tx>
                <c:rich>
                  <a:bodyPr/>
                  <a:lstStyle/>
                  <a:p>
                    <a:r>
                      <a:rPr lang="en-US"/>
                      <a:t>0.45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AC35-B44D-BED3-FD2662CF8EF4}"/>
                </c:ext>
              </c:extLst>
            </c:dLbl>
            <c:dLbl>
              <c:idx val="9"/>
              <c:tx>
                <c:rich>
                  <a:bodyPr/>
                  <a:lstStyle/>
                  <a:p>
                    <a:r>
                      <a:rPr lang="en-US"/>
                      <a:t>0.15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3-AC35-B44D-BED3-FD2662CF8EF4}"/>
                </c:ext>
              </c:extLst>
            </c:dLbl>
            <c:dLbl>
              <c:idx val="10"/>
              <c:tx>
                <c:rich>
                  <a:bodyPr/>
                  <a:lstStyle/>
                  <a:p>
                    <a:r>
                      <a:rPr lang="en-US"/>
                      <a:t>10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5-AC35-B44D-BED3-FD2662CF8EF4}"/>
                </c:ext>
              </c:extLst>
            </c:dLbl>
            <c:dLbl>
              <c:idx val="11"/>
              <c:tx>
                <c:rich>
                  <a:bodyPr/>
                  <a:lstStyle/>
                  <a:p>
                    <a:r>
                      <a:rPr lang="en-US"/>
                      <a:t>7</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7-AC35-B44D-BED3-FD2662CF8EF4}"/>
                </c:ext>
              </c:extLst>
            </c:dLbl>
            <c:dLbl>
              <c:idx val="12"/>
              <c:tx>
                <c:rich>
                  <a:bodyPr/>
                  <a:lstStyle/>
                  <a:p>
                    <a:r>
                      <a:rPr lang="en-US"/>
                      <a:t>10000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9-AC35-B44D-BED3-FD2662CF8EF4}"/>
                </c:ext>
              </c:extLst>
            </c:dLbl>
            <c:dLbl>
              <c:idx val="13"/>
              <c:tx>
                <c:rich>
                  <a:bodyPr/>
                  <a:lstStyle/>
                  <a:p>
                    <a:r>
                      <a:rPr lang="en-US"/>
                      <a:t>0.9</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B-AC35-B44D-BED3-FD2662CF8EF4}"/>
                </c:ext>
              </c:extLst>
            </c:dLbl>
            <c:dLbl>
              <c:idx val="14"/>
              <c:tx>
                <c:rich>
                  <a:bodyPr/>
                  <a:lstStyle/>
                  <a:p>
                    <a:r>
                      <a:rPr lang="en-US"/>
                      <a:t>10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D-AC35-B44D-BED3-FD2662CF8EF4}"/>
                </c:ext>
              </c:extLst>
            </c:dLbl>
            <c:dLbl>
              <c:idx val="15"/>
              <c:tx>
                <c:rich>
                  <a:bodyPr/>
                  <a:lstStyle/>
                  <a:p>
                    <a:r>
                      <a:rPr lang="en-US"/>
                      <a:t>0.9</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F-AC35-B44D-BED3-FD2662CF8EF4}"/>
                </c:ext>
              </c:extLst>
            </c:dLbl>
            <c:dLbl>
              <c:idx val="16"/>
              <c:tx>
                <c:rich>
                  <a:bodyPr/>
                  <a:lstStyle/>
                  <a:p>
                    <a:r>
                      <a:rPr lang="en-US"/>
                      <a:t>0.3</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1-AC35-B44D-BED3-FD2662CF8EF4}"/>
                </c:ext>
              </c:extLst>
            </c:dLbl>
            <c:dLbl>
              <c:idx val="17"/>
              <c:tx>
                <c:rich>
                  <a:bodyPr/>
                  <a:lstStyle/>
                  <a:p>
                    <a:r>
                      <a:rPr lang="en-US"/>
                      <a:t>0.8</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3-AC35-B44D-BED3-FD2662CF8EF4}"/>
                </c:ext>
              </c:extLst>
            </c:dLbl>
            <c:dLbl>
              <c:idx val="18"/>
              <c:tx>
                <c:rich>
                  <a:bodyPr/>
                  <a:lstStyle/>
                  <a:p>
                    <a:r>
                      <a:rPr lang="en-US"/>
                      <a:t>1000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5-AC35-B44D-BED3-FD2662CF8EF4}"/>
                </c:ext>
              </c:extLst>
            </c:dLbl>
            <c:dLbl>
              <c:idx val="19"/>
              <c:tx>
                <c:rich>
                  <a:bodyPr/>
                  <a:lstStyle/>
                  <a:p>
                    <a:r>
                      <a:rPr lang="en-US"/>
                      <a:t>0.5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7-AC35-B44D-BED3-FD2662CF8EF4}"/>
                </c:ext>
              </c:extLst>
            </c:dLbl>
            <c:dLbl>
              <c:idx val="20"/>
              <c:tx>
                <c:rich>
                  <a:bodyPr/>
                  <a:lstStyle/>
                  <a:p>
                    <a:r>
                      <a:rPr lang="en-US"/>
                      <a:t>150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9-AC35-B44D-BED3-FD2662CF8EF4}"/>
                </c:ext>
              </c:extLst>
            </c:dLbl>
            <c:dLbl>
              <c:idx val="21"/>
              <c:tx>
                <c:rich>
                  <a:bodyPr/>
                  <a:lstStyle/>
                  <a:p>
                    <a:r>
                      <a:rPr lang="en-US"/>
                      <a:t>150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B-AC35-B44D-BED3-FD2662CF8EF4}"/>
                </c:ext>
              </c:extLst>
            </c:dLbl>
            <c:dLbl>
              <c:idx val="22"/>
              <c:tx>
                <c:rich>
                  <a:bodyPr/>
                  <a:lstStyle/>
                  <a:p>
                    <a:r>
                      <a:rPr lang="en-US"/>
                      <a:t>0.2</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D-AC35-B44D-BED3-FD2662CF8EF4}"/>
                </c:ext>
              </c:extLst>
            </c:dLbl>
            <c:dLbl>
              <c:idx val="23"/>
              <c:tx>
                <c:rich>
                  <a:bodyPr/>
                  <a:lstStyle/>
                  <a:p>
                    <a:r>
                      <a:rPr lang="en-US"/>
                      <a:t>1000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F-AC35-B44D-BED3-FD2662CF8EF4}"/>
                </c:ext>
              </c:extLst>
            </c:dLbl>
            <c:dLbl>
              <c:idx val="24"/>
              <c:tx>
                <c:rich>
                  <a:bodyPr/>
                  <a:lstStyle/>
                  <a:p>
                    <a:r>
                      <a:rPr lang="en-US"/>
                      <a:t>7</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1-AC35-B44D-BED3-FD2662CF8EF4}"/>
                </c:ext>
              </c:extLst>
            </c:dLbl>
            <c:dLbl>
              <c:idx val="25"/>
              <c:tx>
                <c:rich>
                  <a:bodyPr/>
                  <a:lstStyle/>
                  <a:p>
                    <a:r>
                      <a:rPr lang="en-US"/>
                      <a:t>40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3-AC35-B44D-BED3-FD2662CF8EF4}"/>
                </c:ext>
              </c:extLst>
            </c:dLbl>
            <c:dLbl>
              <c:idx val="26"/>
              <c:tx>
                <c:rich>
                  <a:bodyPr/>
                  <a:lstStyle/>
                  <a:p>
                    <a:r>
                      <a:rPr lang="en-US"/>
                      <a:t>4000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7-AC35-B44D-BED3-FD2662CF8EF4}"/>
                </c:ext>
              </c:extLst>
            </c:dLbl>
            <c:dLbl>
              <c:idx val="27"/>
              <c:tx>
                <c:rich>
                  <a:bodyPr/>
                  <a:lstStyle/>
                  <a:p>
                    <a:r>
                      <a:rPr lang="en-US"/>
                      <a:t>40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9-AC35-B44D-BED3-FD2662CF8EF4}"/>
                </c:ext>
              </c:extLst>
            </c:dLbl>
            <c:dLbl>
              <c:idx val="28"/>
              <c:tx>
                <c:rich>
                  <a:bodyPr/>
                  <a:lstStyle/>
                  <a:p>
                    <a:r>
                      <a:rPr lang="en-US"/>
                      <a:t>0.9</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B-AC35-B44D-BED3-FD2662CF8EF4}"/>
                </c:ext>
              </c:extLst>
            </c:dLbl>
            <c:dLbl>
              <c:idx val="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D-AC35-B44D-BED3-FD2662CF8EF4}"/>
                </c:ext>
              </c:extLst>
            </c:dLbl>
            <c:dLbl>
              <c:idx val="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F-AC35-B44D-BED3-FD2662CF8EF4}"/>
                </c:ext>
              </c:extLst>
            </c:dLbl>
            <c:dLbl>
              <c:idx val="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1-AC35-B44D-BED3-FD2662CF8EF4}"/>
                </c:ext>
              </c:extLst>
            </c:dLbl>
            <c:dLbl>
              <c:idx val="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3-AC35-B44D-BED3-FD2662CF8EF4}"/>
                </c:ext>
              </c:extLst>
            </c:dLbl>
            <c:dLbl>
              <c:idx val="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5-AC35-B44D-BED3-FD2662CF8EF4}"/>
                </c:ext>
              </c:extLst>
            </c:dLbl>
            <c:dLbl>
              <c:idx val="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7-AC35-B44D-BED3-FD2662CF8EF4}"/>
                </c:ext>
              </c:extLst>
            </c:dLbl>
            <c:dLbl>
              <c:idx val="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9-AC35-B44D-BED3-FD2662CF8EF4}"/>
                </c:ext>
              </c:extLst>
            </c:dLbl>
            <c:dLbl>
              <c:idx val="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B-AC35-B44D-BED3-FD2662CF8EF4}"/>
                </c:ext>
              </c:extLst>
            </c:dLbl>
            <c:dLbl>
              <c:idx val="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D-AC35-B44D-BED3-FD2662CF8EF4}"/>
                </c:ext>
              </c:extLst>
            </c:dLbl>
            <c:dLbl>
              <c:idx val="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F-AC35-B44D-BED3-FD2662CF8EF4}"/>
                </c:ext>
              </c:extLst>
            </c:dLbl>
            <c:dLbl>
              <c:idx val="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1-AC35-B44D-BED3-FD2662CF8EF4}"/>
                </c:ext>
              </c:extLst>
            </c:dLbl>
            <c:dLbl>
              <c:idx val="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3-AC35-B44D-BED3-FD2662CF8EF4}"/>
                </c:ext>
              </c:extLst>
            </c:dLbl>
            <c:dLbl>
              <c:idx val="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5-AC35-B44D-BED3-FD2662CF8EF4}"/>
                </c:ext>
              </c:extLst>
            </c:dLbl>
            <c:dLbl>
              <c:idx val="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7-AC35-B44D-BED3-FD2662CF8EF4}"/>
                </c:ext>
              </c:extLst>
            </c:dLbl>
            <c:dLbl>
              <c:idx val="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9-AC35-B44D-BED3-FD2662CF8EF4}"/>
                </c:ext>
              </c:extLst>
            </c:dLbl>
            <c:dLbl>
              <c:idx val="4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B-AC35-B44D-BED3-FD2662CF8EF4}"/>
                </c:ext>
              </c:extLst>
            </c:dLbl>
            <c:dLbl>
              <c:idx val="4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D-AC35-B44D-BED3-FD2662CF8EF4}"/>
                </c:ext>
              </c:extLst>
            </c:dLbl>
            <c:dLbl>
              <c:idx val="4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F-AC35-B44D-BED3-FD2662CF8EF4}"/>
                </c:ext>
              </c:extLst>
            </c:dLbl>
            <c:dLbl>
              <c:idx val="4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1-AC35-B44D-BED3-FD2662CF8EF4}"/>
                </c:ext>
              </c:extLst>
            </c:dLbl>
            <c:dLbl>
              <c:idx val="4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3-AC35-B44D-BED3-FD2662CF8EF4}"/>
                </c:ext>
              </c:extLst>
            </c:dLbl>
            <c:dLbl>
              <c:idx val="4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5-AC35-B44D-BED3-FD2662CF8EF4}"/>
                </c:ext>
              </c:extLst>
            </c:dLbl>
            <c:dLbl>
              <c:idx val="5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7-AC35-B44D-BED3-FD2662CF8EF4}"/>
                </c:ext>
              </c:extLst>
            </c:dLbl>
            <c:dLbl>
              <c:idx val="5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9-AC35-B44D-BED3-FD2662CF8EF4}"/>
                </c:ext>
              </c:extLst>
            </c:dLbl>
            <c:dLbl>
              <c:idx val="5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B-AC35-B44D-BED3-FD2662CF8EF4}"/>
                </c:ext>
              </c:extLst>
            </c:dLbl>
            <c:dLbl>
              <c:idx val="5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D-AC35-B44D-BED3-FD2662CF8EF4}"/>
                </c:ext>
              </c:extLst>
            </c:dLbl>
            <c:dLbl>
              <c:idx val="5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F-AC35-B44D-BED3-FD2662CF8EF4}"/>
                </c:ext>
              </c:extLst>
            </c:dLbl>
            <c:dLbl>
              <c:idx val="5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1-AC35-B44D-BED3-FD2662CF8EF4}"/>
                </c:ext>
              </c:extLst>
            </c:dLbl>
            <c:dLbl>
              <c:idx val="5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3-AC35-B44D-BED3-FD2662CF8EF4}"/>
                </c:ext>
              </c:extLst>
            </c:dLbl>
            <c:dLbl>
              <c:idx val="5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5-AC35-B44D-BED3-FD2662CF8EF4}"/>
                </c:ext>
              </c:extLst>
            </c:dLbl>
            <c:dLbl>
              <c:idx val="5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7-AC35-B44D-BED3-FD2662CF8EF4}"/>
                </c:ext>
              </c:extLst>
            </c:dLbl>
            <c:dLbl>
              <c:idx val="5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9-AC35-B44D-BED3-FD2662CF8EF4}"/>
                </c:ext>
              </c:extLst>
            </c:dLbl>
            <c:dLbl>
              <c:idx val="6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B-AC35-B44D-BED3-FD2662CF8EF4}"/>
                </c:ext>
              </c:extLst>
            </c:dLbl>
            <c:dLbl>
              <c:idx val="6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D-AC35-B44D-BED3-FD2662CF8EF4}"/>
                </c:ext>
              </c:extLst>
            </c:dLbl>
            <c:dLbl>
              <c:idx val="6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F-AC35-B44D-BED3-FD2662CF8EF4}"/>
                </c:ext>
              </c:extLst>
            </c:dLbl>
            <c:dLbl>
              <c:idx val="6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1-AC35-B44D-BED3-FD2662CF8EF4}"/>
                </c:ext>
              </c:extLst>
            </c:dLbl>
            <c:dLbl>
              <c:idx val="6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3-AC35-B44D-BED3-FD2662CF8EF4}"/>
                </c:ext>
              </c:extLst>
            </c:dLbl>
            <c:dLbl>
              <c:idx val="6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5-AC35-B44D-BED3-FD2662CF8EF4}"/>
                </c:ext>
              </c:extLst>
            </c:dLbl>
            <c:dLbl>
              <c:idx val="6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7-AC35-B44D-BED3-FD2662CF8EF4}"/>
                </c:ext>
              </c:extLst>
            </c:dLbl>
            <c:dLbl>
              <c:idx val="6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9-AC35-B44D-BED3-FD2662CF8EF4}"/>
                </c:ext>
              </c:extLst>
            </c:dLbl>
            <c:dLbl>
              <c:idx val="6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B-AC35-B44D-BED3-FD2662CF8EF4}"/>
                </c:ext>
              </c:extLst>
            </c:dLbl>
            <c:dLbl>
              <c:idx val="6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D-AC35-B44D-BED3-FD2662CF8EF4}"/>
                </c:ext>
              </c:extLst>
            </c:dLbl>
            <c:dLbl>
              <c:idx val="7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F-AC35-B44D-BED3-FD2662CF8EF4}"/>
                </c:ext>
              </c:extLst>
            </c:dLbl>
            <c:dLbl>
              <c:idx val="7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1-AC35-B44D-BED3-FD2662CF8EF4}"/>
                </c:ext>
              </c:extLst>
            </c:dLbl>
            <c:dLbl>
              <c:idx val="7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3-AC35-B44D-BED3-FD2662CF8EF4}"/>
                </c:ext>
              </c:extLst>
            </c:dLbl>
            <c:dLbl>
              <c:idx val="7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5-AC35-B44D-BED3-FD2662CF8EF4}"/>
                </c:ext>
              </c:extLst>
            </c:dLbl>
            <c:dLbl>
              <c:idx val="7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7-AC35-B44D-BED3-FD2662CF8EF4}"/>
                </c:ext>
              </c:extLst>
            </c:dLbl>
            <c:dLbl>
              <c:idx val="7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9-AC35-B44D-BED3-FD2662CF8EF4}"/>
                </c:ext>
              </c:extLst>
            </c:dLbl>
            <c:dLbl>
              <c:idx val="7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B-AC35-B44D-BED3-FD2662CF8EF4}"/>
                </c:ext>
              </c:extLst>
            </c:dLbl>
            <c:dLbl>
              <c:idx val="7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D-AC35-B44D-BED3-FD2662CF8EF4}"/>
                </c:ext>
              </c:extLst>
            </c:dLbl>
            <c:dLbl>
              <c:idx val="7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F-AC35-B44D-BED3-FD2662CF8EF4}"/>
                </c:ext>
              </c:extLst>
            </c:dLbl>
            <c:dLbl>
              <c:idx val="7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1-AC35-B44D-BED3-FD2662CF8EF4}"/>
                </c:ext>
              </c:extLst>
            </c:dLbl>
            <c:dLbl>
              <c:idx val="8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3-AC35-B44D-BED3-FD2662CF8EF4}"/>
                </c:ext>
              </c:extLst>
            </c:dLbl>
            <c:dLbl>
              <c:idx val="8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5-AC35-B44D-BED3-FD2662CF8EF4}"/>
                </c:ext>
              </c:extLst>
            </c:dLbl>
            <c:dLbl>
              <c:idx val="8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7-AC35-B44D-BED3-FD2662CF8EF4}"/>
                </c:ext>
              </c:extLst>
            </c:dLbl>
            <c:dLbl>
              <c:idx val="8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9-AC35-B44D-BED3-FD2662CF8EF4}"/>
                </c:ext>
              </c:extLst>
            </c:dLbl>
            <c:dLbl>
              <c:idx val="8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B-AC35-B44D-BED3-FD2662CF8EF4}"/>
                </c:ext>
              </c:extLst>
            </c:dLbl>
            <c:dLbl>
              <c:idx val="8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D-AC35-B44D-BED3-FD2662CF8EF4}"/>
                </c:ext>
              </c:extLst>
            </c:dLbl>
            <c:dLbl>
              <c:idx val="8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F-AC35-B44D-BED3-FD2662CF8EF4}"/>
                </c:ext>
              </c:extLst>
            </c:dLbl>
            <c:dLbl>
              <c:idx val="8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1-AC35-B44D-BED3-FD2662CF8EF4}"/>
                </c:ext>
              </c:extLst>
            </c:dLbl>
            <c:dLbl>
              <c:idx val="8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3-AC35-B44D-BED3-FD2662CF8EF4}"/>
                </c:ext>
              </c:extLst>
            </c:dLbl>
            <c:dLbl>
              <c:idx val="8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5-AC35-B44D-BED3-FD2662CF8EF4}"/>
                </c:ext>
              </c:extLst>
            </c:dLbl>
            <c:dLbl>
              <c:idx val="9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7-AC35-B44D-BED3-FD2662CF8EF4}"/>
                </c:ext>
              </c:extLst>
            </c:dLbl>
            <c:dLbl>
              <c:idx val="9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9-AC35-B44D-BED3-FD2662CF8EF4}"/>
                </c:ext>
              </c:extLst>
            </c:dLbl>
            <c:dLbl>
              <c:idx val="9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B-AC35-B44D-BED3-FD2662CF8EF4}"/>
                </c:ext>
              </c:extLst>
            </c:dLbl>
            <c:dLbl>
              <c:idx val="9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D-AC35-B44D-BED3-FD2662CF8EF4}"/>
                </c:ext>
              </c:extLst>
            </c:dLbl>
            <c:dLbl>
              <c:idx val="9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F-AC35-B44D-BED3-FD2662CF8EF4}"/>
                </c:ext>
              </c:extLst>
            </c:dLbl>
            <c:dLbl>
              <c:idx val="9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1-AC35-B44D-BED3-FD2662CF8EF4}"/>
                </c:ext>
              </c:extLst>
            </c:dLbl>
            <c:dLbl>
              <c:idx val="9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3-AC35-B44D-BED3-FD2662CF8EF4}"/>
                </c:ext>
              </c:extLst>
            </c:dLbl>
            <c:dLbl>
              <c:idx val="9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5-AC35-B44D-BED3-FD2662CF8EF4}"/>
                </c:ext>
              </c:extLst>
            </c:dLbl>
            <c:dLbl>
              <c:idx val="9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7-AC35-B44D-BED3-FD2662CF8EF4}"/>
                </c:ext>
              </c:extLst>
            </c:dLbl>
            <c:dLbl>
              <c:idx val="9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9-AC35-B44D-BED3-FD2662CF8EF4}"/>
                </c:ext>
              </c:extLst>
            </c:dLbl>
            <c:dLbl>
              <c:idx val="10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B-AC35-B44D-BED3-FD2662CF8EF4}"/>
                </c:ext>
              </c:extLst>
            </c:dLbl>
            <c:dLbl>
              <c:idx val="10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D-AC35-B44D-BED3-FD2662CF8EF4}"/>
                </c:ext>
              </c:extLst>
            </c:dLbl>
            <c:dLbl>
              <c:idx val="10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F-AC35-B44D-BED3-FD2662CF8EF4}"/>
                </c:ext>
              </c:extLst>
            </c:dLbl>
            <c:dLbl>
              <c:idx val="10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1-AC35-B44D-BED3-FD2662CF8EF4}"/>
                </c:ext>
              </c:extLst>
            </c:dLbl>
            <c:dLbl>
              <c:idx val="10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3-AC35-B44D-BED3-FD2662CF8EF4}"/>
                </c:ext>
              </c:extLst>
            </c:dLbl>
            <c:dLbl>
              <c:idx val="10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5-AC35-B44D-BED3-FD2662CF8EF4}"/>
                </c:ext>
              </c:extLst>
            </c:dLbl>
            <c:dLbl>
              <c:idx val="10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7-AC35-B44D-BED3-FD2662CF8EF4}"/>
                </c:ext>
              </c:extLst>
            </c:dLbl>
            <c:dLbl>
              <c:idx val="10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9-AC35-B44D-BED3-FD2662CF8EF4}"/>
                </c:ext>
              </c:extLst>
            </c:dLbl>
            <c:dLbl>
              <c:idx val="10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B-AC35-B44D-BED3-FD2662CF8EF4}"/>
                </c:ext>
              </c:extLst>
            </c:dLbl>
            <c:dLbl>
              <c:idx val="10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D-AC35-B44D-BED3-FD2662CF8EF4}"/>
                </c:ext>
              </c:extLst>
            </c:dLbl>
            <c:dLbl>
              <c:idx val="1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F-AC35-B44D-BED3-FD2662CF8EF4}"/>
                </c:ext>
              </c:extLst>
            </c:dLbl>
            <c:dLbl>
              <c:idx val="1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1-AC35-B44D-BED3-FD2662CF8EF4}"/>
                </c:ext>
              </c:extLst>
            </c:dLbl>
            <c:dLbl>
              <c:idx val="1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3-AC35-B44D-BED3-FD2662CF8EF4}"/>
                </c:ext>
              </c:extLst>
            </c:dLbl>
            <c:dLbl>
              <c:idx val="1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5-AC35-B44D-BED3-FD2662CF8EF4}"/>
                </c:ext>
              </c:extLst>
            </c:dLbl>
            <c:dLbl>
              <c:idx val="1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7-AC35-B44D-BED3-FD2662CF8EF4}"/>
                </c:ext>
              </c:extLst>
            </c:dLbl>
            <c:dLbl>
              <c:idx val="1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9-AC35-B44D-BED3-FD2662CF8EF4}"/>
                </c:ext>
              </c:extLst>
            </c:dLbl>
            <c:dLbl>
              <c:idx val="1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B-AC35-B44D-BED3-FD2662CF8EF4}"/>
                </c:ext>
              </c:extLst>
            </c:dLbl>
            <c:dLbl>
              <c:idx val="1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D-AC35-B44D-BED3-FD2662CF8EF4}"/>
                </c:ext>
              </c:extLst>
            </c:dLbl>
            <c:dLbl>
              <c:idx val="1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F-AC35-B44D-BED3-FD2662CF8EF4}"/>
                </c:ext>
              </c:extLst>
            </c:dLbl>
            <c:dLbl>
              <c:idx val="1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1-AC35-B44D-BED3-FD2662CF8EF4}"/>
                </c:ext>
              </c:extLst>
            </c:dLbl>
            <c:dLbl>
              <c:idx val="1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3-AC35-B44D-BED3-FD2662CF8EF4}"/>
                </c:ext>
              </c:extLst>
            </c:dLbl>
            <c:dLbl>
              <c:idx val="1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5-AC35-B44D-BED3-FD2662CF8EF4}"/>
                </c:ext>
              </c:extLst>
            </c:dLbl>
            <c:dLbl>
              <c:idx val="1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7-AC35-B44D-BED3-FD2662CF8EF4}"/>
                </c:ext>
              </c:extLst>
            </c:dLbl>
            <c:dLbl>
              <c:idx val="1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9-AC35-B44D-BED3-FD2662CF8EF4}"/>
                </c:ext>
              </c:extLst>
            </c:dLbl>
            <c:dLbl>
              <c:idx val="1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B-AC35-B44D-BED3-FD2662CF8EF4}"/>
                </c:ext>
              </c:extLst>
            </c:dLbl>
            <c:dLbl>
              <c:idx val="1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D-AC35-B44D-BED3-FD2662CF8EF4}"/>
                </c:ext>
              </c:extLst>
            </c:dLbl>
            <c:dLbl>
              <c:idx val="1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F-AC35-B44D-BED3-FD2662CF8EF4}"/>
                </c:ext>
              </c:extLst>
            </c:dLbl>
            <c:dLbl>
              <c:idx val="1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1-AC35-B44D-BED3-FD2662CF8EF4}"/>
                </c:ext>
              </c:extLst>
            </c:dLbl>
            <c:dLbl>
              <c:idx val="1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3-AC35-B44D-BED3-FD2662CF8EF4}"/>
                </c:ext>
              </c:extLst>
            </c:dLbl>
            <c:dLbl>
              <c:idx val="1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5-AC35-B44D-BED3-FD2662CF8EF4}"/>
                </c:ext>
              </c:extLst>
            </c:dLbl>
            <c:dLbl>
              <c:idx val="1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7-AC35-B44D-BED3-FD2662CF8EF4}"/>
                </c:ext>
              </c:extLst>
            </c:dLbl>
            <c:dLbl>
              <c:idx val="1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9-AC35-B44D-BED3-FD2662CF8EF4}"/>
                </c:ext>
              </c:extLst>
            </c:dLbl>
            <c:dLbl>
              <c:idx val="1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B-AC35-B44D-BED3-FD2662CF8EF4}"/>
                </c:ext>
              </c:extLst>
            </c:dLbl>
            <c:dLbl>
              <c:idx val="1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D-AC35-B44D-BED3-FD2662CF8EF4}"/>
                </c:ext>
              </c:extLst>
            </c:dLbl>
            <c:dLbl>
              <c:idx val="1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F-AC35-B44D-BED3-FD2662CF8EF4}"/>
                </c:ext>
              </c:extLst>
            </c:dLbl>
            <c:dLbl>
              <c:idx val="1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1-AC35-B44D-BED3-FD2662CF8EF4}"/>
                </c:ext>
              </c:extLst>
            </c:dLbl>
            <c:dLbl>
              <c:idx val="1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3-AC35-B44D-BED3-FD2662CF8EF4}"/>
                </c:ext>
              </c:extLst>
            </c:dLbl>
            <c:dLbl>
              <c:idx val="1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5-AC35-B44D-BED3-FD2662CF8EF4}"/>
                </c:ext>
              </c:extLst>
            </c:dLbl>
            <c:dLbl>
              <c:idx val="1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7-AC35-B44D-BED3-FD2662CF8EF4}"/>
                </c:ext>
              </c:extLst>
            </c:dLbl>
            <c:dLbl>
              <c:idx val="1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9-AC35-B44D-BED3-FD2662CF8EF4}"/>
                </c:ext>
              </c:extLst>
            </c:dLbl>
            <c:dLbl>
              <c:idx val="1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B-AC35-B44D-BED3-FD2662CF8EF4}"/>
                </c:ext>
              </c:extLst>
            </c:dLbl>
            <c:dLbl>
              <c:idx val="1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D-AC35-B44D-BED3-FD2662CF8EF4}"/>
                </c:ext>
              </c:extLst>
            </c:dLbl>
            <c:dLbl>
              <c:idx val="1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F-AC35-B44D-BED3-FD2662CF8EF4}"/>
                </c:ext>
              </c:extLst>
            </c:dLbl>
            <c:dLbl>
              <c:idx val="1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1-AC35-B44D-BED3-FD2662CF8EF4}"/>
                </c:ext>
              </c:extLst>
            </c:dLbl>
            <c:dLbl>
              <c:idx val="14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3-AC35-B44D-BED3-FD2662CF8EF4}"/>
                </c:ext>
              </c:extLst>
            </c:dLbl>
            <c:dLbl>
              <c:idx val="14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5-AC35-B44D-BED3-FD2662CF8EF4}"/>
                </c:ext>
              </c:extLst>
            </c:dLbl>
            <c:dLbl>
              <c:idx val="14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7-AC35-B44D-BED3-FD2662CF8EF4}"/>
                </c:ext>
              </c:extLst>
            </c:dLbl>
            <c:dLbl>
              <c:idx val="14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9-AC35-B44D-BED3-FD2662CF8EF4}"/>
                </c:ext>
              </c:extLst>
            </c:dLbl>
            <c:dLbl>
              <c:idx val="14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B-AC35-B44D-BED3-FD2662CF8EF4}"/>
                </c:ext>
              </c:extLst>
            </c:dLbl>
            <c:dLbl>
              <c:idx val="14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D-AC35-B44D-BED3-FD2662CF8EF4}"/>
                </c:ext>
              </c:extLst>
            </c:dLbl>
            <c:dLbl>
              <c:idx val="15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F-AC35-B44D-BED3-FD2662CF8EF4}"/>
                </c:ext>
              </c:extLst>
            </c:dLbl>
            <c:dLbl>
              <c:idx val="15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1-AC35-B44D-BED3-FD2662CF8EF4}"/>
                </c:ext>
              </c:extLst>
            </c:dLbl>
            <c:dLbl>
              <c:idx val="15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3-AC35-B44D-BED3-FD2662CF8EF4}"/>
                </c:ext>
              </c:extLst>
            </c:dLbl>
            <c:dLbl>
              <c:idx val="15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5-AC35-B44D-BED3-FD2662CF8EF4}"/>
                </c:ext>
              </c:extLst>
            </c:dLbl>
            <c:dLbl>
              <c:idx val="15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7-AC35-B44D-BED3-FD2662CF8EF4}"/>
                </c:ext>
              </c:extLst>
            </c:dLbl>
            <c:dLbl>
              <c:idx val="15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9-AC35-B44D-BED3-FD2662CF8EF4}"/>
                </c:ext>
              </c:extLst>
            </c:dLbl>
            <c:dLbl>
              <c:idx val="15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B-AC35-B44D-BED3-FD2662CF8EF4}"/>
                </c:ext>
              </c:extLst>
            </c:dLbl>
            <c:dLbl>
              <c:idx val="15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D-AC35-B44D-BED3-FD2662CF8EF4}"/>
                </c:ext>
              </c:extLst>
            </c:dLbl>
            <c:dLbl>
              <c:idx val="15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F-AC35-B44D-BED3-FD2662CF8EF4}"/>
                </c:ext>
              </c:extLst>
            </c:dLbl>
            <c:dLbl>
              <c:idx val="15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1-AC35-B44D-BED3-FD2662CF8EF4}"/>
                </c:ext>
              </c:extLst>
            </c:dLbl>
            <c:dLbl>
              <c:idx val="16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3-AC35-B44D-BED3-FD2662CF8EF4}"/>
                </c:ext>
              </c:extLst>
            </c:dLbl>
            <c:dLbl>
              <c:idx val="16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5-AC35-B44D-BED3-FD2662CF8EF4}"/>
                </c:ext>
              </c:extLst>
            </c:dLbl>
            <c:dLbl>
              <c:idx val="16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7-AC35-B44D-BED3-FD2662CF8EF4}"/>
                </c:ext>
              </c:extLst>
            </c:dLbl>
            <c:dLbl>
              <c:idx val="16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9-AC35-B44D-BED3-FD2662CF8EF4}"/>
                </c:ext>
              </c:extLst>
            </c:dLbl>
            <c:dLbl>
              <c:idx val="16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B-AC35-B44D-BED3-FD2662CF8EF4}"/>
                </c:ext>
              </c:extLst>
            </c:dLbl>
            <c:dLbl>
              <c:idx val="16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D-AC35-B44D-BED3-FD2662CF8EF4}"/>
                </c:ext>
              </c:extLst>
            </c:dLbl>
            <c:dLbl>
              <c:idx val="16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F-AC35-B44D-BED3-FD2662CF8EF4}"/>
                </c:ext>
              </c:extLst>
            </c:dLbl>
            <c:dLbl>
              <c:idx val="16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1-AC35-B44D-BED3-FD2662CF8EF4}"/>
                </c:ext>
              </c:extLst>
            </c:dLbl>
            <c:dLbl>
              <c:idx val="16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3-AC35-B44D-BED3-FD2662CF8EF4}"/>
                </c:ext>
              </c:extLst>
            </c:dLbl>
            <c:dLbl>
              <c:idx val="16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5-AC35-B44D-BED3-FD2662CF8EF4}"/>
                </c:ext>
              </c:extLst>
            </c:dLbl>
            <c:dLbl>
              <c:idx val="17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7-AC35-B44D-BED3-FD2662CF8EF4}"/>
                </c:ext>
              </c:extLst>
            </c:dLbl>
            <c:dLbl>
              <c:idx val="17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9-AC35-B44D-BED3-FD2662CF8EF4}"/>
                </c:ext>
              </c:extLst>
            </c:dLbl>
            <c:dLbl>
              <c:idx val="17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B-AC35-B44D-BED3-FD2662CF8EF4}"/>
                </c:ext>
              </c:extLst>
            </c:dLbl>
            <c:dLbl>
              <c:idx val="17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D-AC35-B44D-BED3-FD2662CF8EF4}"/>
                </c:ext>
              </c:extLst>
            </c:dLbl>
            <c:dLbl>
              <c:idx val="17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F-AC35-B44D-BED3-FD2662CF8EF4}"/>
                </c:ext>
              </c:extLst>
            </c:dLbl>
            <c:dLbl>
              <c:idx val="17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1-AC35-B44D-BED3-FD2662CF8EF4}"/>
                </c:ext>
              </c:extLst>
            </c:dLbl>
            <c:dLbl>
              <c:idx val="17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3-AC35-B44D-BED3-FD2662CF8EF4}"/>
                </c:ext>
              </c:extLst>
            </c:dLbl>
            <c:dLbl>
              <c:idx val="17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5-AC35-B44D-BED3-FD2662CF8EF4}"/>
                </c:ext>
              </c:extLst>
            </c:dLbl>
            <c:dLbl>
              <c:idx val="17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7-AC35-B44D-BED3-FD2662CF8EF4}"/>
                </c:ext>
              </c:extLst>
            </c:dLbl>
            <c:dLbl>
              <c:idx val="17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9-AC35-B44D-BED3-FD2662CF8EF4}"/>
                </c:ext>
              </c:extLst>
            </c:dLbl>
            <c:dLbl>
              <c:idx val="18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B-AC35-B44D-BED3-FD2662CF8EF4}"/>
                </c:ext>
              </c:extLst>
            </c:dLbl>
            <c:dLbl>
              <c:idx val="18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D-AC35-B44D-BED3-FD2662CF8EF4}"/>
                </c:ext>
              </c:extLst>
            </c:dLbl>
            <c:dLbl>
              <c:idx val="18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F-AC35-B44D-BED3-FD2662CF8EF4}"/>
                </c:ext>
              </c:extLst>
            </c:dLbl>
            <c:dLbl>
              <c:idx val="18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1-AC35-B44D-BED3-FD2662CF8EF4}"/>
                </c:ext>
              </c:extLst>
            </c:dLbl>
            <c:dLbl>
              <c:idx val="18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3-AC35-B44D-BED3-FD2662CF8EF4}"/>
                </c:ext>
              </c:extLst>
            </c:dLbl>
            <c:dLbl>
              <c:idx val="18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5-AC35-B44D-BED3-FD2662CF8EF4}"/>
                </c:ext>
              </c:extLst>
            </c:dLbl>
            <c:dLbl>
              <c:idx val="18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7-AC35-B44D-BED3-FD2662CF8EF4}"/>
                </c:ext>
              </c:extLst>
            </c:dLbl>
            <c:dLbl>
              <c:idx val="18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9-AC35-B44D-BED3-FD2662CF8EF4}"/>
                </c:ext>
              </c:extLst>
            </c:dLbl>
            <c:dLbl>
              <c:idx val="18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B-AC35-B44D-BED3-FD2662CF8EF4}"/>
                </c:ext>
              </c:extLst>
            </c:dLbl>
            <c:dLbl>
              <c:idx val="18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D-AC35-B44D-BED3-FD2662CF8EF4}"/>
                </c:ext>
              </c:extLst>
            </c:dLbl>
            <c:dLbl>
              <c:idx val="19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F-AC35-B44D-BED3-FD2662CF8EF4}"/>
                </c:ext>
              </c:extLst>
            </c:dLbl>
            <c:dLbl>
              <c:idx val="19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1-AC35-B44D-BED3-FD2662CF8EF4}"/>
                </c:ext>
              </c:extLst>
            </c:dLbl>
            <c:dLbl>
              <c:idx val="19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3-AC35-B44D-BED3-FD2662CF8EF4}"/>
                </c:ext>
              </c:extLst>
            </c:dLbl>
            <c:dLbl>
              <c:idx val="19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5-AC35-B44D-BED3-FD2662CF8EF4}"/>
                </c:ext>
              </c:extLst>
            </c:dLbl>
            <c:dLbl>
              <c:idx val="19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7-AC35-B44D-BED3-FD2662CF8EF4}"/>
                </c:ext>
              </c:extLst>
            </c:dLbl>
            <c:dLbl>
              <c:idx val="19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9-AC35-B44D-BED3-FD2662CF8EF4}"/>
                </c:ext>
              </c:extLst>
            </c:dLbl>
            <c:dLbl>
              <c:idx val="19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B-AC35-B44D-BED3-FD2662CF8EF4}"/>
                </c:ext>
              </c:extLst>
            </c:dLbl>
            <c:dLbl>
              <c:idx val="19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D-AC35-B44D-BED3-FD2662CF8EF4}"/>
                </c:ext>
              </c:extLst>
            </c:dLbl>
            <c:dLbl>
              <c:idx val="19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F-AC35-B44D-BED3-FD2662CF8EF4}"/>
                </c:ext>
              </c:extLst>
            </c:dLbl>
            <c:dLbl>
              <c:idx val="19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1-AC35-B44D-BED3-FD2662CF8EF4}"/>
                </c:ext>
              </c:extLst>
            </c:dLbl>
            <c:dLbl>
              <c:idx val="20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3-AC35-B44D-BED3-FD2662CF8EF4}"/>
                </c:ext>
              </c:extLst>
            </c:dLbl>
            <c:dLbl>
              <c:idx val="20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5-AC35-B44D-BED3-FD2662CF8EF4}"/>
                </c:ext>
              </c:extLst>
            </c:dLbl>
            <c:dLbl>
              <c:idx val="20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7-AC35-B44D-BED3-FD2662CF8EF4}"/>
                </c:ext>
              </c:extLst>
            </c:dLbl>
            <c:dLbl>
              <c:idx val="20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9-AC35-B44D-BED3-FD2662CF8EF4}"/>
                </c:ext>
              </c:extLst>
            </c:dLbl>
            <c:dLbl>
              <c:idx val="20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B-AC35-B44D-BED3-FD2662CF8EF4}"/>
                </c:ext>
              </c:extLst>
            </c:dLbl>
            <c:dLbl>
              <c:idx val="20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D-AC35-B44D-BED3-FD2662CF8EF4}"/>
                </c:ext>
              </c:extLst>
            </c:dLbl>
            <c:dLbl>
              <c:idx val="20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F-AC35-B44D-BED3-FD2662CF8EF4}"/>
                </c:ext>
              </c:extLst>
            </c:dLbl>
            <c:dLbl>
              <c:idx val="20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1-AC35-B44D-BED3-FD2662CF8EF4}"/>
                </c:ext>
              </c:extLst>
            </c:dLbl>
            <c:dLbl>
              <c:idx val="20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3-AC35-B44D-BED3-FD2662CF8EF4}"/>
                </c:ext>
              </c:extLst>
            </c:dLbl>
            <c:dLbl>
              <c:idx val="20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5-AC35-B44D-BED3-FD2662CF8EF4}"/>
                </c:ext>
              </c:extLst>
            </c:dLbl>
            <c:dLbl>
              <c:idx val="2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7-AC35-B44D-BED3-FD2662CF8EF4}"/>
                </c:ext>
              </c:extLst>
            </c:dLbl>
            <c:dLbl>
              <c:idx val="2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9-AC35-B44D-BED3-FD2662CF8EF4}"/>
                </c:ext>
              </c:extLst>
            </c:dLbl>
            <c:dLbl>
              <c:idx val="2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B-AC35-B44D-BED3-FD2662CF8EF4}"/>
                </c:ext>
              </c:extLst>
            </c:dLbl>
            <c:dLbl>
              <c:idx val="2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D-AC35-B44D-BED3-FD2662CF8EF4}"/>
                </c:ext>
              </c:extLst>
            </c:dLbl>
            <c:dLbl>
              <c:idx val="2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F-AC35-B44D-BED3-FD2662CF8EF4}"/>
                </c:ext>
              </c:extLst>
            </c:dLbl>
            <c:dLbl>
              <c:idx val="2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1-AC35-B44D-BED3-FD2662CF8EF4}"/>
                </c:ext>
              </c:extLst>
            </c:dLbl>
            <c:dLbl>
              <c:idx val="2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3-AC35-B44D-BED3-FD2662CF8EF4}"/>
                </c:ext>
              </c:extLst>
            </c:dLbl>
            <c:dLbl>
              <c:idx val="2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5-AC35-B44D-BED3-FD2662CF8EF4}"/>
                </c:ext>
              </c:extLst>
            </c:dLbl>
            <c:dLbl>
              <c:idx val="2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7-AC35-B44D-BED3-FD2662CF8EF4}"/>
                </c:ext>
              </c:extLst>
            </c:dLbl>
            <c:dLbl>
              <c:idx val="2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9-AC35-B44D-BED3-FD2662CF8EF4}"/>
                </c:ext>
              </c:extLst>
            </c:dLbl>
            <c:dLbl>
              <c:idx val="2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B-AC35-B44D-BED3-FD2662CF8EF4}"/>
                </c:ext>
              </c:extLst>
            </c:dLbl>
            <c:dLbl>
              <c:idx val="2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D-AC35-B44D-BED3-FD2662CF8EF4}"/>
                </c:ext>
              </c:extLst>
            </c:dLbl>
            <c:dLbl>
              <c:idx val="2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F-AC35-B44D-BED3-FD2662CF8EF4}"/>
                </c:ext>
              </c:extLst>
            </c:dLbl>
            <c:dLbl>
              <c:idx val="2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1-AC35-B44D-BED3-FD2662CF8EF4}"/>
                </c:ext>
              </c:extLst>
            </c:dLbl>
            <c:dLbl>
              <c:idx val="2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3-AC35-B44D-BED3-FD2662CF8EF4}"/>
                </c:ext>
              </c:extLst>
            </c:dLbl>
            <c:dLbl>
              <c:idx val="2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5-AC35-B44D-BED3-FD2662CF8EF4}"/>
                </c:ext>
              </c:extLst>
            </c:dLbl>
            <c:dLbl>
              <c:idx val="2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7-AC35-B44D-BED3-FD2662CF8EF4}"/>
                </c:ext>
              </c:extLst>
            </c:dLbl>
            <c:dLbl>
              <c:idx val="2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9-AC35-B44D-BED3-FD2662CF8EF4}"/>
                </c:ext>
              </c:extLst>
            </c:dLbl>
            <c:dLbl>
              <c:idx val="2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B-AC35-B44D-BED3-FD2662CF8EF4}"/>
                </c:ext>
              </c:extLst>
            </c:dLbl>
            <c:dLbl>
              <c:idx val="2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D-AC35-B44D-BED3-FD2662CF8EF4}"/>
                </c:ext>
              </c:extLst>
            </c:dLbl>
            <c:dLbl>
              <c:idx val="2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F-AC35-B44D-BED3-FD2662CF8EF4}"/>
                </c:ext>
              </c:extLst>
            </c:dLbl>
            <c:dLbl>
              <c:idx val="2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1-AC35-B44D-BED3-FD2662CF8EF4}"/>
                </c:ext>
              </c:extLst>
            </c:dLbl>
            <c:dLbl>
              <c:idx val="2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3-AC35-B44D-BED3-FD2662CF8EF4}"/>
                </c:ext>
              </c:extLst>
            </c:dLbl>
            <c:dLbl>
              <c:idx val="2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5-AC35-B44D-BED3-FD2662CF8EF4}"/>
                </c:ext>
              </c:extLst>
            </c:dLbl>
            <c:dLbl>
              <c:idx val="2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7-AC35-B44D-BED3-FD2662CF8EF4}"/>
                </c:ext>
              </c:extLst>
            </c:dLbl>
            <c:dLbl>
              <c:idx val="2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9-AC35-B44D-BED3-FD2662CF8EF4}"/>
                </c:ext>
              </c:extLst>
            </c:dLbl>
            <c:dLbl>
              <c:idx val="2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B-AC35-B44D-BED3-FD2662CF8EF4}"/>
                </c:ext>
              </c:extLst>
            </c:dLbl>
            <c:dLbl>
              <c:idx val="2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D-AC35-B44D-BED3-FD2662CF8EF4}"/>
                </c:ext>
              </c:extLst>
            </c:dLbl>
            <c:dLbl>
              <c:idx val="2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F-AC35-B44D-BED3-FD2662CF8EF4}"/>
                </c:ext>
              </c:extLst>
            </c:dLbl>
            <c:dLbl>
              <c:idx val="2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1-AC35-B44D-BED3-FD2662CF8EF4}"/>
                </c:ext>
              </c:extLst>
            </c:dLbl>
            <c:dLbl>
              <c:idx val="2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3-AC35-B44D-BED3-FD2662CF8EF4}"/>
                </c:ext>
              </c:extLst>
            </c:dLbl>
            <c:dLbl>
              <c:idx val="2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5-AC35-B44D-BED3-FD2662CF8EF4}"/>
                </c:ext>
              </c:extLst>
            </c:dLbl>
            <c:dLbl>
              <c:idx val="2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7-AC35-B44D-BED3-FD2662CF8EF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Tornado!#REF!</c:f>
            </c:multiLvlStrRef>
          </c:cat>
          <c:val>
            <c:numLit>
              <c:formatCode>General</c:formatCode>
              <c:ptCount val="14"/>
              <c:pt idx="0">
                <c:v>15.311452939200002</c:v>
              </c:pt>
              <c:pt idx="1">
                <c:v>7.2020222971200001</c:v>
              </c:pt>
              <c:pt idx="2">
                <c:v>6.7390009797600001</c:v>
              </c:pt>
              <c:pt idx="3">
                <c:v>7.6378070664000006</c:v>
              </c:pt>
              <c:pt idx="4">
                <c:v>7.65570757392</c:v>
              </c:pt>
              <c:pt idx="5">
                <c:v>7.7576478779519995</c:v>
              </c:pt>
              <c:pt idx="6">
                <c:v>6.481820067408</c:v>
              </c:pt>
              <c:pt idx="7">
                <c:v>7.8193840536000003</c:v>
              </c:pt>
              <c:pt idx="8">
                <c:v>7.9581644251199997</c:v>
              </c:pt>
              <c:pt idx="9">
                <c:v>8.3362354891199999</c:v>
              </c:pt>
              <c:pt idx="10">
                <c:v>5.4015167228400003</c:v>
              </c:pt>
              <c:pt idx="11">
                <c:v>10.082831215968</c:v>
              </c:pt>
              <c:pt idx="12">
                <c:v>10.2886032816</c:v>
              </c:pt>
              <c:pt idx="13">
                <c:v>3.4364344996799998</c:v>
              </c:pt>
            </c:numLit>
          </c:val>
          <c:extLst>
            <c:ext xmlns:c16="http://schemas.microsoft.com/office/drawing/2014/chart" uri="{C3380CC4-5D6E-409C-BE32-E72D297353CC}">
              <c16:uniqueId val="{00000001-AC35-B44D-BED3-FD2662CF8EF4}"/>
            </c:ext>
          </c:extLst>
        </c:ser>
        <c:dLbls>
          <c:showLegendKey val="0"/>
          <c:showVal val="0"/>
          <c:showCatName val="0"/>
          <c:showSerName val="0"/>
          <c:showPercent val="0"/>
          <c:showBubbleSize val="0"/>
        </c:dLbls>
        <c:gapWidth val="182"/>
        <c:overlap val="100"/>
        <c:axId val="947514576"/>
        <c:axId val="973346752"/>
      </c:barChart>
      <c:catAx>
        <c:axId val="947514576"/>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973346752"/>
        <c:crossesAt val="7.2020222971200001"/>
        <c:auto val="1"/>
        <c:lblAlgn val="ctr"/>
        <c:lblOffset val="100"/>
        <c:noMultiLvlLbl val="0"/>
      </c:catAx>
      <c:valAx>
        <c:axId val="97334675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dec</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514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US" sz="2400"/>
              <a:t>CDF for Sweet Spot Mkt: PWMOIC</a:t>
            </a:r>
          </a:p>
        </c:rich>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Lit>
              <c:formatCode>General</c:formatCode>
              <c:ptCount val="243"/>
              <c:pt idx="0">
                <c:v>0.57524449298399993</c:v>
              </c:pt>
              <c:pt idx="1">
                <c:v>0.6627409392239999</c:v>
              </c:pt>
              <c:pt idx="2">
                <c:v>0.75023738546399987</c:v>
              </c:pt>
              <c:pt idx="3">
                <c:v>0.76699265731199995</c:v>
              </c:pt>
              <c:pt idx="4">
                <c:v>0.88365458563199994</c:v>
              </c:pt>
              <c:pt idx="5">
                <c:v>0.95874082163999996</c:v>
              </c:pt>
              <c:pt idx="6">
                <c:v>0.98613341654399989</c:v>
              </c:pt>
              <c:pt idx="7">
                <c:v>1.0003165139519998</c:v>
              </c:pt>
              <c:pt idx="8">
                <c:v>1.1045682320400001</c:v>
              </c:pt>
              <c:pt idx="9">
                <c:v>1.1361273243839998</c:v>
              </c:pt>
              <c:pt idx="10">
                <c:v>1.1702203274160001</c:v>
              </c:pt>
              <c:pt idx="11">
                <c:v>1.25039564244</c:v>
              </c:pt>
              <c:pt idx="12">
                <c:v>1.2783210955199997</c:v>
              </c:pt>
              <c:pt idx="13">
                <c:v>1.2861212322239999</c:v>
              </c:pt>
              <c:pt idx="14">
                <c:v>1.342237150296</c:v>
              </c:pt>
              <c:pt idx="15">
                <c:v>1.342237150296</c:v>
              </c:pt>
              <c:pt idx="16">
                <c:v>1.3889614430160002</c:v>
              </c:pt>
              <c:pt idx="17">
                <c:v>1.4727576427199998</c:v>
              </c:pt>
              <c:pt idx="18">
                <c:v>1.5463955248559997</c:v>
              </c:pt>
              <c:pt idx="19">
                <c:v>1.5463955248559997</c:v>
              </c:pt>
              <c:pt idx="20">
                <c:v>1.5602937698880004</c:v>
              </c:pt>
              <c:pt idx="21">
                <c:v>1.6077025586160003</c:v>
              </c:pt>
              <c:pt idx="22">
                <c:v>1.64355569424</c:v>
              </c:pt>
              <c:pt idx="23">
                <c:v>1.6671941899199998</c:v>
              </c:pt>
              <c:pt idx="24">
                <c:v>1.7505538994159997</c:v>
              </c:pt>
              <c:pt idx="25">
                <c:v>1.7505538994159997</c:v>
              </c:pt>
              <c:pt idx="26">
                <c:v>1.7896495337279998</c:v>
              </c:pt>
              <c:pt idx="27">
                <c:v>1.7896495337279998</c:v>
              </c:pt>
              <c:pt idx="28">
                <c:v>1.8519485906880002</c:v>
              </c:pt>
              <c:pt idx="29">
                <c:v>1.8935455406399999</c:v>
              </c:pt>
              <c:pt idx="30">
                <c:v>1.9174816432799999</c:v>
              </c:pt>
              <c:pt idx="31">
                <c:v>1.9503672123600002</c:v>
              </c:pt>
              <c:pt idx="32">
                <c:v>2.0060919898560003</c:v>
              </c:pt>
              <c:pt idx="33">
                <c:v>2.0618606998079998</c:v>
              </c:pt>
              <c:pt idx="34">
                <c:v>2.0618606998079998</c:v>
              </c:pt>
              <c:pt idx="35">
                <c:v>2.14353538704</c:v>
              </c:pt>
              <c:pt idx="36">
                <c:v>2.1436034114880003</c:v>
              </c:pt>
              <c:pt idx="37">
                <c:v>2.1618467181360002</c:v>
              </c:pt>
              <c:pt idx="38">
                <c:v>2.2091364640800002</c:v>
              </c:pt>
              <c:pt idx="39">
                <c:v>2.2370619171599997</c:v>
              </c:pt>
              <c:pt idx="40">
                <c:v>2.3009779719359997</c:v>
              </c:pt>
              <c:pt idx="41">
                <c:v>2.3009779719359997</c:v>
              </c:pt>
              <c:pt idx="42">
                <c:v>2.3149357383600004</c:v>
              </c:pt>
              <c:pt idx="43">
                <c:v>2.3340718658879998</c:v>
              </c:pt>
              <c:pt idx="44">
                <c:v>2.3340718658879998</c:v>
              </c:pt>
              <c:pt idx="45">
                <c:v>2.3810767594560005</c:v>
              </c:pt>
              <c:pt idx="46">
                <c:v>2.50079128488</c:v>
              </c:pt>
              <c:pt idx="47">
                <c:v>2.5566421910399999</c:v>
              </c:pt>
              <c:pt idx="48">
                <c:v>2.5773258747599996</c:v>
              </c:pt>
              <c:pt idx="49">
                <c:v>2.5993289493360003</c:v>
              </c:pt>
              <c:pt idx="50">
                <c:v>2.6004896164800004</c:v>
              </c:pt>
              <c:pt idx="51">
                <c:v>2.6509637568959996</c:v>
              </c:pt>
              <c:pt idx="52">
                <c:v>2.6509637568959996</c:v>
              </c:pt>
              <c:pt idx="53">
                <c:v>2.6795042643600002</c:v>
              </c:pt>
              <c:pt idx="54">
                <c:v>2.7305140973039999</c:v>
              </c:pt>
              <c:pt idx="55">
                <c:v>2.7305140973040003</c:v>
              </c:pt>
              <c:pt idx="56">
                <c:v>2.7560615290560002</c:v>
              </c:pt>
              <c:pt idx="57">
                <c:v>2.8824622908480007</c:v>
              </c:pt>
              <c:pt idx="58">
                <c:v>2.9175898323599996</c:v>
              </c:pt>
              <c:pt idx="59">
                <c:v>2.94551528544</c:v>
              </c:pt>
              <c:pt idx="60">
                <c:v>2.9827492228799999</c:v>
              </c:pt>
              <c:pt idx="61">
                <c:v>3.0009495418559995</c:v>
              </c:pt>
              <c:pt idx="62">
                <c:v>3.0009495418559995</c:v>
              </c:pt>
              <c:pt idx="63">
                <c:v>3.0368111805360005</c:v>
              </c:pt>
              <c:pt idx="64">
                <c:v>3.0865809844800003</c:v>
              </c:pt>
              <c:pt idx="65">
                <c:v>3.1318866840239998</c:v>
              </c:pt>
              <c:pt idx="66">
                <c:v>3.1958027387999999</c:v>
              </c:pt>
              <c:pt idx="67">
                <c:v>3.240910033704</c:v>
              </c:pt>
              <c:pt idx="68">
                <c:v>3.2409100337040004</c:v>
              </c:pt>
              <c:pt idx="69">
                <c:v>3.2871113884800005</c:v>
              </c:pt>
              <c:pt idx="70">
                <c:v>3.33438837984</c:v>
              </c:pt>
              <c:pt idx="71">
                <c:v>3.34348664976</c:v>
              </c:pt>
              <c:pt idx="72">
                <c:v>3.4364344996799998</c:v>
              </c:pt>
              <c:pt idx="73">
                <c:v>3.4657719324480003</c:v>
              </c:pt>
              <c:pt idx="74">
                <c:v>3.5726723524800001</c:v>
              </c:pt>
              <c:pt idx="75">
                <c:v>3.6030778635600003</c:v>
              </c:pt>
              <c:pt idx="76">
                <c:v>3.6082562246639993</c:v>
              </c:pt>
              <c:pt idx="77">
                <c:v>3.6406854630720002</c:v>
              </c:pt>
              <c:pt idx="78">
                <c:v>3.6406854630720007</c:v>
              </c:pt>
              <c:pt idx="79">
                <c:v>3.6818941068000002</c:v>
              </c:pt>
              <c:pt idx="80">
                <c:v>3.7060229453760005</c:v>
              </c:pt>
              <c:pt idx="81">
                <c:v>3.7513059701040001</c:v>
              </c:pt>
              <c:pt idx="82">
                <c:v>3.7513059701040006</c:v>
              </c:pt>
              <c:pt idx="83">
                <c:v>3.7870910812799998</c:v>
              </c:pt>
              <c:pt idx="84">
                <c:v>3.8349632865599994</c:v>
              </c:pt>
              <c:pt idx="85">
                <c:v>3.8901197764799993</c:v>
              </c:pt>
              <c:pt idx="86">
                <c:v>3.9007344247200004</c:v>
              </c:pt>
              <c:pt idx="87">
                <c:v>3.9684612657600002</c:v>
              </c:pt>
              <c:pt idx="88">
                <c:v>4.0490815740480004</c:v>
              </c:pt>
              <c:pt idx="89">
                <c:v>4.0846257653039997</c:v>
              </c:pt>
              <c:pt idx="90">
                <c:v>4.1679854748</c:v>
              </c:pt>
              <c:pt idx="91">
                <c:v>4.1758489120319995</c:v>
              </c:pt>
              <c:pt idx="92">
                <c:v>4.2610703183999998</c:v>
              </c:pt>
              <c:pt idx="93">
                <c:v>4.28707077408</c:v>
              </c:pt>
              <c:pt idx="94">
                <c:v>4.3212133782720006</c:v>
              </c:pt>
              <c:pt idx="95">
                <c:v>4.3212133782720006</c:v>
              </c:pt>
              <c:pt idx="96">
                <c:v>4.3322149155600007</c:v>
              </c:pt>
              <c:pt idx="97">
                <c:v>4.4182729281599986</c:v>
              </c:pt>
              <c:pt idx="98">
                <c:v>4.4559924845760008</c:v>
              </c:pt>
              <c:pt idx="99">
                <c:v>4.4741238343200003</c:v>
              </c:pt>
              <c:pt idx="100">
                <c:v>4.5508568288400006</c:v>
              </c:pt>
              <c:pt idx="101">
                <c:v>4.5934358817600005</c:v>
              </c:pt>
              <c:pt idx="102">
                <c:v>4.6298714767200009</c:v>
              </c:pt>
              <c:pt idx="103">
                <c:v>4.6808813096640005</c:v>
              </c:pt>
              <c:pt idx="104">
                <c:v>4.6808813096640005</c:v>
              </c:pt>
              <c:pt idx="105">
                <c:v>4.8041038180800006</c:v>
              </c:pt>
              <c:pt idx="106">
                <c:v>4.8110082995519994</c:v>
              </c:pt>
              <c:pt idx="107">
                <c:v>4.9091921423999993</c:v>
              </c:pt>
              <c:pt idx="108">
                <c:v>5.0015825697599992</c:v>
              </c:pt>
              <c:pt idx="109">
                <c:v>5.0017412934720005</c:v>
              </c:pt>
              <c:pt idx="110">
                <c:v>5.0017412934720005</c:v>
              </c:pt>
              <c:pt idx="111">
                <c:v>5.0443090089840004</c:v>
              </c:pt>
              <c:pt idx="112">
                <c:v>5.0443090089840004</c:v>
              </c:pt>
              <c:pt idx="113">
                <c:v>5.0613519675600003</c:v>
              </c:pt>
              <c:pt idx="114">
                <c:v>5.1546517495199993</c:v>
              </c:pt>
              <c:pt idx="115">
                <c:v>5.2009792329600009</c:v>
              </c:pt>
              <c:pt idx="116">
                <c:v>5.2059620237760003</c:v>
              </c:pt>
              <c:pt idx="117">
                <c:v>5.3590085287200004</c:v>
              </c:pt>
              <c:pt idx="118">
                <c:v>5.3689486011839991</c:v>
              </c:pt>
              <c:pt idx="119">
                <c:v>5.4015167228400003</c:v>
              </c:pt>
              <c:pt idx="120">
                <c:v>5.4461676870719984</c:v>
              </c:pt>
              <c:pt idx="121">
                <c:v>5.4785189807999997</c:v>
              </c:pt>
              <c:pt idx="122">
                <c:v>5.5558457720640009</c:v>
              </c:pt>
              <c:pt idx="123">
                <c:v>5.5558457720640009</c:v>
              </c:pt>
              <c:pt idx="124">
                <c:v>5.5573139663999997</c:v>
              </c:pt>
              <c:pt idx="125">
                <c:v>5.7762865540800004</c:v>
              </c:pt>
              <c:pt idx="126">
                <c:v>5.83517966472</c:v>
              </c:pt>
              <c:pt idx="127">
                <c:v>5.9654984457600007</c:v>
              </c:pt>
              <c:pt idx="128">
                <c:v>6.0651008817840006</c:v>
              </c:pt>
              <c:pt idx="129">
                <c:v>6.0651008817840006</c:v>
              </c:pt>
              <c:pt idx="130">
                <c:v>6.0678091051200003</c:v>
              </c:pt>
              <c:pt idx="131">
                <c:v>6.1731619689600006</c:v>
              </c:pt>
              <c:pt idx="132">
                <c:v>6.1767049089600006</c:v>
              </c:pt>
              <c:pt idx="133">
                <c:v>6.1855820994239989</c:v>
              </c:pt>
              <c:pt idx="134">
                <c:v>6.2521766168399999</c:v>
              </c:pt>
              <c:pt idx="135">
                <c:v>6.3118184687999994</c:v>
              </c:pt>
              <c:pt idx="136">
                <c:v>6.3711995603759997</c:v>
              </c:pt>
              <c:pt idx="137">
                <c:v>6.4308102344640012</c:v>
              </c:pt>
              <c:pt idx="138">
                <c:v>6.4308102344640012</c:v>
              </c:pt>
              <c:pt idx="139">
                <c:v>6.5012240412000004</c:v>
              </c:pt>
              <c:pt idx="140">
                <c:v>6.6869732995200009</c:v>
              </c:pt>
              <c:pt idx="141">
                <c:v>6.7257453453120011</c:v>
              </c:pt>
              <c:pt idx="142">
                <c:v>6.7257453453120011</c:v>
              </c:pt>
              <c:pt idx="143">
                <c:v>6.7484692900800001</c:v>
              </c:pt>
              <c:pt idx="144">
                <c:v>6.8728689993600005</c:v>
              </c:pt>
              <c:pt idx="145">
                <c:v>7.0022155976639988</c:v>
              </c:pt>
              <c:pt idx="146">
                <c:v>7.0858927545840009</c:v>
              </c:pt>
              <c:pt idx="147">
                <c:v>7.0858927545840009</c:v>
              </c:pt>
              <c:pt idx="148">
                <c:v>7.1451179567999983</c:v>
              </c:pt>
              <c:pt idx="149">
                <c:v>7.1453447049600003</c:v>
              </c:pt>
              <c:pt idx="150">
                <c:v>7.2020222971200001</c:v>
              </c:pt>
              <c:pt idx="151">
                <c:v>7.2061557271200005</c:v>
              </c:pt>
              <c:pt idx="152">
                <c:v>7.4266541409600011</c:v>
              </c:pt>
              <c:pt idx="153">
                <c:v>7.5621234119759997</c:v>
              </c:pt>
              <c:pt idx="154">
                <c:v>7.6699265731199997</c:v>
              </c:pt>
              <c:pt idx="155">
                <c:v>7.7164524611999994</c:v>
              </c:pt>
              <c:pt idx="156">
                <c:v>7.7802395529599995</c:v>
              </c:pt>
              <c:pt idx="157">
                <c:v>7.80146884944</c:v>
              </c:pt>
              <c:pt idx="158">
                <c:v>7.9369225315200014</c:v>
              </c:pt>
              <c:pt idx="159">
                <c:v>8.0868011757120009</c:v>
              </c:pt>
              <c:pt idx="160">
                <c:v>8.0868011757120009</c:v>
              </c:pt>
              <c:pt idx="161">
                <c:v>8.3362354891199999</c:v>
              </c:pt>
              <c:pt idx="162">
                <c:v>8.4071816816400009</c:v>
              </c:pt>
              <c:pt idx="163">
                <c:v>8.4949327471680007</c:v>
              </c:pt>
              <c:pt idx="164">
                <c:v>8.6473868725440006</c:v>
              </c:pt>
              <c:pt idx="165">
                <c:v>8.6473868725440006</c:v>
              </c:pt>
              <c:pt idx="166">
                <c:v>8.6644298311200014</c:v>
              </c:pt>
              <c:pt idx="167">
                <c:v>8.6682987216000011</c:v>
              </c:pt>
              <c:pt idx="168">
                <c:v>8.6766033729600007</c:v>
              </c:pt>
              <c:pt idx="169">
                <c:v>8.7530472635760006</c:v>
              </c:pt>
              <c:pt idx="170">
                <c:v>8.836545856319999</c:v>
              </c:pt>
              <c:pt idx="171">
                <c:v>8.9316808812000001</c:v>
              </c:pt>
              <c:pt idx="172">
                <c:v>9.1017136576800013</c:v>
              </c:pt>
              <c:pt idx="173">
                <c:v>9.186871763520001</c:v>
              </c:pt>
              <c:pt idx="174">
                <c:v>9.25974295344</c:v>
              </c:pt>
              <c:pt idx="175">
                <c:v>9.4478570061120006</c:v>
              </c:pt>
              <c:pt idx="176">
                <c:v>9.4478570061120006</c:v>
              </c:pt>
              <c:pt idx="177">
                <c:v>9.6082076361600013</c:v>
              </c:pt>
              <c:pt idx="178">
                <c:v>10.00316513952</c:v>
              </c:pt>
              <c:pt idx="179">
                <c:v>10.082831215968</c:v>
              </c:pt>
              <c:pt idx="180">
                <c:v>10.10850146964</c:v>
              </c:pt>
              <c:pt idx="181">
                <c:v>10.122703935120001</c:v>
              </c:pt>
              <c:pt idx="182">
                <c:v>10.2886032816</c:v>
              </c:pt>
              <c:pt idx="183">
                <c:v>10.397315797344001</c:v>
              </c:pt>
              <c:pt idx="184">
                <c:v>10.397315797344001</c:v>
              </c:pt>
              <c:pt idx="185">
                <c:v>10.718017057440001</c:v>
              </c:pt>
              <c:pt idx="186">
                <c:v>10.803033445680001</c:v>
              </c:pt>
              <c:pt idx="187">
                <c:v>10.922056389215999</c:v>
              </c:pt>
              <c:pt idx="188">
                <c:v>11.144955499200002</c:v>
              </c:pt>
              <c:pt idx="189">
                <c:v>11.209575575520001</c:v>
              </c:pt>
              <c:pt idx="190">
                <c:v>11.552573108160001</c:v>
              </c:pt>
              <c:pt idx="191">
                <c:v>11.670729684768</c:v>
              </c:pt>
              <c:pt idx="192">
                <c:v>11.770054354296001</c:v>
              </c:pt>
              <c:pt idx="193">
                <c:v>11.809821257640001</c:v>
              </c:pt>
              <c:pt idx="194">
                <c:v>11.9089078416</c:v>
              </c:pt>
              <c:pt idx="195">
                <c:v>12.010259545200002</c:v>
              </c:pt>
              <c:pt idx="196">
                <c:v>12.135618210240001</c:v>
              </c:pt>
              <c:pt idx="197">
                <c:v>12.147244722144002</c:v>
              </c:pt>
              <c:pt idx="198">
                <c:v>12.147244722144002</c:v>
              </c:pt>
              <c:pt idx="199">
                <c:v>12.353409817920001</c:v>
              </c:pt>
              <c:pt idx="200">
                <c:v>12.504353233680002</c:v>
              </c:pt>
              <c:pt idx="201">
                <c:v>12.963640134816</c:v>
              </c:pt>
              <c:pt idx="202">
                <c:v>13.228204219200002</c:v>
              </c:pt>
              <c:pt idx="203">
                <c:v>13.47800195952</c:v>
              </c:pt>
              <c:pt idx="204">
                <c:v>13.49693858016</c:v>
              </c:pt>
              <c:pt idx="205">
                <c:v>14.151902057496001</c:v>
              </c:pt>
              <c:pt idx="206">
                <c:v>14.40404459424</c:v>
              </c:pt>
              <c:pt idx="207">
                <c:v>14.412311454240001</c:v>
              </c:pt>
              <c:pt idx="208">
                <c:v>14.4407163852</c:v>
              </c:pt>
              <c:pt idx="209">
                <c:v>14.853308281920002</c:v>
              </c:pt>
              <c:pt idx="210">
                <c:v>15.005223880416001</c:v>
              </c:pt>
              <c:pt idx="211">
                <c:v>15.311452939200002</c:v>
              </c:pt>
              <c:pt idx="212">
                <c:v>15.602937698880002</c:v>
              </c:pt>
              <c:pt idx="213">
                <c:v>15.693405805728</c:v>
              </c:pt>
              <c:pt idx="214">
                <c:v>15.74642834352</c:v>
              </c:pt>
              <c:pt idx="215">
                <c:v>16.0136793936</c:v>
              </c:pt>
              <c:pt idx="216">
                <c:v>16.533749760696001</c:v>
              </c:pt>
              <c:pt idx="217">
                <c:v>16.67247097824</c:v>
              </c:pt>
              <c:pt idx="218">
                <c:v>16.814363363280002</c:v>
              </c:pt>
              <c:pt idx="219">
                <c:v>16.8711732252</c:v>
              </c:pt>
              <c:pt idx="220">
                <c:v>17.328859662240003</c:v>
              </c:pt>
              <c:pt idx="221">
                <c:v>17.353206745920001</c:v>
              </c:pt>
              <c:pt idx="222">
                <c:v>18.519485906880004</c:v>
              </c:pt>
              <c:pt idx="223">
                <c:v>18.869202743328</c:v>
              </c:pt>
              <c:pt idx="224">
                <c:v>19.254288513600002</c:v>
              </c:pt>
              <c:pt idx="225">
                <c:v>20.177236035936001</c:v>
              </c:pt>
              <c:pt idx="226">
                <c:v>20.21700293928</c:v>
              </c:pt>
              <c:pt idx="227">
                <c:v>20.245407870240001</c:v>
              </c:pt>
              <c:pt idx="228">
                <c:v>20.589016363200003</c:v>
              </c:pt>
              <c:pt idx="229">
                <c:v>21.436034114880002</c:v>
              </c:pt>
              <c:pt idx="230">
                <c:v>22.044999680928001</c:v>
              </c:pt>
              <c:pt idx="231">
                <c:v>22.419151151040001</c:v>
              </c:pt>
              <c:pt idx="232">
                <c:v>22.494897633600001</c:v>
              </c:pt>
              <c:pt idx="233">
                <c:v>23.619642515280002</c:v>
              </c:pt>
              <c:pt idx="234">
                <c:v>24.260403527136003</c:v>
              </c:pt>
              <c:pt idx="235">
                <c:v>24.755513803200003</c:v>
              </c:pt>
              <c:pt idx="236">
                <c:v>26.95600391904</c:v>
              </c:pt>
              <c:pt idx="237">
                <c:v>28.343571018336004</c:v>
              </c:pt>
              <c:pt idx="238">
                <c:v>28.824622908480002</c:v>
              </c:pt>
              <c:pt idx="239">
                <c:v>28.922011243200004</c:v>
              </c:pt>
              <c:pt idx="240">
                <c:v>31.49285668704</c:v>
              </c:pt>
              <c:pt idx="241">
                <c:v>34.657719324480006</c:v>
              </c:pt>
              <c:pt idx="242">
                <c:v>40.490815740480002</c:v>
              </c:pt>
            </c:numLit>
          </c:xVal>
          <c:yVal>
            <c:numLit>
              <c:formatCode>General</c:formatCode>
              <c:ptCount val="243"/>
              <c:pt idx="0">
                <c:v>9.765625E-4</c:v>
              </c:pt>
              <c:pt idx="1">
                <c:v>2.9296875E-3</c:v>
              </c:pt>
              <c:pt idx="2">
                <c:v>3.90625E-3</c:v>
              </c:pt>
              <c:pt idx="3">
                <c:v>5.859375E-3</c:v>
              </c:pt>
              <c:pt idx="4">
                <c:v>9.765625E-3</c:v>
              </c:pt>
              <c:pt idx="5">
                <c:v>1.171875E-2</c:v>
              </c:pt>
              <c:pt idx="6">
                <c:v>1.26953125E-2</c:v>
              </c:pt>
              <c:pt idx="7">
                <c:v>1.46484375E-2</c:v>
              </c:pt>
              <c:pt idx="8">
                <c:v>1.85546875E-2</c:v>
              </c:pt>
              <c:pt idx="9">
                <c:v>2.05078125E-2</c:v>
              </c:pt>
              <c:pt idx="10">
                <c:v>2.24609375E-2</c:v>
              </c:pt>
              <c:pt idx="11">
                <c:v>2.44140625E-2</c:v>
              </c:pt>
              <c:pt idx="12">
                <c:v>2.83203125E-2</c:v>
              </c:pt>
              <c:pt idx="13">
                <c:v>2.9296875E-2</c:v>
              </c:pt>
              <c:pt idx="14">
                <c:v>3.125E-2</c:v>
              </c:pt>
              <c:pt idx="15">
                <c:v>3.22265625E-2</c:v>
              </c:pt>
              <c:pt idx="16">
                <c:v>3.61328125E-2</c:v>
              </c:pt>
              <c:pt idx="17">
                <c:v>4.39453125E-2</c:v>
              </c:pt>
              <c:pt idx="18">
                <c:v>4.78515625E-2</c:v>
              </c:pt>
              <c:pt idx="19">
                <c:v>4.98046875E-2</c:v>
              </c:pt>
              <c:pt idx="20">
                <c:v>5.37109375E-2</c:v>
              </c:pt>
              <c:pt idx="21">
                <c:v>5.56640625E-2</c:v>
              </c:pt>
              <c:pt idx="22">
                <c:v>5.76171875E-2</c:v>
              </c:pt>
              <c:pt idx="23">
                <c:v>6.15234375E-2</c:v>
              </c:pt>
              <c:pt idx="24">
                <c:v>6.34765625E-2</c:v>
              </c:pt>
              <c:pt idx="25">
                <c:v>6.4453125E-2</c:v>
              </c:pt>
              <c:pt idx="26">
                <c:v>6.640625E-2</c:v>
              </c:pt>
              <c:pt idx="27">
                <c:v>7.03125E-2</c:v>
              </c:pt>
              <c:pt idx="28">
                <c:v>7.8125E-2</c:v>
              </c:pt>
              <c:pt idx="29">
                <c:v>8.203125E-2</c:v>
              </c:pt>
              <c:pt idx="30">
                <c:v>8.30078125E-2</c:v>
              </c:pt>
              <c:pt idx="31">
                <c:v>8.69140625E-2</c:v>
              </c:pt>
              <c:pt idx="32">
                <c:v>8.88671875E-2</c:v>
              </c:pt>
              <c:pt idx="33">
                <c:v>9.66796875E-2</c:v>
              </c:pt>
              <c:pt idx="34">
                <c:v>0.1005859375</c:v>
              </c:pt>
              <c:pt idx="35">
                <c:v>0.1025390625</c:v>
              </c:pt>
              <c:pt idx="36">
                <c:v>0.1064453125</c:v>
              </c:pt>
              <c:pt idx="37">
                <c:v>0.107421875</c:v>
              </c:pt>
              <c:pt idx="38">
                <c:v>0.109375</c:v>
              </c:pt>
              <c:pt idx="39">
                <c:v>0.11328125</c:v>
              </c:pt>
              <c:pt idx="40">
                <c:v>0.115234375</c:v>
              </c:pt>
              <c:pt idx="41">
                <c:v>0.1162109375</c:v>
              </c:pt>
              <c:pt idx="42">
                <c:v>0.1240234375</c:v>
              </c:pt>
              <c:pt idx="43">
                <c:v>0.1279296875</c:v>
              </c:pt>
              <c:pt idx="44">
                <c:v>0.1298828125</c:v>
              </c:pt>
              <c:pt idx="45">
                <c:v>0.1337890625</c:v>
              </c:pt>
              <c:pt idx="46">
                <c:v>0.134765625</c:v>
              </c:pt>
              <c:pt idx="47">
                <c:v>0.13671875</c:v>
              </c:pt>
              <c:pt idx="48">
                <c:v>0.14453125</c:v>
              </c:pt>
              <c:pt idx="49">
                <c:v>0.146484375</c:v>
              </c:pt>
              <c:pt idx="50">
                <c:v>0.154296875</c:v>
              </c:pt>
              <c:pt idx="51">
                <c:v>0.15625</c:v>
              </c:pt>
              <c:pt idx="52">
                <c:v>0.16015625</c:v>
              </c:pt>
              <c:pt idx="53">
                <c:v>0.1640625</c:v>
              </c:pt>
              <c:pt idx="54">
                <c:v>0.16796875</c:v>
              </c:pt>
              <c:pt idx="55">
                <c:v>0.169921875</c:v>
              </c:pt>
              <c:pt idx="56">
                <c:v>0.171875</c:v>
              </c:pt>
              <c:pt idx="57">
                <c:v>0.173828125</c:v>
              </c:pt>
              <c:pt idx="58">
                <c:v>0.177734375</c:v>
              </c:pt>
              <c:pt idx="59">
                <c:v>0.181640625</c:v>
              </c:pt>
              <c:pt idx="60">
                <c:v>0.189453125</c:v>
              </c:pt>
              <c:pt idx="61">
                <c:v>0.1904296875</c:v>
              </c:pt>
              <c:pt idx="62">
                <c:v>0.1923828125</c:v>
              </c:pt>
              <c:pt idx="63">
                <c:v>0.193359375</c:v>
              </c:pt>
              <c:pt idx="64">
                <c:v>0.208984375</c:v>
              </c:pt>
              <c:pt idx="65">
                <c:v>0.2109375</c:v>
              </c:pt>
              <c:pt idx="66">
                <c:v>0.212890625</c:v>
              </c:pt>
              <c:pt idx="67">
                <c:v>0.220703125</c:v>
              </c:pt>
              <c:pt idx="68">
                <c:v>0.224609375</c:v>
              </c:pt>
              <c:pt idx="69">
                <c:v>0.2255859375</c:v>
              </c:pt>
              <c:pt idx="70">
                <c:v>0.2275390625</c:v>
              </c:pt>
              <c:pt idx="71">
                <c:v>0.2314453125</c:v>
              </c:pt>
              <c:pt idx="72">
                <c:v>0.2470703125</c:v>
              </c:pt>
              <c:pt idx="73">
                <c:v>0.2509765625</c:v>
              </c:pt>
              <c:pt idx="74">
                <c:v>0.2587890625</c:v>
              </c:pt>
              <c:pt idx="75">
                <c:v>0.2607421875</c:v>
              </c:pt>
              <c:pt idx="76">
                <c:v>0.2646484375</c:v>
              </c:pt>
              <c:pt idx="77">
                <c:v>0.2724609375</c:v>
              </c:pt>
              <c:pt idx="78">
                <c:v>0.2763671875</c:v>
              </c:pt>
              <c:pt idx="79">
                <c:v>0.2802734375</c:v>
              </c:pt>
              <c:pt idx="80">
                <c:v>0.28125</c:v>
              </c:pt>
              <c:pt idx="81">
                <c:v>0.28515625</c:v>
              </c:pt>
              <c:pt idx="82">
                <c:v>0.287109375</c:v>
              </c:pt>
              <c:pt idx="83">
                <c:v>0.2890625</c:v>
              </c:pt>
              <c:pt idx="84">
                <c:v>0.29296875</c:v>
              </c:pt>
              <c:pt idx="85">
                <c:v>0.30078125</c:v>
              </c:pt>
              <c:pt idx="86">
                <c:v>0.302734375</c:v>
              </c:pt>
              <c:pt idx="87">
                <c:v>0.310546875</c:v>
              </c:pt>
              <c:pt idx="88">
                <c:v>0.3125</c:v>
              </c:pt>
              <c:pt idx="89">
                <c:v>0.314453125</c:v>
              </c:pt>
              <c:pt idx="90">
                <c:v>0.31640625</c:v>
              </c:pt>
              <c:pt idx="91">
                <c:v>0.3203125</c:v>
              </c:pt>
              <c:pt idx="92">
                <c:v>0.32421875</c:v>
              </c:pt>
              <c:pt idx="93">
                <c:v>0.3251953125</c:v>
              </c:pt>
              <c:pt idx="94">
                <c:v>0.3330078125</c:v>
              </c:pt>
              <c:pt idx="95">
                <c:v>0.3486328125</c:v>
              </c:pt>
              <c:pt idx="96">
                <c:v>0.3525390625</c:v>
              </c:pt>
              <c:pt idx="97">
                <c:v>0.3603515625</c:v>
              </c:pt>
              <c:pt idx="98">
                <c:v>0.3623046875</c:v>
              </c:pt>
              <c:pt idx="99">
                <c:v>0.36328125</c:v>
              </c:pt>
              <c:pt idx="100">
                <c:v>0.37109375</c:v>
              </c:pt>
              <c:pt idx="101">
                <c:v>0.375</c:v>
              </c:pt>
              <c:pt idx="102">
                <c:v>0.37890625</c:v>
              </c:pt>
              <c:pt idx="103">
                <c:v>0.380859375</c:v>
              </c:pt>
              <c:pt idx="104">
                <c:v>0.384765625</c:v>
              </c:pt>
              <c:pt idx="105">
                <c:v>0.388671875</c:v>
              </c:pt>
              <c:pt idx="106">
                <c:v>0.396484375</c:v>
              </c:pt>
              <c:pt idx="107">
                <c:v>0.404296875</c:v>
              </c:pt>
              <c:pt idx="108">
                <c:v>0.408203125</c:v>
              </c:pt>
              <c:pt idx="109">
                <c:v>0.412109375</c:v>
              </c:pt>
              <c:pt idx="110">
                <c:v>0.419921875</c:v>
              </c:pt>
              <c:pt idx="111">
                <c:v>0.4208984375</c:v>
              </c:pt>
              <c:pt idx="112">
                <c:v>0.4228515625</c:v>
              </c:pt>
              <c:pt idx="113">
                <c:v>0.4248046875</c:v>
              </c:pt>
              <c:pt idx="114">
                <c:v>0.4267578125</c:v>
              </c:pt>
              <c:pt idx="115">
                <c:v>0.4306640625</c:v>
              </c:pt>
              <c:pt idx="116">
                <c:v>0.431640625</c:v>
              </c:pt>
              <c:pt idx="117">
                <c:v>0.43359375</c:v>
              </c:pt>
              <c:pt idx="118">
                <c:v>0.435546875</c:v>
              </c:pt>
              <c:pt idx="119">
                <c:v>0.451171875</c:v>
              </c:pt>
              <c:pt idx="120">
                <c:v>0.455078125</c:v>
              </c:pt>
              <c:pt idx="121">
                <c:v>0.45703125</c:v>
              </c:pt>
              <c:pt idx="122">
                <c:v>0.46484375</c:v>
              </c:pt>
              <c:pt idx="123">
                <c:v>0.46875</c:v>
              </c:pt>
              <c:pt idx="124">
                <c:v>0.47265625</c:v>
              </c:pt>
              <c:pt idx="125">
                <c:v>0.48046875</c:v>
              </c:pt>
              <c:pt idx="126">
                <c:v>0.4814453125</c:v>
              </c:pt>
              <c:pt idx="127">
                <c:v>0.4833984375</c:v>
              </c:pt>
              <c:pt idx="128">
                <c:v>0.4853515625</c:v>
              </c:pt>
              <c:pt idx="129">
                <c:v>0.4892578125</c:v>
              </c:pt>
              <c:pt idx="130">
                <c:v>0.5048828125</c:v>
              </c:pt>
              <c:pt idx="131">
                <c:v>0.5126953125</c:v>
              </c:pt>
              <c:pt idx="132">
                <c:v>0.5146484375</c:v>
              </c:pt>
              <c:pt idx="133">
                <c:v>0.5185546875</c:v>
              </c:pt>
              <c:pt idx="134">
                <c:v>0.5263671875</c:v>
              </c:pt>
              <c:pt idx="135">
                <c:v>0.5302734375</c:v>
              </c:pt>
              <c:pt idx="136">
                <c:v>0.5341796875</c:v>
              </c:pt>
              <c:pt idx="137">
                <c:v>0.5361328125</c:v>
              </c:pt>
              <c:pt idx="138">
                <c:v>0.5400390625</c:v>
              </c:pt>
              <c:pt idx="139">
                <c:v>0.5439453125</c:v>
              </c:pt>
              <c:pt idx="140">
                <c:v>0.5458984375</c:v>
              </c:pt>
              <c:pt idx="141">
                <c:v>0.5498046875</c:v>
              </c:pt>
              <c:pt idx="142">
                <c:v>0.5517578125</c:v>
              </c:pt>
              <c:pt idx="143">
                <c:v>0.5556640625</c:v>
              </c:pt>
              <c:pt idx="144">
                <c:v>0.5595703125</c:v>
              </c:pt>
              <c:pt idx="145">
                <c:v>0.5615234375</c:v>
              </c:pt>
              <c:pt idx="146">
                <c:v>0.5625</c:v>
              </c:pt>
              <c:pt idx="147">
                <c:v>0.564453125</c:v>
              </c:pt>
              <c:pt idx="148">
                <c:v>0.56640625</c:v>
              </c:pt>
              <c:pt idx="149">
                <c:v>0.5703125</c:v>
              </c:pt>
              <c:pt idx="150">
                <c:v>0.6015625</c:v>
              </c:pt>
              <c:pt idx="151">
                <c:v>0.6025390625</c:v>
              </c:pt>
              <c:pt idx="152">
                <c:v>0.6064453125</c:v>
              </c:pt>
              <c:pt idx="153">
                <c:v>0.6142578125</c:v>
              </c:pt>
              <c:pt idx="154">
                <c:v>0.615234375</c:v>
              </c:pt>
              <c:pt idx="155">
                <c:v>0.623046875</c:v>
              </c:pt>
              <c:pt idx="156">
                <c:v>0.625</c:v>
              </c:pt>
              <c:pt idx="157">
                <c:v>0.6328125</c:v>
              </c:pt>
              <c:pt idx="158">
                <c:v>0.63671875</c:v>
              </c:pt>
              <c:pt idx="159">
                <c:v>0.64453125</c:v>
              </c:pt>
              <c:pt idx="160">
                <c:v>0.6484375</c:v>
              </c:pt>
              <c:pt idx="161">
                <c:v>0.6640625</c:v>
              </c:pt>
              <c:pt idx="162">
                <c:v>0.66796875</c:v>
              </c:pt>
              <c:pt idx="163">
                <c:v>0.67578125</c:v>
              </c:pt>
              <c:pt idx="164">
                <c:v>0.6767578125</c:v>
              </c:pt>
              <c:pt idx="165">
                <c:v>0.6787109375</c:v>
              </c:pt>
              <c:pt idx="166">
                <c:v>0.6806640625</c:v>
              </c:pt>
              <c:pt idx="167">
                <c:v>0.6884765625</c:v>
              </c:pt>
              <c:pt idx="168">
                <c:v>0.6904296875</c:v>
              </c:pt>
              <c:pt idx="169">
                <c:v>0.6943359375</c:v>
              </c:pt>
              <c:pt idx="170">
                <c:v>0.6962890625</c:v>
              </c:pt>
              <c:pt idx="171">
                <c:v>0.7001953125</c:v>
              </c:pt>
              <c:pt idx="172">
                <c:v>0.7021484375</c:v>
              </c:pt>
              <c:pt idx="173">
                <c:v>0.7041015625</c:v>
              </c:pt>
              <c:pt idx="174">
                <c:v>0.7197265625</c:v>
              </c:pt>
              <c:pt idx="175">
                <c:v>0.7236328125</c:v>
              </c:pt>
              <c:pt idx="176">
                <c:v>0.7255859375</c:v>
              </c:pt>
              <c:pt idx="177">
                <c:v>0.7275390625</c:v>
              </c:pt>
              <c:pt idx="178">
                <c:v>0.728515625</c:v>
              </c:pt>
              <c:pt idx="179">
                <c:v>0.744140625</c:v>
              </c:pt>
              <c:pt idx="180">
                <c:v>0.751953125</c:v>
              </c:pt>
              <c:pt idx="181">
                <c:v>0.7529296875</c:v>
              </c:pt>
              <c:pt idx="182">
                <c:v>0.7685546875</c:v>
              </c:pt>
              <c:pt idx="183">
                <c:v>0.7724609375</c:v>
              </c:pt>
              <c:pt idx="184">
                <c:v>0.7744140625</c:v>
              </c:pt>
              <c:pt idx="185">
                <c:v>0.7822265625</c:v>
              </c:pt>
              <c:pt idx="186">
                <c:v>0.7861328125</c:v>
              </c:pt>
              <c:pt idx="187">
                <c:v>0.7900390625</c:v>
              </c:pt>
              <c:pt idx="188">
                <c:v>0.7939453125</c:v>
              </c:pt>
              <c:pt idx="189">
                <c:v>0.8017578125</c:v>
              </c:pt>
              <c:pt idx="190">
                <c:v>0.8056640625</c:v>
              </c:pt>
              <c:pt idx="191">
                <c:v>0.8134765625</c:v>
              </c:pt>
              <c:pt idx="192">
                <c:v>0.8154296875</c:v>
              </c:pt>
              <c:pt idx="193">
                <c:v>0.8193359375</c:v>
              </c:pt>
              <c:pt idx="194">
                <c:v>0.8271484375</c:v>
              </c:pt>
              <c:pt idx="195">
                <c:v>0.8291015625</c:v>
              </c:pt>
              <c:pt idx="196">
                <c:v>0.8330078125</c:v>
              </c:pt>
              <c:pt idx="197">
                <c:v>0.833984375</c:v>
              </c:pt>
              <c:pt idx="198">
                <c:v>0.8359375</c:v>
              </c:pt>
              <c:pt idx="199">
                <c:v>0.8369140625</c:v>
              </c:pt>
              <c:pt idx="200">
                <c:v>0.8388671875</c:v>
              </c:pt>
              <c:pt idx="201">
                <c:v>0.8466796875</c:v>
              </c:pt>
              <c:pt idx="202">
                <c:v>0.8544921875</c:v>
              </c:pt>
              <c:pt idx="203">
                <c:v>0.8701171875</c:v>
              </c:pt>
              <c:pt idx="204">
                <c:v>0.8720703125</c:v>
              </c:pt>
              <c:pt idx="205">
                <c:v>0.8759765625</c:v>
              </c:pt>
              <c:pt idx="206">
                <c:v>0.8837890625</c:v>
              </c:pt>
              <c:pt idx="207">
                <c:v>0.8876953125</c:v>
              </c:pt>
              <c:pt idx="208">
                <c:v>0.8916015625</c:v>
              </c:pt>
              <c:pt idx="209">
                <c:v>0.8935546875</c:v>
              </c:pt>
              <c:pt idx="210">
                <c:v>0.8974609375</c:v>
              </c:pt>
              <c:pt idx="211">
                <c:v>0.9013671875</c:v>
              </c:pt>
              <c:pt idx="212">
                <c:v>0.9033203125</c:v>
              </c:pt>
              <c:pt idx="213">
                <c:v>0.9072265625</c:v>
              </c:pt>
              <c:pt idx="214">
                <c:v>0.9150390625</c:v>
              </c:pt>
              <c:pt idx="215">
                <c:v>0.9189453125</c:v>
              </c:pt>
              <c:pt idx="216">
                <c:v>0.9208984375</c:v>
              </c:pt>
              <c:pt idx="217">
                <c:v>0.9248046875</c:v>
              </c:pt>
              <c:pt idx="218">
                <c:v>0.92578125</c:v>
              </c:pt>
              <c:pt idx="219">
                <c:v>0.927734375</c:v>
              </c:pt>
              <c:pt idx="220">
                <c:v>0.935546875</c:v>
              </c:pt>
              <c:pt idx="221">
                <c:v>0.9365234375</c:v>
              </c:pt>
              <c:pt idx="222">
                <c:v>0.9404296875</c:v>
              </c:pt>
              <c:pt idx="223">
                <c:v>0.9482421875</c:v>
              </c:pt>
              <c:pt idx="224">
                <c:v>0.9560546875</c:v>
              </c:pt>
              <c:pt idx="225">
                <c:v>0.9580078125</c:v>
              </c:pt>
              <c:pt idx="226">
                <c:v>0.9599609375</c:v>
              </c:pt>
              <c:pt idx="227">
                <c:v>0.9638671875</c:v>
              </c:pt>
              <c:pt idx="228">
                <c:v>0.9658203125</c:v>
              </c:pt>
              <c:pt idx="229">
                <c:v>0.9677734375</c:v>
              </c:pt>
              <c:pt idx="230">
                <c:v>0.9716796875</c:v>
              </c:pt>
              <c:pt idx="231">
                <c:v>0.9736328125</c:v>
              </c:pt>
              <c:pt idx="232">
                <c:v>0.9775390625</c:v>
              </c:pt>
              <c:pt idx="233">
                <c:v>0.978515625</c:v>
              </c:pt>
              <c:pt idx="234">
                <c:v>0.982421875</c:v>
              </c:pt>
              <c:pt idx="235">
                <c:v>0.986328125</c:v>
              </c:pt>
              <c:pt idx="236">
                <c:v>0.990234375</c:v>
              </c:pt>
              <c:pt idx="237">
                <c:v>0.9921875</c:v>
              </c:pt>
              <c:pt idx="238">
                <c:v>0.9931640625</c:v>
              </c:pt>
              <c:pt idx="239">
                <c:v>0.9951171875</c:v>
              </c:pt>
              <c:pt idx="240">
                <c:v>0.9970703125</c:v>
              </c:pt>
              <c:pt idx="241">
                <c:v>0.9990234375</c:v>
              </c:pt>
              <c:pt idx="242">
                <c:v>1</c:v>
              </c:pt>
            </c:numLit>
          </c:yVal>
          <c:smooth val="1"/>
          <c:extLst>
            <c:ext xmlns:c15="http://schemas.microsoft.com/office/drawing/2012/chart" uri="{02D57815-91ED-43cb-92C2-25804820EDAC}">
              <c15:filteredSeriesTitle>
                <c15:tx>
                  <c:strRef>
                    <c:extLst>
                      <c:ext uri="{02D57815-91ED-43cb-92C2-25804820EDAC}">
                        <c15:formulaRef>
                          <c15:sqref>Tornado!#REF!</c15:sqref>
                        </c15:formulaRef>
                      </c:ext>
                    </c:extLst>
                    <c:strCache>
                      <c:ptCount val="1"/>
                      <c:pt idx="0">
                        <c:v>#REF!</c:v>
                      </c:pt>
                    </c:strCache>
                  </c:strRef>
                </c15:tx>
              </c15:filteredSeriesTitle>
            </c:ext>
            <c:ext xmlns:c16="http://schemas.microsoft.com/office/drawing/2014/chart" uri="{C3380CC4-5D6E-409C-BE32-E72D297353CC}">
              <c16:uniqueId val="{00000000-1B2A-144B-8BE5-4381AF553819}"/>
            </c:ext>
          </c:extLst>
        </c:ser>
        <c:dLbls>
          <c:showLegendKey val="0"/>
          <c:showVal val="0"/>
          <c:showCatName val="0"/>
          <c:showSerName val="0"/>
          <c:showPercent val="0"/>
          <c:showBubbleSize val="0"/>
        </c:dLbls>
        <c:axId val="978352256"/>
        <c:axId val="978352640"/>
      </c:scatterChart>
      <c:valAx>
        <c:axId val="97835225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dec</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978352640"/>
        <c:crosses val="autoZero"/>
        <c:crossBetween val="midCat"/>
      </c:valAx>
      <c:valAx>
        <c:axId val="97835264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97835225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PWMOIC Full Distribution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'Full Distribution'!$T$5</c:f>
              <c:strCache>
                <c:ptCount val="1"/>
                <c:pt idx="0">
                  <c:v>Value</c:v>
                </c:pt>
              </c:strCache>
            </c:strRef>
          </c:tx>
          <c:spPr>
            <a:ln w="19050" cap="rnd">
              <a:solidFill>
                <a:schemeClr val="accent1"/>
              </a:solidFill>
              <a:round/>
            </a:ln>
            <a:effectLst/>
          </c:spPr>
          <c:marker>
            <c:symbol val="none"/>
          </c:marker>
          <c:xVal>
            <c:numRef>
              <c:f>'Full Distribution'!$T$6:$T$250</c:f>
              <c:numCache>
                <c:formatCode>General</c:formatCode>
                <c:ptCount val="245"/>
                <c:pt idx="0">
                  <c:v>0</c:v>
                </c:pt>
                <c:pt idx="1">
                  <c:v>0</c:v>
                </c:pt>
                <c:pt idx="2">
                  <c:v>2.1745124999999996</c:v>
                </c:pt>
                <c:pt idx="3">
                  <c:v>2.5052624999999993</c:v>
                </c:pt>
                <c:pt idx="4">
                  <c:v>2.8360124999999994</c:v>
                </c:pt>
                <c:pt idx="5">
                  <c:v>2.8993499999999996</c:v>
                </c:pt>
                <c:pt idx="6">
                  <c:v>3.3403499999999995</c:v>
                </c:pt>
                <c:pt idx="7">
                  <c:v>3.6241874999999997</c:v>
                </c:pt>
                <c:pt idx="8">
                  <c:v>3.7277357142857133</c:v>
                </c:pt>
                <c:pt idx="9">
                  <c:v>3.7813499999999989</c:v>
                </c:pt>
                <c:pt idx="10">
                  <c:v>4.1754375000000001</c:v>
                </c:pt>
                <c:pt idx="11">
                  <c:v>4.2947357142857125</c:v>
                </c:pt>
                <c:pt idx="12">
                  <c:v>4.4236124999999999</c:v>
                </c:pt>
                <c:pt idx="13">
                  <c:v>4.7266874999999997</c:v>
                </c:pt>
                <c:pt idx="14">
                  <c:v>4.8322499999999984</c:v>
                </c:pt>
                <c:pt idx="15">
                  <c:v>4.8617357142857136</c:v>
                </c:pt>
                <c:pt idx="16">
                  <c:v>5.0738624999999997</c:v>
                </c:pt>
                <c:pt idx="17">
                  <c:v>5.0738624999999997</c:v>
                </c:pt>
                <c:pt idx="18">
                  <c:v>5.2504875000000002</c:v>
                </c:pt>
                <c:pt idx="19">
                  <c:v>5.5672499999999987</c:v>
                </c:pt>
                <c:pt idx="20">
                  <c:v>5.8456124999999988</c:v>
                </c:pt>
                <c:pt idx="21">
                  <c:v>5.8456124999999988</c:v>
                </c:pt>
                <c:pt idx="22">
                  <c:v>5.8981500000000011</c:v>
                </c:pt>
                <c:pt idx="23">
                  <c:v>6.0773625000000004</c:v>
                </c:pt>
                <c:pt idx="24">
                  <c:v>6.2128928571428563</c:v>
                </c:pt>
                <c:pt idx="25">
                  <c:v>6.3022499999999981</c:v>
                </c:pt>
                <c:pt idx="26">
                  <c:v>6.6173624999999978</c:v>
                </c:pt>
                <c:pt idx="27">
                  <c:v>6.6173624999999978</c:v>
                </c:pt>
                <c:pt idx="28">
                  <c:v>6.7651499999999984</c:v>
                </c:pt>
                <c:pt idx="29">
                  <c:v>6.7651499999999984</c:v>
                </c:pt>
                <c:pt idx="30">
                  <c:v>7.0006500000000003</c:v>
                </c:pt>
                <c:pt idx="31">
                  <c:v>7.1578928571428557</c:v>
                </c:pt>
                <c:pt idx="32">
                  <c:v>7.2483749999999993</c:v>
                </c:pt>
                <c:pt idx="33">
                  <c:v>7.3726874999999996</c:v>
                </c:pt>
                <c:pt idx="34">
                  <c:v>7.583335714285715</c:v>
                </c:pt>
                <c:pt idx="35">
                  <c:v>7.7941499999999984</c:v>
                </c:pt>
                <c:pt idx="36">
                  <c:v>7.7941499999999984</c:v>
                </c:pt>
                <c:pt idx="37">
                  <c:v>8.1028928571428569</c:v>
                </c:pt>
                <c:pt idx="38">
                  <c:v>8.1031499999999994</c:v>
                </c:pt>
                <c:pt idx="39">
                  <c:v>8.172112499999999</c:v>
                </c:pt>
                <c:pt idx="40">
                  <c:v>8.3508750000000003</c:v>
                </c:pt>
                <c:pt idx="41">
                  <c:v>8.4564374999999981</c:v>
                </c:pt>
                <c:pt idx="42">
                  <c:v>8.6980499999999985</c:v>
                </c:pt>
                <c:pt idx="43">
                  <c:v>8.6980499999999985</c:v>
                </c:pt>
                <c:pt idx="44">
                  <c:v>8.7508125000000003</c:v>
                </c:pt>
                <c:pt idx="45">
                  <c:v>8.8231499999999983</c:v>
                </c:pt>
                <c:pt idx="46">
                  <c:v>8.8231499999999983</c:v>
                </c:pt>
                <c:pt idx="47">
                  <c:v>9.0008357142857154</c:v>
                </c:pt>
                <c:pt idx="48">
                  <c:v>9.4533749999999994</c:v>
                </c:pt>
                <c:pt idx="49">
                  <c:v>9.6644999999999985</c:v>
                </c:pt>
                <c:pt idx="50">
                  <c:v>9.7426874999999971</c:v>
                </c:pt>
                <c:pt idx="51">
                  <c:v>9.8258624999999995</c:v>
                </c:pt>
                <c:pt idx="52">
                  <c:v>9.8302500000000013</c:v>
                </c:pt>
                <c:pt idx="53">
                  <c:v>10.021049999999997</c:v>
                </c:pt>
                <c:pt idx="54">
                  <c:v>10.021049999999997</c:v>
                </c:pt>
                <c:pt idx="55">
                  <c:v>10.128937499999999</c:v>
                </c:pt>
                <c:pt idx="56">
                  <c:v>10.321762499999998</c:v>
                </c:pt>
                <c:pt idx="57">
                  <c:v>10.3217625</c:v>
                </c:pt>
                <c:pt idx="58">
                  <c:v>10.418335714285714</c:v>
                </c:pt>
                <c:pt idx="59">
                  <c:v>10.89615</c:v>
                </c:pt>
                <c:pt idx="60">
                  <c:v>11.028937499999998</c:v>
                </c:pt>
                <c:pt idx="61">
                  <c:v>11.134499999999999</c:v>
                </c:pt>
                <c:pt idx="62">
                  <c:v>11.275249999999998</c:v>
                </c:pt>
                <c:pt idx="63">
                  <c:v>11.344049999999998</c:v>
                </c:pt>
                <c:pt idx="64">
                  <c:v>11.344049999999998</c:v>
                </c:pt>
                <c:pt idx="65">
                  <c:v>11.4796125</c:v>
                </c:pt>
                <c:pt idx="66">
                  <c:v>11.66775</c:v>
                </c:pt>
                <c:pt idx="67">
                  <c:v>11.839012499999997</c:v>
                </c:pt>
                <c:pt idx="68">
                  <c:v>12.080624999999998</c:v>
                </c:pt>
                <c:pt idx="69">
                  <c:v>12.251137499999999</c:v>
                </c:pt>
                <c:pt idx="70">
                  <c:v>12.2511375</c:v>
                </c:pt>
                <c:pt idx="71">
                  <c:v>12.425785714285714</c:v>
                </c:pt>
                <c:pt idx="72">
                  <c:v>12.604499999999998</c:v>
                </c:pt>
                <c:pt idx="73">
                  <c:v>12.638892857142856</c:v>
                </c:pt>
                <c:pt idx="74">
                  <c:v>12.990249999999998</c:v>
                </c:pt>
                <c:pt idx="75">
                  <c:v>13.101150000000001</c:v>
                </c:pt>
                <c:pt idx="76">
                  <c:v>13.505249999999998</c:v>
                </c:pt>
                <c:pt idx="77">
                  <c:v>13.6201875</c:v>
                </c:pt>
                <c:pt idx="78">
                  <c:v>13.639762499999996</c:v>
                </c:pt>
                <c:pt idx="79">
                  <c:v>13.76235</c:v>
                </c:pt>
                <c:pt idx="80">
                  <c:v>13.762350000000001</c:v>
                </c:pt>
                <c:pt idx="81">
                  <c:v>13.918125</c:v>
                </c:pt>
                <c:pt idx="82">
                  <c:v>14.009335714285715</c:v>
                </c:pt>
                <c:pt idx="83">
                  <c:v>14.180512499999999</c:v>
                </c:pt>
                <c:pt idx="84">
                  <c:v>14.180512500000001</c:v>
                </c:pt>
                <c:pt idx="85">
                  <c:v>14.315785714285711</c:v>
                </c:pt>
                <c:pt idx="86">
                  <c:v>14.496749999999997</c:v>
                </c:pt>
                <c:pt idx="87">
                  <c:v>14.705249999999996</c:v>
                </c:pt>
                <c:pt idx="88">
                  <c:v>14.745374999999999</c:v>
                </c:pt>
                <c:pt idx="89">
                  <c:v>15.001392857142857</c:v>
                </c:pt>
                <c:pt idx="90">
                  <c:v>15.306150000000001</c:v>
                </c:pt>
                <c:pt idx="91">
                  <c:v>15.440512499999997</c:v>
                </c:pt>
                <c:pt idx="92">
                  <c:v>15.755624999999998</c:v>
                </c:pt>
                <c:pt idx="93">
                  <c:v>15.785349999999996</c:v>
                </c:pt>
                <c:pt idx="94">
                  <c:v>16.107499999999998</c:v>
                </c:pt>
                <c:pt idx="95">
                  <c:v>16.205785714285714</c:v>
                </c:pt>
                <c:pt idx="96">
                  <c:v>16.334849999999999</c:v>
                </c:pt>
                <c:pt idx="97">
                  <c:v>16.334849999999999</c:v>
                </c:pt>
                <c:pt idx="98">
                  <c:v>16.376437500000002</c:v>
                </c:pt>
                <c:pt idx="99">
                  <c:v>16.701749999999993</c:v>
                </c:pt>
                <c:pt idx="100">
                  <c:v>16.844335714285716</c:v>
                </c:pt>
                <c:pt idx="101">
                  <c:v>16.912875</c:v>
                </c:pt>
                <c:pt idx="102">
                  <c:v>17.202937500000001</c:v>
                </c:pt>
                <c:pt idx="103">
                  <c:v>17.363892857142858</c:v>
                </c:pt>
                <c:pt idx="104">
                  <c:v>17.501625000000001</c:v>
                </c:pt>
                <c:pt idx="105">
                  <c:v>17.69445</c:v>
                </c:pt>
                <c:pt idx="106">
                  <c:v>17.69445</c:v>
                </c:pt>
                <c:pt idx="107">
                  <c:v>18.160250000000001</c:v>
                </c:pt>
                <c:pt idx="108">
                  <c:v>18.186349999999997</c:v>
                </c:pt>
                <c:pt idx="109">
                  <c:v>18.557499999999994</c:v>
                </c:pt>
                <c:pt idx="110">
                  <c:v>18.906749999999995</c:v>
                </c:pt>
                <c:pt idx="111">
                  <c:v>18.907350000000001</c:v>
                </c:pt>
                <c:pt idx="112">
                  <c:v>18.907350000000001</c:v>
                </c:pt>
                <c:pt idx="113">
                  <c:v>19.068262499999999</c:v>
                </c:pt>
                <c:pt idx="114">
                  <c:v>19.068262499999999</c:v>
                </c:pt>
                <c:pt idx="115">
                  <c:v>19.132687499999999</c:v>
                </c:pt>
                <c:pt idx="116">
                  <c:v>19.485374999999994</c:v>
                </c:pt>
                <c:pt idx="117">
                  <c:v>19.660500000000003</c:v>
                </c:pt>
                <c:pt idx="118">
                  <c:v>19.679335714285713</c:v>
                </c:pt>
                <c:pt idx="119">
                  <c:v>20.257874999999999</c:v>
                </c:pt>
                <c:pt idx="120">
                  <c:v>20.295449999999995</c:v>
                </c:pt>
                <c:pt idx="121">
                  <c:v>20.4185625</c:v>
                </c:pt>
                <c:pt idx="122">
                  <c:v>20.58734999999999</c:v>
                </c:pt>
                <c:pt idx="123">
                  <c:v>20.709642857142853</c:v>
                </c:pt>
                <c:pt idx="124">
                  <c:v>21.001950000000001</c:v>
                </c:pt>
                <c:pt idx="125">
                  <c:v>21.001950000000001</c:v>
                </c:pt>
                <c:pt idx="126">
                  <c:v>21.007499999999997</c:v>
                </c:pt>
                <c:pt idx="127">
                  <c:v>21.835249999999998</c:v>
                </c:pt>
                <c:pt idx="128">
                  <c:v>22.057874999999999</c:v>
                </c:pt>
                <c:pt idx="129">
                  <c:v>22.5505</c:v>
                </c:pt>
                <c:pt idx="130">
                  <c:v>22.9270125</c:v>
                </c:pt>
                <c:pt idx="131">
                  <c:v>22.9270125</c:v>
                </c:pt>
                <c:pt idx="132">
                  <c:v>22.937249999999999</c:v>
                </c:pt>
                <c:pt idx="133">
                  <c:v>23.3355</c:v>
                </c:pt>
                <c:pt idx="134">
                  <c:v>23.348892857142857</c:v>
                </c:pt>
                <c:pt idx="135">
                  <c:v>23.382449999999995</c:v>
                </c:pt>
                <c:pt idx="136">
                  <c:v>23.634187499999996</c:v>
                </c:pt>
                <c:pt idx="137">
                  <c:v>23.859642857142852</c:v>
                </c:pt>
                <c:pt idx="138">
                  <c:v>24.084112499999996</c:v>
                </c:pt>
                <c:pt idx="139">
                  <c:v>24.309450000000002</c:v>
                </c:pt>
                <c:pt idx="140">
                  <c:v>24.309450000000002</c:v>
                </c:pt>
                <c:pt idx="141">
                  <c:v>24.575624999999999</c:v>
                </c:pt>
                <c:pt idx="142">
                  <c:v>25.277785714285717</c:v>
                </c:pt>
                <c:pt idx="143">
                  <c:v>25.42435</c:v>
                </c:pt>
                <c:pt idx="144">
                  <c:v>25.42435</c:v>
                </c:pt>
                <c:pt idx="145">
                  <c:v>25.510249999999999</c:v>
                </c:pt>
                <c:pt idx="146">
                  <c:v>25.980499999999999</c:v>
                </c:pt>
                <c:pt idx="147">
                  <c:v>26.469449999999991</c:v>
                </c:pt>
                <c:pt idx="148">
                  <c:v>26.785762500000001</c:v>
                </c:pt>
                <c:pt idx="149">
                  <c:v>26.785762500000001</c:v>
                </c:pt>
                <c:pt idx="150">
                  <c:v>27.009642857142847</c:v>
                </c:pt>
                <c:pt idx="151">
                  <c:v>27.010499999999997</c:v>
                </c:pt>
                <c:pt idx="152">
                  <c:v>27.224749999999997</c:v>
                </c:pt>
                <c:pt idx="153">
                  <c:v>27.240375</c:v>
                </c:pt>
                <c:pt idx="154">
                  <c:v>28.073892857142859</c:v>
                </c:pt>
                <c:pt idx="155">
                  <c:v>28.585987499999995</c:v>
                </c:pt>
                <c:pt idx="156">
                  <c:v>28.993499999999997</c:v>
                </c:pt>
                <c:pt idx="157">
                  <c:v>29.169374999999995</c:v>
                </c:pt>
                <c:pt idx="158">
                  <c:v>29.410499999999995</c:v>
                </c:pt>
                <c:pt idx="159">
                  <c:v>29.490749999999998</c:v>
                </c:pt>
                <c:pt idx="160">
                  <c:v>30.002785714285718</c:v>
                </c:pt>
                <c:pt idx="161">
                  <c:v>30.56935</c:v>
                </c:pt>
                <c:pt idx="162">
                  <c:v>30.56935</c:v>
                </c:pt>
                <c:pt idx="163">
                  <c:v>31.512249999999995</c:v>
                </c:pt>
                <c:pt idx="164">
                  <c:v>31.780437500000001</c:v>
                </c:pt>
                <c:pt idx="165">
                  <c:v>32.11215</c:v>
                </c:pt>
                <c:pt idx="166">
                  <c:v>32.688449999999996</c:v>
                </c:pt>
                <c:pt idx="167">
                  <c:v>32.688449999999996</c:v>
                </c:pt>
                <c:pt idx="168">
                  <c:v>32.752875000000003</c:v>
                </c:pt>
                <c:pt idx="169">
                  <c:v>32.767499999999998</c:v>
                </c:pt>
                <c:pt idx="170">
                  <c:v>32.798892857142853</c:v>
                </c:pt>
                <c:pt idx="171">
                  <c:v>33.0878625</c:v>
                </c:pt>
                <c:pt idx="172">
                  <c:v>33.403499999999994</c:v>
                </c:pt>
                <c:pt idx="173">
                  <c:v>33.763124999999995</c:v>
                </c:pt>
                <c:pt idx="174">
                  <c:v>34.405875000000002</c:v>
                </c:pt>
                <c:pt idx="175">
                  <c:v>34.727785714285716</c:v>
                </c:pt>
                <c:pt idx="176">
                  <c:v>35.003249999999994</c:v>
                </c:pt>
                <c:pt idx="177">
                  <c:v>35.714349999999996</c:v>
                </c:pt>
                <c:pt idx="178">
                  <c:v>35.714349999999996</c:v>
                </c:pt>
                <c:pt idx="179">
                  <c:v>36.320500000000003</c:v>
                </c:pt>
                <c:pt idx="180">
                  <c:v>37.813499999999998</c:v>
                </c:pt>
                <c:pt idx="181">
                  <c:v>38.114649999999997</c:v>
                </c:pt>
                <c:pt idx="182">
                  <c:v>38.211687499999996</c:v>
                </c:pt>
                <c:pt idx="183">
                  <c:v>38.265374999999999</c:v>
                </c:pt>
                <c:pt idx="184">
                  <c:v>38.892499999999998</c:v>
                </c:pt>
                <c:pt idx="185">
                  <c:v>39.303449999999998</c:v>
                </c:pt>
                <c:pt idx="186">
                  <c:v>39.303449999999998</c:v>
                </c:pt>
                <c:pt idx="187">
                  <c:v>40.515749999999997</c:v>
                </c:pt>
                <c:pt idx="188">
                  <c:v>40.837125</c:v>
                </c:pt>
                <c:pt idx="189">
                  <c:v>41.287049999999994</c:v>
                </c:pt>
                <c:pt idx="190">
                  <c:v>42.129642857142862</c:v>
                </c:pt>
                <c:pt idx="191">
                  <c:v>42.373916666666666</c:v>
                </c:pt>
                <c:pt idx="192">
                  <c:v>43.670499999999997</c:v>
                </c:pt>
                <c:pt idx="193">
                  <c:v>44.117149999999995</c:v>
                </c:pt>
                <c:pt idx="194">
                  <c:v>44.4926125</c:v>
                </c:pt>
                <c:pt idx="195">
                  <c:v>44.642937500000002</c:v>
                </c:pt>
                <c:pt idx="196">
                  <c:v>45.017499999999991</c:v>
                </c:pt>
                <c:pt idx="197">
                  <c:v>45.400625000000005</c:v>
                </c:pt>
                <c:pt idx="198">
                  <c:v>45.874499999999998</c:v>
                </c:pt>
                <c:pt idx="199">
                  <c:v>45.91845</c:v>
                </c:pt>
                <c:pt idx="200">
                  <c:v>45.91845</c:v>
                </c:pt>
                <c:pt idx="201">
                  <c:v>46.697785714285715</c:v>
                </c:pt>
                <c:pt idx="202">
                  <c:v>47.268374999999999</c:v>
                </c:pt>
                <c:pt idx="203">
                  <c:v>49.004549999999995</c:v>
                </c:pt>
                <c:pt idx="204">
                  <c:v>50.004642857142862</c:v>
                </c:pt>
                <c:pt idx="205">
                  <c:v>50.948916666666662</c:v>
                </c:pt>
                <c:pt idx="206">
                  <c:v>51.020499999999998</c:v>
                </c:pt>
                <c:pt idx="207">
                  <c:v>53.496362499999996</c:v>
                </c:pt>
                <c:pt idx="208">
                  <c:v>54.449499999999993</c:v>
                </c:pt>
                <c:pt idx="209">
                  <c:v>54.48075</c:v>
                </c:pt>
                <c:pt idx="210">
                  <c:v>54.588124999999991</c:v>
                </c:pt>
                <c:pt idx="211">
                  <c:v>56.147785714285718</c:v>
                </c:pt>
                <c:pt idx="212">
                  <c:v>56.722049999999996</c:v>
                </c:pt>
                <c:pt idx="213">
                  <c:v>57.879642857142862</c:v>
                </c:pt>
                <c:pt idx="214">
                  <c:v>58.981499999999997</c:v>
                </c:pt>
                <c:pt idx="215">
                  <c:v>59.323483333333328</c:v>
                </c:pt>
                <c:pt idx="216">
                  <c:v>59.523916666666658</c:v>
                </c:pt>
                <c:pt idx="217">
                  <c:v>60.534166666666664</c:v>
                </c:pt>
                <c:pt idx="218">
                  <c:v>62.500112499999993</c:v>
                </c:pt>
                <c:pt idx="219">
                  <c:v>63.024499999999989</c:v>
                </c:pt>
                <c:pt idx="220">
                  <c:v>63.560875000000003</c:v>
                </c:pt>
                <c:pt idx="221">
                  <c:v>63.775624999999991</c:v>
                </c:pt>
                <c:pt idx="222">
                  <c:v>65.505750000000006</c:v>
                </c:pt>
                <c:pt idx="223">
                  <c:v>65.597785714285706</c:v>
                </c:pt>
                <c:pt idx="224">
                  <c:v>70.006500000000003</c:v>
                </c:pt>
                <c:pt idx="225">
                  <c:v>71.328483333333324</c:v>
                </c:pt>
                <c:pt idx="226">
                  <c:v>72.784166666666664</c:v>
                </c:pt>
                <c:pt idx="227">
                  <c:v>76.273049999999998</c:v>
                </c:pt>
                <c:pt idx="228">
                  <c:v>76.423374999999993</c:v>
                </c:pt>
                <c:pt idx="229">
                  <c:v>76.530749999999998</c:v>
                </c:pt>
                <c:pt idx="230">
                  <c:v>77.829642857142858</c:v>
                </c:pt>
                <c:pt idx="231">
                  <c:v>81.031499999999994</c:v>
                </c:pt>
                <c:pt idx="232">
                  <c:v>83.333483333333334</c:v>
                </c:pt>
                <c:pt idx="233">
                  <c:v>84.747833333333332</c:v>
                </c:pt>
                <c:pt idx="234">
                  <c:v>85.034166666666664</c:v>
                </c:pt>
                <c:pt idx="235">
                  <c:v>89.285875000000004</c:v>
                </c:pt>
                <c:pt idx="236">
                  <c:v>91.70805</c:v>
                </c:pt>
                <c:pt idx="237">
                  <c:v>93.579642857142858</c:v>
                </c:pt>
                <c:pt idx="238">
                  <c:v>101.89783333333332</c:v>
                </c:pt>
                <c:pt idx="239">
                  <c:v>107.14305</c:v>
                </c:pt>
                <c:pt idx="240">
                  <c:v>108.9615</c:v>
                </c:pt>
                <c:pt idx="241">
                  <c:v>109.32964285714286</c:v>
                </c:pt>
                <c:pt idx="242">
                  <c:v>119.04783333333332</c:v>
                </c:pt>
                <c:pt idx="243">
                  <c:v>131.01150000000001</c:v>
                </c:pt>
                <c:pt idx="244">
                  <c:v>153.0615</c:v>
                </c:pt>
              </c:numCache>
            </c:numRef>
          </c:xVal>
          <c:yVal>
            <c:numRef>
              <c:f>'Full Distribution'!$S$6:$S$250</c:f>
              <c:numCache>
                <c:formatCode>General</c:formatCode>
                <c:ptCount val="245"/>
                <c:pt idx="0">
                  <c:v>0</c:v>
                </c:pt>
                <c:pt idx="1">
                  <c:v>0.73546047999999997</c:v>
                </c:pt>
                <c:pt idx="2">
                  <c:v>0.73571881937499994</c:v>
                </c:pt>
                <c:pt idx="3">
                  <c:v>0.736235498125</c:v>
                </c:pt>
                <c:pt idx="4">
                  <c:v>0.73649383749999997</c:v>
                </c:pt>
                <c:pt idx="5">
                  <c:v>0.73701051625000003</c:v>
                </c:pt>
                <c:pt idx="6">
                  <c:v>0.73804387375000002</c:v>
                </c:pt>
                <c:pt idx="7">
                  <c:v>0.73856055249999997</c:v>
                </c:pt>
                <c:pt idx="8">
                  <c:v>0.73881889187499994</c:v>
                </c:pt>
                <c:pt idx="9">
                  <c:v>0.73933557062499999</c:v>
                </c:pt>
                <c:pt idx="10">
                  <c:v>0.74036892812499999</c:v>
                </c:pt>
                <c:pt idx="11">
                  <c:v>0.74088560687499994</c:v>
                </c:pt>
                <c:pt idx="12">
                  <c:v>0.74140228562499999</c:v>
                </c:pt>
                <c:pt idx="13">
                  <c:v>0.74191896437499993</c:v>
                </c:pt>
                <c:pt idx="14">
                  <c:v>0.74295232187499993</c:v>
                </c:pt>
                <c:pt idx="15">
                  <c:v>0.74321066125000002</c:v>
                </c:pt>
                <c:pt idx="16">
                  <c:v>0.74372733999999996</c:v>
                </c:pt>
                <c:pt idx="17">
                  <c:v>0.74398567937499993</c:v>
                </c:pt>
                <c:pt idx="18">
                  <c:v>0.74501903687499993</c:v>
                </c:pt>
                <c:pt idx="19">
                  <c:v>0.74708575187499993</c:v>
                </c:pt>
                <c:pt idx="20">
                  <c:v>0.74811910937499992</c:v>
                </c:pt>
                <c:pt idx="21">
                  <c:v>0.74863578812499998</c:v>
                </c:pt>
                <c:pt idx="22">
                  <c:v>0.74966914562499998</c:v>
                </c:pt>
                <c:pt idx="23">
                  <c:v>0.75018582437499992</c:v>
                </c:pt>
                <c:pt idx="24">
                  <c:v>0.75070250312499998</c:v>
                </c:pt>
                <c:pt idx="25">
                  <c:v>0.75173586062499997</c:v>
                </c:pt>
                <c:pt idx="26">
                  <c:v>0.75225253937499992</c:v>
                </c:pt>
                <c:pt idx="27">
                  <c:v>0.75251087875</c:v>
                </c:pt>
                <c:pt idx="28">
                  <c:v>0.75302755749999994</c:v>
                </c:pt>
                <c:pt idx="29">
                  <c:v>0.75406091499999994</c:v>
                </c:pt>
                <c:pt idx="30">
                  <c:v>0.75612762999999994</c:v>
                </c:pt>
                <c:pt idx="31">
                  <c:v>0.75716098749999994</c:v>
                </c:pt>
                <c:pt idx="32">
                  <c:v>0.75741932687500002</c:v>
                </c:pt>
                <c:pt idx="33">
                  <c:v>0.75845268437500002</c:v>
                </c:pt>
                <c:pt idx="34">
                  <c:v>0.75896936312499996</c:v>
                </c:pt>
                <c:pt idx="35">
                  <c:v>0.76103607812499996</c:v>
                </c:pt>
                <c:pt idx="36">
                  <c:v>0.76206943562499996</c:v>
                </c:pt>
                <c:pt idx="37">
                  <c:v>0.76258611437500001</c:v>
                </c:pt>
                <c:pt idx="38">
                  <c:v>0.76361947187500001</c:v>
                </c:pt>
                <c:pt idx="39">
                  <c:v>0.76387781124999998</c:v>
                </c:pt>
                <c:pt idx="40">
                  <c:v>0.76439448999999993</c:v>
                </c:pt>
                <c:pt idx="41">
                  <c:v>0.76542784749999992</c:v>
                </c:pt>
                <c:pt idx="42">
                  <c:v>0.76594452624999998</c:v>
                </c:pt>
                <c:pt idx="43">
                  <c:v>0.76620286562499995</c:v>
                </c:pt>
                <c:pt idx="44">
                  <c:v>0.76826958062499995</c:v>
                </c:pt>
                <c:pt idx="45">
                  <c:v>0.76930293812499995</c:v>
                </c:pt>
                <c:pt idx="46">
                  <c:v>0.769819616875</c:v>
                </c:pt>
                <c:pt idx="47">
                  <c:v>0.770852974375</c:v>
                </c:pt>
                <c:pt idx="48">
                  <c:v>0.77111131374999997</c:v>
                </c:pt>
                <c:pt idx="49">
                  <c:v>0.77162799250000003</c:v>
                </c:pt>
                <c:pt idx="50">
                  <c:v>0.77369470750000002</c:v>
                </c:pt>
                <c:pt idx="51">
                  <c:v>0.77421138624999997</c:v>
                </c:pt>
                <c:pt idx="52">
                  <c:v>0.77627810124999996</c:v>
                </c:pt>
                <c:pt idx="53">
                  <c:v>0.77679478000000002</c:v>
                </c:pt>
                <c:pt idx="54">
                  <c:v>0.77782813750000002</c:v>
                </c:pt>
                <c:pt idx="55">
                  <c:v>0.77886149500000001</c:v>
                </c:pt>
                <c:pt idx="56">
                  <c:v>0.77989485250000001</c:v>
                </c:pt>
                <c:pt idx="57">
                  <c:v>0.78041153124999996</c:v>
                </c:pt>
                <c:pt idx="58">
                  <c:v>0.78092821000000001</c:v>
                </c:pt>
                <c:pt idx="59">
                  <c:v>0.78144488874999996</c:v>
                </c:pt>
                <c:pt idx="60">
                  <c:v>0.78247824624999995</c:v>
                </c:pt>
                <c:pt idx="61">
                  <c:v>0.78351160374999995</c:v>
                </c:pt>
                <c:pt idx="62">
                  <c:v>0.78557831874999995</c:v>
                </c:pt>
                <c:pt idx="63">
                  <c:v>0.78583665812500003</c:v>
                </c:pt>
                <c:pt idx="64">
                  <c:v>0.78635333687499998</c:v>
                </c:pt>
                <c:pt idx="65">
                  <c:v>0.78661167624999995</c:v>
                </c:pt>
                <c:pt idx="66">
                  <c:v>0.79074510624999994</c:v>
                </c:pt>
                <c:pt idx="67">
                  <c:v>0.791261785</c:v>
                </c:pt>
                <c:pt idx="68">
                  <c:v>0.79177846374999994</c:v>
                </c:pt>
                <c:pt idx="69">
                  <c:v>0.79384517874999994</c:v>
                </c:pt>
                <c:pt idx="70">
                  <c:v>0.79487853624999993</c:v>
                </c:pt>
                <c:pt idx="71">
                  <c:v>0.79513687562500002</c:v>
                </c:pt>
                <c:pt idx="72">
                  <c:v>0.79565355437499996</c:v>
                </c:pt>
                <c:pt idx="73">
                  <c:v>0.79668691187499996</c:v>
                </c:pt>
                <c:pt idx="74">
                  <c:v>0.80082034187499995</c:v>
                </c:pt>
                <c:pt idx="75">
                  <c:v>0.80185369937499995</c:v>
                </c:pt>
                <c:pt idx="76">
                  <c:v>0.80392041437499995</c:v>
                </c:pt>
                <c:pt idx="77">
                  <c:v>0.804437093125</c:v>
                </c:pt>
                <c:pt idx="78">
                  <c:v>0.805470450625</c:v>
                </c:pt>
                <c:pt idx="79">
                  <c:v>0.807537165625</c:v>
                </c:pt>
                <c:pt idx="80">
                  <c:v>0.808570523125</c:v>
                </c:pt>
                <c:pt idx="81">
                  <c:v>0.80960388062499999</c:v>
                </c:pt>
                <c:pt idx="82">
                  <c:v>0.80986221999999997</c:v>
                </c:pt>
                <c:pt idx="83">
                  <c:v>0.81089557749999996</c:v>
                </c:pt>
                <c:pt idx="84">
                  <c:v>0.81141225625000002</c:v>
                </c:pt>
                <c:pt idx="85">
                  <c:v>0.81192893499999996</c:v>
                </c:pt>
                <c:pt idx="86">
                  <c:v>0.81296229249999996</c:v>
                </c:pt>
                <c:pt idx="87">
                  <c:v>0.81502900749999996</c:v>
                </c:pt>
                <c:pt idx="88">
                  <c:v>0.81554568625000001</c:v>
                </c:pt>
                <c:pt idx="89">
                  <c:v>0.81761240125000001</c:v>
                </c:pt>
                <c:pt idx="90">
                  <c:v>0.81812907999999995</c:v>
                </c:pt>
                <c:pt idx="91">
                  <c:v>0.81864575875000001</c:v>
                </c:pt>
                <c:pt idx="92">
                  <c:v>0.81916243749999995</c:v>
                </c:pt>
                <c:pt idx="93">
                  <c:v>0.82019579499999995</c:v>
                </c:pt>
                <c:pt idx="94">
                  <c:v>0.82122915249999995</c:v>
                </c:pt>
                <c:pt idx="95">
                  <c:v>0.82148749187499992</c:v>
                </c:pt>
                <c:pt idx="96">
                  <c:v>0.82355420687500003</c:v>
                </c:pt>
                <c:pt idx="97">
                  <c:v>0.82768763687500002</c:v>
                </c:pt>
                <c:pt idx="98">
                  <c:v>0.82872099437500002</c:v>
                </c:pt>
                <c:pt idx="99">
                  <c:v>0.83078770937500002</c:v>
                </c:pt>
                <c:pt idx="100">
                  <c:v>0.83130438812499996</c:v>
                </c:pt>
                <c:pt idx="101">
                  <c:v>0.83156272749999993</c:v>
                </c:pt>
                <c:pt idx="102">
                  <c:v>0.83362944249999993</c:v>
                </c:pt>
                <c:pt idx="103">
                  <c:v>0.83466280000000004</c:v>
                </c:pt>
                <c:pt idx="104">
                  <c:v>0.83569615749999993</c:v>
                </c:pt>
                <c:pt idx="105">
                  <c:v>0.83621283624999998</c:v>
                </c:pt>
                <c:pt idx="106">
                  <c:v>0.83724619374999998</c:v>
                </c:pt>
                <c:pt idx="107">
                  <c:v>0.83827955124999998</c:v>
                </c:pt>
                <c:pt idx="108">
                  <c:v>0.84034626624999997</c:v>
                </c:pt>
                <c:pt idx="109">
                  <c:v>0.84241298124999997</c:v>
                </c:pt>
                <c:pt idx="110">
                  <c:v>0.84344633874999997</c:v>
                </c:pt>
                <c:pt idx="111">
                  <c:v>0.84447969624999997</c:v>
                </c:pt>
                <c:pt idx="112">
                  <c:v>0.84654641124999996</c:v>
                </c:pt>
                <c:pt idx="113">
                  <c:v>0.84680475062499994</c:v>
                </c:pt>
                <c:pt idx="114">
                  <c:v>0.84732142937499999</c:v>
                </c:pt>
                <c:pt idx="115">
                  <c:v>0.84783810812499993</c:v>
                </c:pt>
                <c:pt idx="116">
                  <c:v>0.84835478687499999</c:v>
                </c:pt>
                <c:pt idx="117">
                  <c:v>0.84938814437499999</c:v>
                </c:pt>
                <c:pt idx="118">
                  <c:v>0.84964648374999996</c:v>
                </c:pt>
                <c:pt idx="119">
                  <c:v>0.85016316250000001</c:v>
                </c:pt>
                <c:pt idx="120">
                  <c:v>0.85067984124999996</c:v>
                </c:pt>
                <c:pt idx="121">
                  <c:v>0.85481327124999995</c:v>
                </c:pt>
                <c:pt idx="122">
                  <c:v>0.85584662874999995</c:v>
                </c:pt>
                <c:pt idx="123">
                  <c:v>0.8563633075</c:v>
                </c:pt>
                <c:pt idx="124">
                  <c:v>0.8584300225</c:v>
                </c:pt>
                <c:pt idx="125">
                  <c:v>0.85946338</c:v>
                </c:pt>
                <c:pt idx="126">
                  <c:v>0.8604967375</c:v>
                </c:pt>
                <c:pt idx="127">
                  <c:v>0.86256345249999999</c:v>
                </c:pt>
                <c:pt idx="128">
                  <c:v>0.86282179187499997</c:v>
                </c:pt>
                <c:pt idx="129">
                  <c:v>0.86333847062500002</c:v>
                </c:pt>
                <c:pt idx="130">
                  <c:v>0.86385514937499996</c:v>
                </c:pt>
                <c:pt idx="131">
                  <c:v>0.86488850687499996</c:v>
                </c:pt>
                <c:pt idx="132">
                  <c:v>0.86902193687499996</c:v>
                </c:pt>
                <c:pt idx="133">
                  <c:v>0.87108865187499995</c:v>
                </c:pt>
                <c:pt idx="134">
                  <c:v>0.87160533062500001</c:v>
                </c:pt>
                <c:pt idx="135">
                  <c:v>0.87263868812500001</c:v>
                </c:pt>
                <c:pt idx="136">
                  <c:v>0.874705403125</c:v>
                </c:pt>
                <c:pt idx="137">
                  <c:v>0.875738760625</c:v>
                </c:pt>
                <c:pt idx="138">
                  <c:v>0.876772118125</c:v>
                </c:pt>
                <c:pt idx="139">
                  <c:v>0.87728879687500005</c:v>
                </c:pt>
                <c:pt idx="140">
                  <c:v>0.87832215437499994</c:v>
                </c:pt>
                <c:pt idx="141">
                  <c:v>0.87935551187500005</c:v>
                </c:pt>
                <c:pt idx="142">
                  <c:v>0.87987219062499999</c:v>
                </c:pt>
                <c:pt idx="143">
                  <c:v>0.88090554812499999</c:v>
                </c:pt>
                <c:pt idx="144">
                  <c:v>0.88142222687500005</c:v>
                </c:pt>
                <c:pt idx="145">
                  <c:v>0.88245558437499994</c:v>
                </c:pt>
                <c:pt idx="146">
                  <c:v>0.88348894187500004</c:v>
                </c:pt>
                <c:pt idx="147">
                  <c:v>0.88400562062499999</c:v>
                </c:pt>
                <c:pt idx="148">
                  <c:v>0.88426395999999996</c:v>
                </c:pt>
                <c:pt idx="149">
                  <c:v>0.88478063875000001</c:v>
                </c:pt>
                <c:pt idx="150">
                  <c:v>0.88529731749999996</c:v>
                </c:pt>
                <c:pt idx="151">
                  <c:v>0.88633067499999996</c:v>
                </c:pt>
                <c:pt idx="152">
                  <c:v>0.89459753499999994</c:v>
                </c:pt>
                <c:pt idx="153">
                  <c:v>0.89485587437500003</c:v>
                </c:pt>
                <c:pt idx="154">
                  <c:v>0.89588923187500002</c:v>
                </c:pt>
                <c:pt idx="155">
                  <c:v>0.89795594687500002</c:v>
                </c:pt>
                <c:pt idx="156">
                  <c:v>0.89821428624999999</c:v>
                </c:pt>
                <c:pt idx="157">
                  <c:v>0.90028100124999999</c:v>
                </c:pt>
                <c:pt idx="158">
                  <c:v>0.90079767999999993</c:v>
                </c:pt>
                <c:pt idx="159">
                  <c:v>0.90286439499999993</c:v>
                </c:pt>
                <c:pt idx="160">
                  <c:v>0.90389775250000004</c:v>
                </c:pt>
                <c:pt idx="161">
                  <c:v>0.90596446750000004</c:v>
                </c:pt>
                <c:pt idx="162">
                  <c:v>0.90699782499999992</c:v>
                </c:pt>
                <c:pt idx="163">
                  <c:v>0.91113125500000003</c:v>
                </c:pt>
                <c:pt idx="164">
                  <c:v>0.91216461250000003</c:v>
                </c:pt>
                <c:pt idx="165">
                  <c:v>0.91423132750000002</c:v>
                </c:pt>
                <c:pt idx="166">
                  <c:v>0.914489666875</c:v>
                </c:pt>
                <c:pt idx="167">
                  <c:v>0.91500634562499994</c:v>
                </c:pt>
                <c:pt idx="168">
                  <c:v>0.91552302437499999</c:v>
                </c:pt>
                <c:pt idx="169">
                  <c:v>0.91758973937499999</c:v>
                </c:pt>
                <c:pt idx="170">
                  <c:v>0.91810641812500005</c:v>
                </c:pt>
                <c:pt idx="171">
                  <c:v>0.91913977562499993</c:v>
                </c:pt>
                <c:pt idx="172">
                  <c:v>0.91965645437499999</c:v>
                </c:pt>
                <c:pt idx="173">
                  <c:v>0.92068981187499999</c:v>
                </c:pt>
                <c:pt idx="174">
                  <c:v>0.92120649062499993</c:v>
                </c:pt>
                <c:pt idx="175">
                  <c:v>0.92172316937499998</c:v>
                </c:pt>
                <c:pt idx="176">
                  <c:v>0.92585659937499998</c:v>
                </c:pt>
                <c:pt idx="177">
                  <c:v>0.92688995687499998</c:v>
                </c:pt>
                <c:pt idx="178">
                  <c:v>0.92740663562500003</c:v>
                </c:pt>
                <c:pt idx="179">
                  <c:v>0.92792331437499997</c:v>
                </c:pt>
                <c:pt idx="180">
                  <c:v>0.92818165375000006</c:v>
                </c:pt>
                <c:pt idx="181">
                  <c:v>0.93231508375000005</c:v>
                </c:pt>
                <c:pt idx="182">
                  <c:v>0.93438179875000005</c:v>
                </c:pt>
                <c:pt idx="183">
                  <c:v>0.93464013812500002</c:v>
                </c:pt>
                <c:pt idx="184">
                  <c:v>0.93877356812500001</c:v>
                </c:pt>
                <c:pt idx="185">
                  <c:v>0.93980692562500001</c:v>
                </c:pt>
                <c:pt idx="186">
                  <c:v>0.94032360437499996</c:v>
                </c:pt>
                <c:pt idx="187">
                  <c:v>0.94239031937500006</c:v>
                </c:pt>
                <c:pt idx="188">
                  <c:v>0.94342367687499995</c:v>
                </c:pt>
                <c:pt idx="189">
                  <c:v>0.94445703437500006</c:v>
                </c:pt>
                <c:pt idx="190">
                  <c:v>0.94549039187499995</c:v>
                </c:pt>
                <c:pt idx="191">
                  <c:v>0.94755710687499994</c:v>
                </c:pt>
                <c:pt idx="192">
                  <c:v>0.94859046437500005</c:v>
                </c:pt>
                <c:pt idx="193">
                  <c:v>0.95065717937500005</c:v>
                </c:pt>
                <c:pt idx="194">
                  <c:v>0.95117385812499999</c:v>
                </c:pt>
                <c:pt idx="195">
                  <c:v>0.95220721562499999</c:v>
                </c:pt>
                <c:pt idx="196">
                  <c:v>0.95427393062499999</c:v>
                </c:pt>
                <c:pt idx="197">
                  <c:v>0.95479060937500004</c:v>
                </c:pt>
                <c:pt idx="198">
                  <c:v>0.95582396687499993</c:v>
                </c:pt>
                <c:pt idx="199">
                  <c:v>0.95608230625000001</c:v>
                </c:pt>
                <c:pt idx="200">
                  <c:v>0.95659898499999996</c:v>
                </c:pt>
                <c:pt idx="201">
                  <c:v>0.95685732437500004</c:v>
                </c:pt>
                <c:pt idx="202">
                  <c:v>0.95737400312499998</c:v>
                </c:pt>
                <c:pt idx="203">
                  <c:v>0.95944071812499998</c:v>
                </c:pt>
                <c:pt idx="204">
                  <c:v>0.96150743312499998</c:v>
                </c:pt>
                <c:pt idx="205">
                  <c:v>0.96564086312499997</c:v>
                </c:pt>
                <c:pt idx="206">
                  <c:v>0.96615754187500003</c:v>
                </c:pt>
                <c:pt idx="207">
                  <c:v>0.96719089937500002</c:v>
                </c:pt>
                <c:pt idx="208">
                  <c:v>0.96925761437500002</c:v>
                </c:pt>
                <c:pt idx="209">
                  <c:v>0.97029097187500002</c:v>
                </c:pt>
                <c:pt idx="210">
                  <c:v>0.97132432937500002</c:v>
                </c:pt>
                <c:pt idx="211">
                  <c:v>0.97184100812499996</c:v>
                </c:pt>
                <c:pt idx="212">
                  <c:v>0.97287436562499996</c:v>
                </c:pt>
                <c:pt idx="213">
                  <c:v>0.97390772312499996</c:v>
                </c:pt>
                <c:pt idx="214">
                  <c:v>0.97442440187500001</c:v>
                </c:pt>
                <c:pt idx="215">
                  <c:v>0.97545775937500001</c:v>
                </c:pt>
                <c:pt idx="216">
                  <c:v>0.97752447437500001</c:v>
                </c:pt>
                <c:pt idx="217">
                  <c:v>0.97855783187500001</c:v>
                </c:pt>
                <c:pt idx="218">
                  <c:v>0.97907451062500006</c:v>
                </c:pt>
                <c:pt idx="219">
                  <c:v>0.98010786812499995</c:v>
                </c:pt>
                <c:pt idx="220">
                  <c:v>0.98036620750000003</c:v>
                </c:pt>
                <c:pt idx="221">
                  <c:v>0.98088288624999997</c:v>
                </c:pt>
                <c:pt idx="222">
                  <c:v>0.98294960124999997</c:v>
                </c:pt>
                <c:pt idx="223">
                  <c:v>0.98320794062500005</c:v>
                </c:pt>
                <c:pt idx="224">
                  <c:v>0.98424129812499994</c:v>
                </c:pt>
                <c:pt idx="225">
                  <c:v>0.98630801312499994</c:v>
                </c:pt>
                <c:pt idx="226">
                  <c:v>0.98837472812499994</c:v>
                </c:pt>
                <c:pt idx="227">
                  <c:v>0.98889140687499999</c:v>
                </c:pt>
                <c:pt idx="228">
                  <c:v>0.98940808562500004</c:v>
                </c:pt>
                <c:pt idx="229">
                  <c:v>0.99044144312499993</c:v>
                </c:pt>
                <c:pt idx="230">
                  <c:v>0.99095812187499999</c:v>
                </c:pt>
                <c:pt idx="231">
                  <c:v>0.99147480062500004</c:v>
                </c:pt>
                <c:pt idx="232">
                  <c:v>0.99250815812499993</c:v>
                </c:pt>
                <c:pt idx="233">
                  <c:v>0.99302483687499998</c:v>
                </c:pt>
                <c:pt idx="234">
                  <c:v>0.99405819437499998</c:v>
                </c:pt>
                <c:pt idx="235">
                  <c:v>0.99431653374999995</c:v>
                </c:pt>
                <c:pt idx="236">
                  <c:v>0.99534989125000006</c:v>
                </c:pt>
                <c:pt idx="237">
                  <c:v>0.99638324874999995</c:v>
                </c:pt>
                <c:pt idx="238">
                  <c:v>0.99741660625000006</c:v>
                </c:pt>
                <c:pt idx="239">
                  <c:v>0.997933285</c:v>
                </c:pt>
                <c:pt idx="240">
                  <c:v>0.99819162437499998</c:v>
                </c:pt>
                <c:pt idx="241">
                  <c:v>0.99870830312499992</c:v>
                </c:pt>
                <c:pt idx="242">
                  <c:v>0.99922498187499997</c:v>
                </c:pt>
                <c:pt idx="243">
                  <c:v>0.99974166062500003</c:v>
                </c:pt>
                <c:pt idx="244">
                  <c:v>1</c:v>
                </c:pt>
              </c:numCache>
            </c:numRef>
          </c:yVal>
          <c:smooth val="0"/>
          <c:extLst>
            <c:ext xmlns:c16="http://schemas.microsoft.com/office/drawing/2014/chart" uri="{C3380CC4-5D6E-409C-BE32-E72D297353CC}">
              <c16:uniqueId val="{00000000-807A-0F43-8205-975F405162EE}"/>
            </c:ext>
          </c:extLst>
        </c:ser>
        <c:dLbls>
          <c:showLegendKey val="0"/>
          <c:showVal val="0"/>
          <c:showCatName val="0"/>
          <c:showSerName val="0"/>
          <c:showPercent val="0"/>
          <c:showBubbleSize val="0"/>
        </c:dLbls>
        <c:axId val="778887631"/>
        <c:axId val="778889311"/>
      </c:scatterChart>
      <c:valAx>
        <c:axId val="77888763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8889311"/>
        <c:crosses val="autoZero"/>
        <c:crossBetween val="midCat"/>
      </c:valAx>
      <c:valAx>
        <c:axId val="778889311"/>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888763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76200</xdr:rowOff>
    </xdr:from>
    <xdr:to>
      <xdr:col>1</xdr:col>
      <xdr:colOff>1435100</xdr:colOff>
      <xdr:row>4</xdr:row>
      <xdr:rowOff>69003</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952500" y="254000"/>
          <a:ext cx="1435100" cy="52620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723900</xdr:colOff>
          <xdr:row>2</xdr:row>
          <xdr:rowOff>0</xdr:rowOff>
        </xdr:from>
        <xdr:to>
          <xdr:col>13</xdr:col>
          <xdr:colOff>635000</xdr:colOff>
          <xdr:row>6</xdr:row>
          <xdr:rowOff>50800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36576" tIns="59436" rIns="36576" bIns="59436" anchor="ctr" upright="1"/>
            <a:lstStyle/>
            <a:p>
              <a:pPr algn="ctr" rtl="0">
                <a:defRPr sz="1000"/>
              </a:pPr>
              <a:r>
                <a:rPr lang="en-US" sz="2000" b="0" i="0" u="none" strike="noStrike" baseline="0">
                  <a:solidFill>
                    <a:srgbClr val="000000"/>
                  </a:solidFill>
                  <a:latin typeface="Apple Chancery" pitchFamily="4" charset="0"/>
                  <a:cs typeface="Apple Chancery" pitchFamily="4" charset="0"/>
                </a:rPr>
                <a:t>Evaluate Uncertainty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939800</xdr:colOff>
          <xdr:row>2</xdr:row>
          <xdr:rowOff>25400</xdr:rowOff>
        </xdr:from>
        <xdr:to>
          <xdr:col>2</xdr:col>
          <xdr:colOff>1308100</xdr:colOff>
          <xdr:row>4</xdr:row>
          <xdr:rowOff>139700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300-00000A0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en-US" sz="1600" b="0" i="0" u="none" strike="noStrike" baseline="0">
                  <a:solidFill>
                    <a:srgbClr val="000000"/>
                  </a:solidFill>
                  <a:latin typeface="Apple Chancery" pitchFamily="4" charset="0"/>
                  <a:cs typeface="Apple Chancery" pitchFamily="4" charset="0"/>
                </a:rPr>
                <a:t>Update Tornado</a:t>
              </a:r>
            </a:p>
          </xdr:txBody>
        </xdr:sp>
        <xdr:clientData fPrintsWithSheet="0"/>
      </xdr:twoCellAnchor>
    </mc:Choice>
    <mc:Fallback/>
  </mc:AlternateContent>
  <xdr:twoCellAnchor>
    <xdr:from>
      <xdr:col>0</xdr:col>
      <xdr:colOff>488950</xdr:colOff>
      <xdr:row>5</xdr:row>
      <xdr:rowOff>152400</xdr:rowOff>
    </xdr:from>
    <xdr:to>
      <xdr:col>10</xdr:col>
      <xdr:colOff>787400</xdr:colOff>
      <xdr:row>46</xdr:row>
      <xdr:rowOff>101600</xdr:rowOff>
    </xdr:to>
    <xdr:graphicFrame macro="">
      <xdr:nvGraphicFramePr>
        <xdr:cNvPr id="2" name="TornadoChart">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533400</xdr:colOff>
      <xdr:row>47</xdr:row>
      <xdr:rowOff>165100</xdr:rowOff>
    </xdr:from>
    <xdr:to>
      <xdr:col>10</xdr:col>
      <xdr:colOff>812800</xdr:colOff>
      <xdr:row>67</xdr:row>
      <xdr:rowOff>101600</xdr:rowOff>
    </xdr:to>
    <xdr:graphicFrame macro="">
      <xdr:nvGraphicFramePr>
        <xdr:cNvPr id="5" name="CDF">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4</xdr:row>
      <xdr:rowOff>0</xdr:rowOff>
    </xdr:from>
    <xdr:to>
      <xdr:col>10</xdr:col>
      <xdr:colOff>711200</xdr:colOff>
      <xdr:row>44</xdr:row>
      <xdr:rowOff>0</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A2E17A-8B42-AA4E-A306-E6D69B4783A9}">
  <sheetPr codeName="Sheet3"/>
  <dimension ref="B6:B10"/>
  <sheetViews>
    <sheetView workbookViewId="0">
      <selection activeCell="B51" sqref="B51"/>
    </sheetView>
  </sheetViews>
  <sheetFormatPr baseColWidth="10" defaultRowHeight="14" x14ac:dyDescent="0.2"/>
  <cols>
    <col min="1" max="1" width="10.7109375" style="157"/>
    <col min="2" max="2" width="181.85546875" style="157" customWidth="1"/>
    <col min="3" max="16384" width="10.7109375" style="157"/>
  </cols>
  <sheetData>
    <row r="6" spans="2:2" ht="24" x14ac:dyDescent="0.25">
      <c r="B6" s="259" t="s">
        <v>171</v>
      </c>
    </row>
    <row r="7" spans="2:2" ht="19" x14ac:dyDescent="0.2">
      <c r="B7" s="258" t="s">
        <v>167</v>
      </c>
    </row>
    <row r="8" spans="2:2" ht="57" x14ac:dyDescent="0.2">
      <c r="B8" s="258" t="s">
        <v>168</v>
      </c>
    </row>
    <row r="9" spans="2:2" ht="19" x14ac:dyDescent="0.2">
      <c r="B9" s="258" t="s">
        <v>169</v>
      </c>
    </row>
    <row r="10" spans="2:2" ht="76" x14ac:dyDescent="0.2">
      <c r="B10" s="258" t="s">
        <v>170</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W95"/>
  <sheetViews>
    <sheetView showGridLines="0" tabSelected="1" zoomScale="110" zoomScaleNormal="110" zoomScalePageLayoutView="110" workbookViewId="0">
      <selection activeCell="C54" sqref="C54"/>
    </sheetView>
  </sheetViews>
  <sheetFormatPr baseColWidth="10" defaultColWidth="8.7109375" defaultRowHeight="14" x14ac:dyDescent="0.2"/>
  <cols>
    <col min="1" max="1" width="2.7109375" style="11" customWidth="1"/>
    <col min="2" max="2" width="2.7109375" style="4" customWidth="1"/>
    <col min="3" max="3" width="22.28515625" customWidth="1"/>
    <col min="4" max="4" width="8.85546875" style="1" customWidth="1"/>
    <col min="5" max="5" width="9.7109375" style="1" customWidth="1"/>
    <col min="6" max="6" width="9.28515625" customWidth="1"/>
    <col min="7" max="9" width="8.140625" style="1" customWidth="1"/>
    <col min="10" max="10" width="8.140625" style="21" customWidth="1"/>
    <col min="11" max="14" width="8.140625" customWidth="1"/>
    <col min="15" max="15" width="10.28515625" customWidth="1"/>
    <col min="16" max="17" width="8.140625" customWidth="1"/>
    <col min="18" max="18" width="10.85546875" customWidth="1"/>
    <col min="19" max="19" width="9.5703125" bestFit="1" customWidth="1"/>
    <col min="21" max="21" width="26.5703125" bestFit="1" customWidth="1"/>
    <col min="22" max="22" width="32" bestFit="1" customWidth="1"/>
    <col min="23" max="23" width="10.85546875" bestFit="1" customWidth="1"/>
  </cols>
  <sheetData>
    <row r="1" spans="1:18" s="7" customFormat="1" ht="16" x14ac:dyDescent="0.2">
      <c r="A1" s="66" t="s">
        <v>230</v>
      </c>
      <c r="B1" s="8"/>
      <c r="C1" s="9"/>
      <c r="D1" s="10"/>
      <c r="E1" s="10"/>
      <c r="F1" s="9"/>
      <c r="G1" s="10"/>
      <c r="H1" s="10"/>
      <c r="I1" s="10"/>
      <c r="J1" s="10"/>
      <c r="K1" s="10"/>
      <c r="L1" s="10"/>
      <c r="M1" s="10"/>
      <c r="N1" s="10" t="s">
        <v>23</v>
      </c>
    </row>
    <row r="2" spans="1:18" x14ac:dyDescent="0.2">
      <c r="A2" s="33"/>
      <c r="B2" s="31"/>
      <c r="C2" s="23"/>
      <c r="D2" s="21"/>
      <c r="E2" s="21"/>
      <c r="F2" s="23"/>
      <c r="G2" s="21"/>
      <c r="H2" s="21"/>
      <c r="I2" s="21"/>
      <c r="K2" s="23"/>
      <c r="L2" s="23"/>
      <c r="P2" s="122" t="s">
        <v>56</v>
      </c>
    </row>
    <row r="3" spans="1:18" s="15" customFormat="1" ht="16" x14ac:dyDescent="0.2">
      <c r="A3" s="43" t="s">
        <v>40</v>
      </c>
      <c r="C3" s="41"/>
      <c r="D3" s="41"/>
      <c r="E3" s="41"/>
      <c r="F3" s="42"/>
      <c r="G3" s="315"/>
      <c r="H3" s="278"/>
      <c r="I3" s="172"/>
      <c r="J3" s="279"/>
      <c r="K3" s="115"/>
      <c r="L3" s="115"/>
      <c r="M3" s="44"/>
      <c r="N3" s="44"/>
      <c r="P3" s="190" t="s">
        <v>118</v>
      </c>
    </row>
    <row r="4" spans="1:18" s="5" customFormat="1" ht="18" customHeight="1" x14ac:dyDescent="0.2">
      <c r="A4" s="37"/>
      <c r="B4" s="73" t="s">
        <v>8</v>
      </c>
      <c r="C4" s="4"/>
      <c r="D4" s="31"/>
      <c r="E4" s="4"/>
      <c r="F4" s="161" t="s">
        <v>9</v>
      </c>
      <c r="G4" s="283"/>
      <c r="H4" s="283"/>
      <c r="I4" s="283"/>
      <c r="J4" s="284"/>
      <c r="K4" s="144"/>
      <c r="L4" s="147"/>
      <c r="M4" s="16"/>
      <c r="N4" s="16"/>
      <c r="P4" s="5" t="s">
        <v>175</v>
      </c>
    </row>
    <row r="5" spans="1:18" x14ac:dyDescent="0.2">
      <c r="A5" s="21"/>
      <c r="B5" s="318" t="s">
        <v>221</v>
      </c>
      <c r="C5" s="319"/>
      <c r="D5" s="320" t="s">
        <v>53</v>
      </c>
      <c r="E5" s="230"/>
      <c r="F5" s="321">
        <f>Q66</f>
        <v>7.2020222971200001</v>
      </c>
      <c r="G5" s="316"/>
      <c r="H5" s="296"/>
      <c r="I5" s="296"/>
      <c r="J5" s="317"/>
      <c r="K5" s="147"/>
      <c r="L5" s="147"/>
      <c r="M5" s="16"/>
      <c r="N5" s="16"/>
      <c r="P5" s="63" t="s">
        <v>80</v>
      </c>
    </row>
    <row r="6" spans="1:18" x14ac:dyDescent="0.2">
      <c r="A6" s="21"/>
      <c r="B6" s="61" t="s">
        <v>89</v>
      </c>
      <c r="C6" s="3"/>
      <c r="D6" s="22" t="s">
        <v>2</v>
      </c>
      <c r="E6" s="2"/>
      <c r="F6" s="322">
        <f>Q86</f>
        <v>13.47800195952</v>
      </c>
      <c r="G6" s="316"/>
      <c r="H6" s="296"/>
      <c r="I6" s="296"/>
      <c r="J6" s="317"/>
      <c r="K6" s="147"/>
      <c r="L6" s="147"/>
      <c r="M6" s="16"/>
      <c r="N6" s="16"/>
    </row>
    <row r="7" spans="1:18" ht="12.75" customHeight="1" x14ac:dyDescent="0.2">
      <c r="A7" s="21"/>
      <c r="B7" s="323" t="s">
        <v>90</v>
      </c>
      <c r="C7" s="72"/>
      <c r="D7" s="324" t="s">
        <v>18</v>
      </c>
      <c r="E7" s="325"/>
      <c r="F7" s="326">
        <f>E55</f>
        <v>14000</v>
      </c>
      <c r="G7" s="299"/>
      <c r="H7" s="284"/>
      <c r="I7" s="284"/>
      <c r="J7" s="284"/>
      <c r="K7" s="147"/>
      <c r="L7" s="147"/>
      <c r="M7" s="49"/>
      <c r="N7" s="49"/>
    </row>
    <row r="8" spans="1:18" x14ac:dyDescent="0.2">
      <c r="A8" s="19"/>
      <c r="B8" s="49"/>
      <c r="C8" s="3"/>
      <c r="D8" s="22"/>
      <c r="E8" s="2"/>
      <c r="F8" s="148"/>
      <c r="G8" s="159"/>
      <c r="H8" s="314"/>
      <c r="I8" s="172"/>
      <c r="J8" s="292"/>
      <c r="K8" s="147"/>
      <c r="L8" s="147"/>
      <c r="M8" s="16"/>
      <c r="N8" s="16"/>
      <c r="P8" s="162"/>
    </row>
    <row r="9" spans="1:18" x14ac:dyDescent="0.2">
      <c r="A9" s="33"/>
      <c r="B9" s="16"/>
      <c r="C9" s="16"/>
      <c r="D9" s="49"/>
      <c r="E9" s="19"/>
      <c r="F9" s="49"/>
      <c r="G9" s="47"/>
      <c r="H9" s="121"/>
      <c r="I9" s="18"/>
      <c r="J9" s="145"/>
      <c r="K9" s="147"/>
      <c r="L9" s="147"/>
      <c r="P9" s="23"/>
    </row>
    <row r="10" spans="1:18" s="7" customFormat="1" ht="16" x14ac:dyDescent="0.2">
      <c r="A10" s="40" t="s">
        <v>28</v>
      </c>
      <c r="B10" s="50"/>
      <c r="C10" s="51"/>
      <c r="D10" s="24"/>
      <c r="E10" s="51"/>
      <c r="F10" s="26">
        <v>1</v>
      </c>
      <c r="G10" s="26">
        <v>2</v>
      </c>
      <c r="H10" s="26">
        <v>3</v>
      </c>
      <c r="I10" s="26">
        <v>4</v>
      </c>
      <c r="J10" s="24"/>
      <c r="K10" s="51"/>
      <c r="L10" s="51"/>
      <c r="M10" s="62"/>
      <c r="N10" s="62"/>
      <c r="O10" s="6" t="s">
        <v>9</v>
      </c>
    </row>
    <row r="11" spans="1:18" s="4" customFormat="1" x14ac:dyDescent="0.2">
      <c r="A11" s="33"/>
      <c r="B11" s="52"/>
      <c r="C11" s="52" t="s">
        <v>8</v>
      </c>
      <c r="D11" s="26" t="s">
        <v>10</v>
      </c>
      <c r="E11" s="26" t="s">
        <v>13</v>
      </c>
      <c r="F11" s="26" t="s">
        <v>14</v>
      </c>
      <c r="G11" s="26" t="s">
        <v>15</v>
      </c>
      <c r="H11" s="26" t="s">
        <v>16</v>
      </c>
      <c r="I11" s="26" t="s">
        <v>34</v>
      </c>
      <c r="J11" s="52" t="s">
        <v>35</v>
      </c>
      <c r="K11" s="31"/>
      <c r="L11" s="31"/>
      <c r="M11" s="44" t="s">
        <v>20</v>
      </c>
      <c r="N11" s="44"/>
      <c r="O11" s="12" t="s">
        <v>12</v>
      </c>
      <c r="P11" s="12" t="s">
        <v>11</v>
      </c>
    </row>
    <row r="12" spans="1:18" ht="12" customHeight="1" x14ac:dyDescent="0.2">
      <c r="A12" s="33"/>
      <c r="B12" s="53"/>
      <c r="C12" s="54"/>
      <c r="D12" s="57"/>
      <c r="E12" s="58"/>
      <c r="F12" s="28"/>
      <c r="G12" s="28"/>
      <c r="H12" s="29"/>
      <c r="I12" s="55"/>
      <c r="J12" s="45"/>
      <c r="K12" s="54"/>
      <c r="L12" s="46"/>
      <c r="M12" s="16"/>
      <c r="N12" s="16"/>
      <c r="O12" s="64"/>
      <c r="P12" s="107"/>
      <c r="Q12" s="108"/>
      <c r="R12" s="5"/>
    </row>
    <row r="13" spans="1:18" ht="14" customHeight="1" x14ac:dyDescent="0.2">
      <c r="A13" s="33"/>
      <c r="B13" s="34" t="s">
        <v>7</v>
      </c>
      <c r="C13" s="16"/>
      <c r="D13" s="22"/>
      <c r="E13" s="74"/>
      <c r="F13" s="27"/>
      <c r="G13" s="27"/>
      <c r="H13" s="75"/>
      <c r="I13" s="22"/>
      <c r="J13" s="61"/>
      <c r="K13" s="16"/>
      <c r="L13" s="35"/>
      <c r="M13" s="16"/>
      <c r="N13" s="16"/>
      <c r="O13" s="76"/>
      <c r="P13" s="109"/>
      <c r="Q13" s="110"/>
      <c r="R13" s="5"/>
    </row>
    <row r="14" spans="1:18" ht="12" customHeight="1" x14ac:dyDescent="0.2">
      <c r="A14" s="33"/>
      <c r="B14" s="67"/>
      <c r="C14" s="156" t="s">
        <v>172</v>
      </c>
      <c r="D14" s="188" t="s">
        <v>18</v>
      </c>
      <c r="E14" s="59">
        <v>2</v>
      </c>
      <c r="F14" s="256">
        <v>3000</v>
      </c>
      <c r="G14" s="256">
        <v>7000</v>
      </c>
      <c r="H14" s="260">
        <v>10000</v>
      </c>
      <c r="I14" s="30"/>
      <c r="J14" s="61"/>
      <c r="K14" s="16"/>
      <c r="L14" s="35"/>
      <c r="M14" s="16"/>
      <c r="N14" s="16"/>
      <c r="O14" s="39">
        <v>7000</v>
      </c>
      <c r="P14" s="109" t="s">
        <v>173</v>
      </c>
      <c r="Q14" s="110"/>
      <c r="R14" s="5"/>
    </row>
    <row r="15" spans="1:18" ht="12" customHeight="1" x14ac:dyDescent="0.2">
      <c r="A15" s="33"/>
      <c r="B15" s="67"/>
      <c r="C15" s="156" t="s">
        <v>79</v>
      </c>
      <c r="D15" s="188" t="s">
        <v>18</v>
      </c>
      <c r="E15" s="59">
        <v>2</v>
      </c>
      <c r="F15" s="256">
        <v>7000</v>
      </c>
      <c r="G15" s="256">
        <v>14000</v>
      </c>
      <c r="H15" s="260">
        <v>18000</v>
      </c>
      <c r="I15" s="30"/>
      <c r="J15" s="61"/>
      <c r="K15" s="16"/>
      <c r="L15" s="35"/>
      <c r="M15" s="16"/>
      <c r="N15" s="16"/>
      <c r="O15" s="39">
        <v>14000</v>
      </c>
      <c r="P15" s="109" t="s">
        <v>174</v>
      </c>
      <c r="Q15" s="110"/>
      <c r="R15" s="5"/>
    </row>
    <row r="16" spans="1:18" ht="12" customHeight="1" x14ac:dyDescent="0.2">
      <c r="A16" s="33"/>
      <c r="B16" s="67"/>
      <c r="C16" s="16"/>
      <c r="D16" s="22"/>
      <c r="E16" s="59"/>
      <c r="F16" s="3"/>
      <c r="G16" s="3"/>
      <c r="H16" s="69"/>
      <c r="I16" s="30"/>
      <c r="J16" s="61"/>
      <c r="K16" s="16"/>
      <c r="L16" s="35"/>
      <c r="M16" s="16"/>
      <c r="N16" s="16"/>
      <c r="O16" s="39"/>
      <c r="P16" s="109"/>
      <c r="Q16" s="110"/>
      <c r="R16" s="5"/>
    </row>
    <row r="17" spans="1:18" ht="12" customHeight="1" x14ac:dyDescent="0.2">
      <c r="A17" s="33"/>
      <c r="B17" s="67" t="s">
        <v>36</v>
      </c>
      <c r="C17" s="2"/>
      <c r="D17" s="3"/>
      <c r="E17" s="59"/>
      <c r="F17" s="3"/>
      <c r="G17" s="3"/>
      <c r="H17" s="69"/>
      <c r="I17" s="30"/>
      <c r="J17" s="61"/>
      <c r="K17" s="16"/>
      <c r="L17" s="35"/>
      <c r="M17" s="16"/>
      <c r="N17" s="16"/>
      <c r="O17" s="65"/>
      <c r="P17" s="109"/>
      <c r="Q17" s="110"/>
      <c r="R17" s="5"/>
    </row>
    <row r="18" spans="1:18" ht="12" customHeight="1" x14ac:dyDescent="0.2">
      <c r="A18" s="33"/>
      <c r="B18" s="67"/>
      <c r="C18" s="2" t="s">
        <v>75</v>
      </c>
      <c r="D18" s="68" t="s">
        <v>18</v>
      </c>
      <c r="E18" s="59">
        <v>2</v>
      </c>
      <c r="F18" s="3"/>
      <c r="G18" s="3">
        <v>0.5</v>
      </c>
      <c r="H18" s="69"/>
      <c r="I18" s="30"/>
      <c r="J18" s="232" t="s">
        <v>185</v>
      </c>
      <c r="K18" s="16"/>
      <c r="L18" s="35"/>
      <c r="M18" s="16"/>
      <c r="N18" s="16"/>
      <c r="O18" s="65">
        <v>0.5</v>
      </c>
      <c r="P18" s="109" t="s">
        <v>1</v>
      </c>
      <c r="Q18" s="110"/>
      <c r="R18" s="5"/>
    </row>
    <row r="19" spans="1:18" ht="12" customHeight="1" x14ac:dyDescent="0.2">
      <c r="A19" s="33"/>
      <c r="B19" s="67"/>
      <c r="C19" s="2" t="s">
        <v>76</v>
      </c>
      <c r="D19" s="3" t="s">
        <v>18</v>
      </c>
      <c r="E19" s="59">
        <v>2</v>
      </c>
      <c r="F19" s="18">
        <v>5</v>
      </c>
      <c r="G19" s="3">
        <v>7</v>
      </c>
      <c r="H19" s="69">
        <v>10</v>
      </c>
      <c r="I19" s="146"/>
      <c r="J19" s="232" t="s">
        <v>186</v>
      </c>
      <c r="K19" s="16"/>
      <c r="L19" s="35"/>
      <c r="M19" s="16"/>
      <c r="N19" s="16"/>
      <c r="O19" s="39">
        <v>7</v>
      </c>
      <c r="P19" s="109" t="s">
        <v>21</v>
      </c>
      <c r="Q19" s="110"/>
      <c r="R19" s="5"/>
    </row>
    <row r="20" spans="1:18" ht="12" customHeight="1" x14ac:dyDescent="0.2">
      <c r="A20" s="33"/>
      <c r="B20" s="67"/>
      <c r="C20" s="16" t="s">
        <v>77</v>
      </c>
      <c r="D20" s="3" t="s">
        <v>18</v>
      </c>
      <c r="E20" s="59">
        <v>2</v>
      </c>
      <c r="F20" s="3">
        <v>1.5</v>
      </c>
      <c r="G20" s="3">
        <v>2</v>
      </c>
      <c r="H20" s="69">
        <v>3</v>
      </c>
      <c r="I20" s="30"/>
      <c r="J20" s="61"/>
      <c r="K20" s="16"/>
      <c r="L20" s="35"/>
      <c r="M20" s="16"/>
      <c r="N20" s="16"/>
      <c r="O20" s="65">
        <v>2</v>
      </c>
      <c r="P20" s="109" t="s">
        <v>22</v>
      </c>
      <c r="Q20" s="110"/>
      <c r="R20" s="5"/>
    </row>
    <row r="21" spans="1:18" ht="12" customHeight="1" x14ac:dyDescent="0.2">
      <c r="A21" s="33"/>
      <c r="B21" s="67"/>
      <c r="C21" s="16" t="s">
        <v>25</v>
      </c>
      <c r="D21" s="3" t="s">
        <v>19</v>
      </c>
      <c r="E21" s="59">
        <v>2</v>
      </c>
      <c r="F21" s="70">
        <v>0.5</v>
      </c>
      <c r="G21" s="70">
        <v>0.75</v>
      </c>
      <c r="H21" s="71">
        <v>0.9</v>
      </c>
      <c r="I21" s="30"/>
      <c r="J21" s="232" t="s">
        <v>177</v>
      </c>
      <c r="K21" s="16"/>
      <c r="L21" s="35"/>
      <c r="M21" s="16"/>
      <c r="N21" s="16"/>
      <c r="O21" s="82">
        <v>0.75</v>
      </c>
      <c r="P21" s="109" t="s">
        <v>25</v>
      </c>
      <c r="Q21" s="110"/>
      <c r="R21" s="5"/>
    </row>
    <row r="22" spans="1:18" ht="12" customHeight="1" x14ac:dyDescent="0.2">
      <c r="A22" s="33"/>
      <c r="B22" s="67"/>
      <c r="C22" s="16" t="s">
        <v>43</v>
      </c>
      <c r="D22" s="3" t="s">
        <v>19</v>
      </c>
      <c r="E22" s="59">
        <v>2</v>
      </c>
      <c r="F22" s="70">
        <v>0.4</v>
      </c>
      <c r="G22" s="70">
        <v>0.5</v>
      </c>
      <c r="H22" s="71">
        <v>0.75</v>
      </c>
      <c r="I22" s="30"/>
      <c r="J22" s="232" t="s">
        <v>176</v>
      </c>
      <c r="K22" s="16"/>
      <c r="L22" s="35"/>
      <c r="M22" s="16"/>
      <c r="N22" s="16"/>
      <c r="O22" s="82">
        <v>0.5</v>
      </c>
      <c r="P22" s="109" t="s">
        <v>44</v>
      </c>
      <c r="Q22" s="110"/>
      <c r="R22" s="5"/>
    </row>
    <row r="23" spans="1:18" ht="12" customHeight="1" x14ac:dyDescent="0.2">
      <c r="A23" s="33"/>
      <c r="B23" s="67"/>
      <c r="C23" s="2"/>
      <c r="D23" s="3"/>
      <c r="E23" s="59"/>
      <c r="F23" s="3"/>
      <c r="G23" s="3"/>
      <c r="H23" s="69"/>
      <c r="I23" s="30"/>
      <c r="J23" s="61"/>
      <c r="K23" s="16"/>
      <c r="L23" s="35"/>
      <c r="M23" s="16"/>
      <c r="N23" s="16"/>
      <c r="O23" s="39"/>
      <c r="P23" s="109"/>
      <c r="Q23" s="110"/>
      <c r="R23" s="5"/>
    </row>
    <row r="24" spans="1:18" ht="12" customHeight="1" x14ac:dyDescent="0.2">
      <c r="A24" s="33"/>
      <c r="B24" s="67" t="s">
        <v>26</v>
      </c>
      <c r="C24" s="2"/>
      <c r="D24" s="3"/>
      <c r="E24" s="59"/>
      <c r="F24" s="3"/>
      <c r="G24" s="3"/>
      <c r="H24" s="69"/>
      <c r="I24" s="30"/>
      <c r="J24" s="232" t="s">
        <v>178</v>
      </c>
      <c r="K24" s="16"/>
      <c r="L24" s="35"/>
      <c r="M24" s="16"/>
      <c r="N24" s="16"/>
      <c r="O24" s="39"/>
      <c r="P24" s="109"/>
      <c r="Q24" s="110"/>
      <c r="R24" s="5"/>
    </row>
    <row r="25" spans="1:18" ht="12" customHeight="1" x14ac:dyDescent="0.2">
      <c r="A25" s="33"/>
      <c r="B25" s="67"/>
      <c r="C25" s="16" t="s">
        <v>63</v>
      </c>
      <c r="D25" s="3" t="s">
        <v>19</v>
      </c>
      <c r="E25" s="59">
        <v>2</v>
      </c>
      <c r="F25" s="70"/>
      <c r="G25" s="153">
        <v>0.1</v>
      </c>
      <c r="H25" s="71"/>
      <c r="I25" s="30"/>
      <c r="J25" s="232" t="s">
        <v>179</v>
      </c>
      <c r="K25" s="16"/>
      <c r="L25" s="35"/>
      <c r="M25" s="16"/>
      <c r="N25" s="16"/>
      <c r="O25" s="82">
        <v>0.1</v>
      </c>
      <c r="P25" s="109" t="s">
        <v>64</v>
      </c>
      <c r="Q25" s="110"/>
      <c r="R25" s="5"/>
    </row>
    <row r="26" spans="1:18" ht="12" customHeight="1" x14ac:dyDescent="0.2">
      <c r="A26" s="33"/>
      <c r="B26" s="67"/>
      <c r="C26" s="16" t="s">
        <v>65</v>
      </c>
      <c r="D26" s="3" t="s">
        <v>19</v>
      </c>
      <c r="E26" s="59">
        <v>2</v>
      </c>
      <c r="F26" s="70"/>
      <c r="G26" s="70">
        <v>0.3</v>
      </c>
      <c r="H26" s="71"/>
      <c r="I26" s="30"/>
      <c r="J26" s="232" t="s">
        <v>180</v>
      </c>
      <c r="K26" s="16"/>
      <c r="L26" s="35"/>
      <c r="M26" s="16"/>
      <c r="N26" s="16"/>
      <c r="O26" s="82">
        <v>0.3</v>
      </c>
      <c r="P26" s="109" t="s">
        <v>66</v>
      </c>
      <c r="Q26" s="110"/>
      <c r="R26" s="5"/>
    </row>
    <row r="27" spans="1:18" ht="12" customHeight="1" x14ac:dyDescent="0.2">
      <c r="A27" s="33"/>
      <c r="B27" s="67"/>
      <c r="C27" s="2"/>
      <c r="D27" s="3"/>
      <c r="E27" s="59"/>
      <c r="F27" s="70"/>
      <c r="G27" s="70"/>
      <c r="H27" s="71"/>
      <c r="I27" s="30"/>
      <c r="J27" s="61"/>
      <c r="K27" s="16"/>
      <c r="L27" s="35"/>
      <c r="M27" s="16"/>
      <c r="N27" s="16"/>
      <c r="O27" s="82"/>
      <c r="P27" s="109"/>
      <c r="Q27" s="110"/>
      <c r="R27" s="5"/>
    </row>
    <row r="28" spans="1:18" ht="12" customHeight="1" x14ac:dyDescent="0.2">
      <c r="A28" s="33"/>
      <c r="B28" s="67" t="s">
        <v>67</v>
      </c>
      <c r="C28" s="2"/>
      <c r="D28" s="3"/>
      <c r="E28" s="59"/>
      <c r="F28" s="70"/>
      <c r="G28" s="70"/>
      <c r="H28" s="71"/>
      <c r="I28" s="30"/>
      <c r="J28" s="61"/>
      <c r="K28" s="16"/>
      <c r="L28" s="35"/>
      <c r="M28" s="16"/>
      <c r="N28" s="16"/>
      <c r="O28" s="82"/>
      <c r="P28" s="109"/>
      <c r="Q28" s="110"/>
      <c r="R28" s="5"/>
    </row>
    <row r="29" spans="1:18" ht="12" customHeight="1" x14ac:dyDescent="0.2">
      <c r="A29" s="33"/>
      <c r="B29" s="67"/>
      <c r="C29" s="16" t="s">
        <v>68</v>
      </c>
      <c r="D29" s="3" t="s">
        <v>19</v>
      </c>
      <c r="E29" s="59">
        <v>2</v>
      </c>
      <c r="F29" s="70">
        <v>0.25</v>
      </c>
      <c r="G29" s="70">
        <v>0.35</v>
      </c>
      <c r="H29" s="71">
        <v>0.45</v>
      </c>
      <c r="I29" s="30"/>
      <c r="J29" s="232" t="s">
        <v>181</v>
      </c>
      <c r="K29" s="16"/>
      <c r="L29" s="35"/>
      <c r="M29" s="16"/>
      <c r="N29" s="16"/>
      <c r="O29" s="82">
        <v>0.35</v>
      </c>
      <c r="P29" s="109" t="s">
        <v>69</v>
      </c>
      <c r="Q29" s="110"/>
      <c r="R29" s="5"/>
    </row>
    <row r="30" spans="1:18" ht="12" customHeight="1" x14ac:dyDescent="0.2">
      <c r="A30" s="33"/>
      <c r="B30" s="67"/>
      <c r="C30" s="16" t="s">
        <v>70</v>
      </c>
      <c r="D30" s="3" t="s">
        <v>19</v>
      </c>
      <c r="E30" s="59">
        <v>2</v>
      </c>
      <c r="F30" s="70">
        <v>0.05</v>
      </c>
      <c r="G30" s="70">
        <v>0.1</v>
      </c>
      <c r="H30" s="71">
        <v>0.15</v>
      </c>
      <c r="I30" s="30"/>
      <c r="J30" s="232" t="s">
        <v>182</v>
      </c>
      <c r="K30" s="16"/>
      <c r="L30" s="35"/>
      <c r="M30" s="16"/>
      <c r="N30" s="16"/>
      <c r="O30" s="82">
        <v>0.1</v>
      </c>
      <c r="P30" s="109" t="s">
        <v>71</v>
      </c>
      <c r="Q30" s="110"/>
      <c r="R30" s="5"/>
    </row>
    <row r="31" spans="1:18" x14ac:dyDescent="0.2">
      <c r="A31" s="33"/>
      <c r="B31" s="67"/>
      <c r="C31" s="16" t="s">
        <v>72</v>
      </c>
      <c r="D31" s="3" t="s">
        <v>19</v>
      </c>
      <c r="E31" s="59">
        <v>2</v>
      </c>
      <c r="F31" s="70">
        <v>0.02</v>
      </c>
      <c r="G31" s="70">
        <v>0.03</v>
      </c>
      <c r="H31" s="71">
        <v>0.04</v>
      </c>
      <c r="I31" s="30"/>
      <c r="J31" s="232" t="s">
        <v>183</v>
      </c>
      <c r="K31" s="136"/>
      <c r="L31" s="35"/>
      <c r="M31" s="16"/>
      <c r="N31" s="16"/>
      <c r="O31" s="82">
        <v>0.03</v>
      </c>
      <c r="P31" s="109" t="s">
        <v>73</v>
      </c>
      <c r="Q31" s="110"/>
    </row>
    <row r="32" spans="1:18" x14ac:dyDescent="0.2">
      <c r="A32" s="33"/>
      <c r="B32" s="67"/>
      <c r="C32" s="16" t="s">
        <v>87</v>
      </c>
      <c r="D32" s="3" t="s">
        <v>19</v>
      </c>
      <c r="E32" s="59">
        <v>2</v>
      </c>
      <c r="F32" s="70">
        <v>0.1</v>
      </c>
      <c r="G32" s="70">
        <v>0.17</v>
      </c>
      <c r="H32" s="71">
        <v>0.25</v>
      </c>
      <c r="I32" s="30"/>
      <c r="J32" s="269" t="s">
        <v>176</v>
      </c>
      <c r="K32" s="16"/>
      <c r="L32" s="35"/>
      <c r="M32" s="16"/>
      <c r="N32" s="16"/>
      <c r="O32" s="82">
        <v>0.17</v>
      </c>
      <c r="P32" s="109" t="s">
        <v>84</v>
      </c>
      <c r="Q32" s="110"/>
      <c r="R32" s="5"/>
    </row>
    <row r="33" spans="1:19" x14ac:dyDescent="0.2">
      <c r="A33" s="33"/>
      <c r="B33" s="67"/>
      <c r="C33" s="16" t="s">
        <v>85</v>
      </c>
      <c r="D33" s="3" t="s">
        <v>19</v>
      </c>
      <c r="E33" s="59">
        <v>2</v>
      </c>
      <c r="F33" s="70">
        <v>0.01</v>
      </c>
      <c r="G33" s="70">
        <v>0.03</v>
      </c>
      <c r="H33" s="71">
        <v>0.05</v>
      </c>
      <c r="I33" s="30"/>
      <c r="J33" s="232" t="s">
        <v>184</v>
      </c>
      <c r="K33" s="16"/>
      <c r="L33" s="35"/>
      <c r="M33" s="16"/>
      <c r="N33" s="16"/>
      <c r="O33" s="82">
        <v>0.03</v>
      </c>
      <c r="P33" s="109" t="s">
        <v>86</v>
      </c>
      <c r="Q33" s="110"/>
      <c r="R33" s="5"/>
    </row>
    <row r="34" spans="1:19" x14ac:dyDescent="0.2">
      <c r="A34" s="33"/>
      <c r="B34" s="67"/>
      <c r="C34" s="2"/>
      <c r="D34" s="3"/>
      <c r="E34" s="59"/>
      <c r="F34" s="3"/>
      <c r="G34" s="3"/>
      <c r="H34" s="69"/>
      <c r="I34" s="30"/>
      <c r="J34" s="61"/>
      <c r="K34" s="16"/>
      <c r="L34" s="35"/>
      <c r="M34" s="16"/>
      <c r="N34" s="16"/>
      <c r="O34" s="39"/>
      <c r="P34" s="109"/>
      <c r="Q34" s="110"/>
      <c r="R34" s="5"/>
    </row>
    <row r="35" spans="1:19" x14ac:dyDescent="0.2">
      <c r="A35" s="33"/>
      <c r="B35" s="67" t="s">
        <v>27</v>
      </c>
      <c r="C35" s="2"/>
      <c r="D35" s="3"/>
      <c r="E35" s="59"/>
      <c r="F35" s="3"/>
      <c r="G35" s="3"/>
      <c r="H35" s="69"/>
      <c r="I35" s="30"/>
      <c r="J35" s="61"/>
      <c r="K35" s="16"/>
      <c r="L35" s="35"/>
      <c r="M35" s="16"/>
      <c r="N35" s="16"/>
      <c r="O35" s="39"/>
      <c r="P35" s="109"/>
      <c r="Q35" s="110"/>
      <c r="R35" s="5"/>
    </row>
    <row r="36" spans="1:19" x14ac:dyDescent="0.2">
      <c r="A36" s="33"/>
      <c r="B36" s="67"/>
      <c r="C36" s="16" t="s">
        <v>54</v>
      </c>
      <c r="D36" s="3" t="s">
        <v>2</v>
      </c>
      <c r="E36" s="59">
        <v>2</v>
      </c>
      <c r="F36" s="3">
        <v>3</v>
      </c>
      <c r="G36" s="3">
        <v>5</v>
      </c>
      <c r="H36" s="69">
        <v>7</v>
      </c>
      <c r="I36" s="30"/>
      <c r="J36" s="268" t="s">
        <v>220</v>
      </c>
      <c r="K36" s="16"/>
      <c r="L36" s="35"/>
      <c r="M36" s="16"/>
      <c r="N36" s="16"/>
      <c r="O36" s="39">
        <v>5</v>
      </c>
      <c r="P36" s="109" t="s">
        <v>55</v>
      </c>
      <c r="Q36" s="110"/>
      <c r="R36" s="5"/>
    </row>
    <row r="37" spans="1:19" x14ac:dyDescent="0.2">
      <c r="A37" s="33"/>
      <c r="B37" s="67"/>
      <c r="C37" s="16" t="s">
        <v>48</v>
      </c>
      <c r="D37" s="3" t="s">
        <v>19</v>
      </c>
      <c r="E37" s="59">
        <v>2</v>
      </c>
      <c r="F37" s="70">
        <v>0.3</v>
      </c>
      <c r="G37" s="70">
        <v>0.5</v>
      </c>
      <c r="H37" s="71">
        <v>0.8</v>
      </c>
      <c r="I37" s="30"/>
      <c r="J37" s="269" t="s">
        <v>176</v>
      </c>
      <c r="K37" s="16"/>
      <c r="L37" s="35"/>
      <c r="M37" s="16"/>
      <c r="N37" s="16"/>
      <c r="O37" s="113">
        <v>0.5</v>
      </c>
      <c r="P37" s="109" t="s">
        <v>45</v>
      </c>
      <c r="Q37" s="110"/>
      <c r="R37" s="5"/>
    </row>
    <row r="38" spans="1:19" x14ac:dyDescent="0.2">
      <c r="A38" s="33"/>
      <c r="B38" s="67"/>
      <c r="C38" s="16"/>
      <c r="D38" s="3"/>
      <c r="E38" s="59"/>
      <c r="F38" s="70"/>
      <c r="G38" s="70"/>
      <c r="H38" s="71"/>
      <c r="I38" s="30"/>
      <c r="J38" s="119"/>
      <c r="K38" s="16"/>
      <c r="L38" s="35"/>
      <c r="M38" s="16"/>
      <c r="N38" s="16"/>
      <c r="O38" s="113"/>
      <c r="P38" s="109"/>
      <c r="Q38" s="110"/>
      <c r="R38" s="5"/>
    </row>
    <row r="39" spans="1:19" x14ac:dyDescent="0.2">
      <c r="A39" s="33"/>
      <c r="B39" s="261"/>
      <c r="C39" s="257"/>
      <c r="D39" s="72"/>
      <c r="E39" s="262"/>
      <c r="F39" s="132"/>
      <c r="G39" s="132"/>
      <c r="H39" s="263"/>
      <c r="I39" s="264"/>
      <c r="J39" s="265"/>
      <c r="K39" s="56"/>
      <c r="L39" s="48"/>
      <c r="M39" s="56"/>
      <c r="N39" s="56"/>
      <c r="O39" s="266">
        <v>0</v>
      </c>
      <c r="P39" s="111"/>
      <c r="Q39" s="112"/>
      <c r="R39" s="5"/>
    </row>
    <row r="40" spans="1:19" x14ac:dyDescent="0.2">
      <c r="A40" s="33"/>
      <c r="B40" s="36"/>
      <c r="C40" s="2"/>
      <c r="D40" s="3"/>
      <c r="E40" s="38"/>
      <c r="F40" s="13"/>
      <c r="G40" s="13"/>
      <c r="H40" s="22"/>
      <c r="I40" s="27"/>
      <c r="J40" s="27"/>
      <c r="K40" s="17"/>
      <c r="O40" s="18"/>
      <c r="P40" s="5"/>
      <c r="Q40" s="5"/>
      <c r="R40" s="5"/>
    </row>
    <row r="41" spans="1:19" ht="16" x14ac:dyDescent="0.2">
      <c r="A41" s="14" t="s">
        <v>228</v>
      </c>
      <c r="B41" s="36"/>
      <c r="C41" s="2"/>
      <c r="D41" s="3"/>
      <c r="E41" s="38"/>
      <c r="F41" s="13"/>
      <c r="G41" s="13"/>
      <c r="H41" s="22"/>
      <c r="I41" s="27"/>
      <c r="J41" s="27"/>
      <c r="K41" s="17"/>
      <c r="O41" s="18"/>
      <c r="P41" s="5"/>
      <c r="Q41" s="5"/>
      <c r="R41" s="5"/>
    </row>
    <row r="42" spans="1:19" ht="16" x14ac:dyDescent="0.2">
      <c r="A42" s="14"/>
      <c r="C42" s="2"/>
      <c r="D42" s="3" t="s">
        <v>57</v>
      </c>
      <c r="E42" s="124" t="s">
        <v>58</v>
      </c>
      <c r="F42" s="125" t="s">
        <v>59</v>
      </c>
      <c r="G42" s="125" t="s">
        <v>60</v>
      </c>
      <c r="H42" s="22" t="s">
        <v>61</v>
      </c>
      <c r="I42" s="27" t="s">
        <v>11</v>
      </c>
      <c r="J42" s="27"/>
      <c r="K42" s="17"/>
      <c r="O42" s="18"/>
      <c r="P42" s="5"/>
      <c r="Q42" s="5"/>
    </row>
    <row r="43" spans="1:19" x14ac:dyDescent="0.2">
      <c r="A43" s="33"/>
      <c r="B43" s="36"/>
      <c r="C43" s="126" t="s">
        <v>4</v>
      </c>
      <c r="D43" s="127">
        <f>'Life Stage Assessments'!D5</f>
        <v>0.9</v>
      </c>
      <c r="E43" s="127">
        <f>'Life Stage Assessments'!E5</f>
        <v>0.9</v>
      </c>
      <c r="F43" s="127">
        <f>'Life Stage Assessments'!F5</f>
        <v>0.9</v>
      </c>
      <c r="G43" s="127">
        <f>'Life Stage Assessments'!G5</f>
        <v>0.9</v>
      </c>
      <c r="H43" s="128">
        <f>D43*E43*F43*G43</f>
        <v>0.65610000000000013</v>
      </c>
      <c r="I43" s="129" t="s">
        <v>38</v>
      </c>
      <c r="J43" s="29"/>
      <c r="K43" s="17"/>
      <c r="O43" s="18"/>
      <c r="P43" s="5"/>
      <c r="Q43" s="5"/>
    </row>
    <row r="44" spans="1:19" x14ac:dyDescent="0.2">
      <c r="B44" s="36"/>
      <c r="C44" s="84" t="s">
        <v>0</v>
      </c>
      <c r="D44" s="70">
        <f>'Life Stage Assessments'!D6</f>
        <v>0.8</v>
      </c>
      <c r="E44" s="70">
        <f>'Life Stage Assessments'!E6</f>
        <v>0.7</v>
      </c>
      <c r="F44" s="70">
        <f>'Life Stage Assessments'!F6</f>
        <v>0.9</v>
      </c>
      <c r="G44" s="70">
        <f>'Life Stage Assessments'!G6</f>
        <v>0.8</v>
      </c>
      <c r="H44" s="130">
        <f t="shared" ref="H44:H45" si="0">D44*E44*F44*G44</f>
        <v>0.4032</v>
      </c>
      <c r="I44" s="13" t="s">
        <v>24</v>
      </c>
      <c r="J44" s="75"/>
      <c r="K44" s="17"/>
      <c r="L44" s="104"/>
      <c r="O44" s="18"/>
      <c r="P44" s="5"/>
      <c r="Q44" s="5"/>
    </row>
    <row r="45" spans="1:19" x14ac:dyDescent="0.2">
      <c r="B45" s="36"/>
      <c r="C45" s="131" t="s">
        <v>62</v>
      </c>
      <c r="D45" s="132">
        <f>'Life Stage Assessments'!D7</f>
        <v>0.7</v>
      </c>
      <c r="E45" s="132">
        <f>'Life Stage Assessments'!E7</f>
        <v>0.75</v>
      </c>
      <c r="F45" s="132">
        <f>'Life Stage Assessments'!F7</f>
        <v>0.7</v>
      </c>
      <c r="G45" s="132">
        <f>'Life Stage Assessments'!G7</f>
        <v>0.8</v>
      </c>
      <c r="H45" s="133">
        <f t="shared" si="0"/>
        <v>0.29399999999999998</v>
      </c>
      <c r="I45" s="134" t="s">
        <v>39</v>
      </c>
      <c r="J45" s="60"/>
      <c r="K45" s="17"/>
      <c r="L45" s="104"/>
      <c r="O45" s="18"/>
      <c r="P45" s="5"/>
      <c r="Q45" s="5"/>
    </row>
    <row r="46" spans="1:19" x14ac:dyDescent="0.2">
      <c r="E46"/>
      <c r="F46" s="1"/>
      <c r="J46" s="23"/>
      <c r="M46" s="20"/>
      <c r="N46" s="20"/>
      <c r="O46" s="20"/>
      <c r="P46" s="32"/>
      <c r="Q46" s="32"/>
    </row>
    <row r="47" spans="1:19" x14ac:dyDescent="0.2">
      <c r="E47"/>
      <c r="F47" s="1"/>
      <c r="J47" s="23"/>
      <c r="M47" s="20"/>
      <c r="N47" s="32"/>
      <c r="O47" s="5"/>
      <c r="S47" s="5"/>
    </row>
    <row r="48" spans="1:19" ht="16" x14ac:dyDescent="0.2">
      <c r="A48" s="14" t="s">
        <v>17</v>
      </c>
      <c r="E48"/>
      <c r="F48" s="1"/>
      <c r="J48" s="23"/>
      <c r="M48" s="20"/>
      <c r="N48" s="32"/>
      <c r="O48" s="5"/>
      <c r="S48" s="5"/>
    </row>
    <row r="49" spans="2:23" x14ac:dyDescent="0.2">
      <c r="B49" s="4" t="s">
        <v>88</v>
      </c>
      <c r="C49" s="4"/>
      <c r="D49" s="12"/>
      <c r="E49" s="81"/>
      <c r="F49" s="77"/>
      <c r="G49" s="77"/>
      <c r="J49" s="79"/>
      <c r="K49" s="80"/>
      <c r="L49" s="78"/>
      <c r="M49" s="78"/>
      <c r="N49" s="5"/>
      <c r="O49" s="5"/>
      <c r="S49" s="154"/>
    </row>
    <row r="50" spans="2:23" ht="15" thickBot="1" x14ac:dyDescent="0.25">
      <c r="F50" s="123"/>
      <c r="G50" s="79"/>
      <c r="J50" s="79"/>
      <c r="K50" s="80"/>
      <c r="L50" s="78"/>
      <c r="M50" s="105"/>
      <c r="O50" s="83" t="s">
        <v>52</v>
      </c>
      <c r="P50" s="85"/>
      <c r="Q50" s="83" t="s">
        <v>47</v>
      </c>
    </row>
    <row r="51" spans="2:23" ht="15" thickBot="1" x14ac:dyDescent="0.25">
      <c r="C51" s="5" t="s">
        <v>161</v>
      </c>
      <c r="D51" s="1" t="s">
        <v>78</v>
      </c>
      <c r="E51" s="149">
        <f>Uncertainty!P25</f>
        <v>7000</v>
      </c>
      <c r="F51" s="151" t="s">
        <v>82</v>
      </c>
      <c r="G51" s="79"/>
      <c r="I51" s="120" t="s">
        <v>222</v>
      </c>
      <c r="J51" s="79"/>
      <c r="K51" s="80"/>
      <c r="L51" s="78"/>
      <c r="M51" s="83" t="s">
        <v>51</v>
      </c>
      <c r="N51" s="106" t="s">
        <v>50</v>
      </c>
      <c r="O51" s="83" t="s">
        <v>9</v>
      </c>
      <c r="P51" s="83" t="s">
        <v>74</v>
      </c>
      <c r="Q51" s="83" t="s">
        <v>74</v>
      </c>
      <c r="S51" s="5"/>
    </row>
    <row r="52" spans="2:23" ht="15" thickBot="1" x14ac:dyDescent="0.25">
      <c r="I52" s="79"/>
      <c r="J52" s="79"/>
      <c r="K52" s="80"/>
      <c r="L52" s="78"/>
      <c r="N52" s="78"/>
      <c r="O52" s="77"/>
      <c r="P52" s="117"/>
      <c r="S52" s="155"/>
    </row>
    <row r="53" spans="2:23" ht="15" thickBot="1" x14ac:dyDescent="0.25">
      <c r="C53" s="5" t="s">
        <v>226</v>
      </c>
      <c r="D53" s="1" t="s">
        <v>78</v>
      </c>
      <c r="E53" s="274">
        <f>SweetspotTAM*NicheSize</f>
        <v>1190</v>
      </c>
      <c r="F53" s="151" t="s">
        <v>227</v>
      </c>
      <c r="J53" s="79"/>
      <c r="K53" s="80"/>
      <c r="L53" s="97" t="s">
        <v>41</v>
      </c>
      <c r="M53" s="138">
        <f>L54*K56*J58*I60</f>
        <v>7.7774618880000011E-3</v>
      </c>
      <c r="N53" s="78">
        <f>SweetspotTAM*KingMktShare</f>
        <v>2450</v>
      </c>
      <c r="O53" s="78">
        <f>N53*SalesMult</f>
        <v>12250</v>
      </c>
      <c r="P53" s="118">
        <f>O53*ownershipAtExit/Investment</f>
        <v>340.27777777777777</v>
      </c>
      <c r="Q53" s="114">
        <f>M53*P53</f>
        <v>2.6464974480000003</v>
      </c>
    </row>
    <row r="54" spans="2:23" ht="15" thickBot="1" x14ac:dyDescent="0.25">
      <c r="C54" s="121"/>
      <c r="D54" s="125"/>
      <c r="E54" s="137"/>
      <c r="F54" s="78"/>
      <c r="G54" s="79"/>
      <c r="I54" s="79"/>
      <c r="J54" s="79"/>
      <c r="K54" s="80"/>
      <c r="L54" s="84">
        <f>KingChance</f>
        <v>0.1</v>
      </c>
      <c r="M54" s="104"/>
      <c r="N54" s="78"/>
      <c r="O54" s="78"/>
      <c r="P54" s="118"/>
    </row>
    <row r="55" spans="2:23" ht="15" thickBot="1" x14ac:dyDescent="0.25">
      <c r="C55" s="121" t="s">
        <v>79</v>
      </c>
      <c r="D55" s="1" t="s">
        <v>78</v>
      </c>
      <c r="E55" s="150">
        <f>Uncertainty!P27</f>
        <v>14000</v>
      </c>
      <c r="F55" s="152" t="s">
        <v>83</v>
      </c>
      <c r="G55" s="79"/>
      <c r="I55" s="79"/>
      <c r="J55" s="79"/>
      <c r="K55" s="95" t="s">
        <v>6</v>
      </c>
      <c r="L55" s="98" t="s">
        <v>42</v>
      </c>
      <c r="M55" s="138">
        <f>I60*J58*K56*L56</f>
        <v>2.3332385664000001E-2</v>
      </c>
      <c r="N55" s="78">
        <f>SweetspotTAM*PrinceMktShare</f>
        <v>700</v>
      </c>
      <c r="O55" s="78">
        <f>N55*SalesMult</f>
        <v>3500</v>
      </c>
      <c r="P55" s="118">
        <f>O55*ownershipAtExit/Investment</f>
        <v>97.222222222222214</v>
      </c>
      <c r="Q55" s="114">
        <f>M55*P55</f>
        <v>2.2684263840000001</v>
      </c>
    </row>
    <row r="56" spans="2:23" x14ac:dyDescent="0.2">
      <c r="E56" s="135"/>
      <c r="F56" s="78"/>
      <c r="G56" s="79"/>
      <c r="I56" s="79"/>
      <c r="J56" s="79"/>
      <c r="K56" s="93">
        <f>MainstreamSuccess</f>
        <v>0.29399999999999998</v>
      </c>
      <c r="L56" s="84">
        <f>PrinceChance</f>
        <v>0.3</v>
      </c>
      <c r="M56" s="104"/>
      <c r="N56" s="78"/>
      <c r="O56" s="78"/>
      <c r="P56" s="118"/>
      <c r="Q56" s="4"/>
      <c r="T56" s="159"/>
      <c r="U56" s="159"/>
      <c r="V56" s="159"/>
      <c r="W56" s="159"/>
    </row>
    <row r="57" spans="2:23" x14ac:dyDescent="0.2">
      <c r="B57" s="4" t="s">
        <v>29</v>
      </c>
      <c r="D57"/>
      <c r="E57"/>
      <c r="F57" s="78"/>
      <c r="G57" s="79"/>
      <c r="I57" s="79"/>
      <c r="J57" s="90" t="s">
        <v>0</v>
      </c>
      <c r="K57" s="94"/>
      <c r="L57" s="98" t="s">
        <v>46</v>
      </c>
      <c r="M57" s="138">
        <f>I60*J58*K56*L58</f>
        <v>4.6664771328000003E-2</v>
      </c>
      <c r="N57" s="78">
        <f>SweetspotTAM*SerfMktShare</f>
        <v>210</v>
      </c>
      <c r="O57" s="78">
        <f>N57*SalesMult</f>
        <v>1050</v>
      </c>
      <c r="P57" s="118">
        <f>O57*ownershipAtExit/Investment</f>
        <v>29.166666666666664</v>
      </c>
      <c r="Q57" s="114">
        <f>M57*P57</f>
        <v>1.3610558304</v>
      </c>
      <c r="T57" s="159"/>
      <c r="U57" s="379"/>
      <c r="V57" s="278"/>
      <c r="W57" s="278"/>
    </row>
    <row r="58" spans="2:23" x14ac:dyDescent="0.2">
      <c r="B58"/>
      <c r="C58" t="s">
        <v>30</v>
      </c>
      <c r="D58" s="1" t="s">
        <v>18</v>
      </c>
      <c r="E58" s="83">
        <f>Investment</f>
        <v>0.5</v>
      </c>
      <c r="F58" s="78"/>
      <c r="G58" s="79"/>
      <c r="I58" s="79"/>
      <c r="J58" s="87">
        <f>CrossChasm</f>
        <v>0.4032</v>
      </c>
      <c r="K58" s="94"/>
      <c r="L58" s="2">
        <f>1-L56-L54</f>
        <v>0.6</v>
      </c>
      <c r="M58" s="104"/>
      <c r="N58" s="78"/>
      <c r="O58" s="78"/>
      <c r="P58" s="117"/>
      <c r="Q58" s="4"/>
      <c r="T58" s="159"/>
      <c r="U58" s="371"/>
      <c r="V58" s="380"/>
      <c r="W58" s="192"/>
    </row>
    <row r="59" spans="2:23" x14ac:dyDescent="0.2">
      <c r="B59"/>
      <c r="C59" t="s">
        <v>31</v>
      </c>
      <c r="D59" s="1" t="s">
        <v>18</v>
      </c>
      <c r="E59" s="83">
        <f>InitialRoundSize</f>
        <v>2</v>
      </c>
      <c r="F59" s="78"/>
      <c r="G59" s="79"/>
      <c r="I59" s="101" t="s">
        <v>4</v>
      </c>
      <c r="J59" s="88"/>
      <c r="K59" s="96" t="s">
        <v>5</v>
      </c>
      <c r="L59" s="99"/>
      <c r="M59" s="104">
        <f>I60*J58*K60</f>
        <v>0.18676490112000002</v>
      </c>
      <c r="N59" s="78">
        <f>NicheTAM*NicheMarketShare</f>
        <v>35.699999999999996</v>
      </c>
      <c r="O59" s="78">
        <f>N59*SalesMult*NicheMultDisc</f>
        <v>89.249999999999986</v>
      </c>
      <c r="P59" s="118">
        <f>O59*NicheOwnershipAtExit/Investment</f>
        <v>4.9583333333333321</v>
      </c>
      <c r="Q59" s="114">
        <f>M59*P59</f>
        <v>0.92604263471999992</v>
      </c>
      <c r="T59" s="159"/>
      <c r="U59" s="371"/>
      <c r="V59" s="380"/>
      <c r="W59" s="192"/>
    </row>
    <row r="60" spans="2:23" x14ac:dyDescent="0.2">
      <c r="B60"/>
      <c r="C60" t="s">
        <v>37</v>
      </c>
      <c r="D60" s="1" t="s">
        <v>18</v>
      </c>
      <c r="E60" s="139">
        <f>PreMoneyValue</f>
        <v>7</v>
      </c>
      <c r="F60" s="78"/>
      <c r="G60" s="79"/>
      <c r="I60" s="103">
        <f>EarlySuccess</f>
        <v>0.65610000000000013</v>
      </c>
      <c r="J60" s="89"/>
      <c r="K60" s="92">
        <f>1-MainstreamSuccess</f>
        <v>0.70599999999999996</v>
      </c>
      <c r="L60" s="78"/>
      <c r="M60" s="104"/>
      <c r="N60" s="78"/>
      <c r="O60" s="78"/>
      <c r="P60" s="117"/>
      <c r="Q60" s="4"/>
      <c r="T60" s="159"/>
      <c r="U60" s="159"/>
      <c r="V60" s="159"/>
      <c r="W60" s="159"/>
    </row>
    <row r="61" spans="2:23" x14ac:dyDescent="0.2">
      <c r="B61"/>
      <c r="C61" t="s">
        <v>32</v>
      </c>
      <c r="D61" s="1" t="s">
        <v>18</v>
      </c>
      <c r="E61" s="83">
        <f>E59+E60</f>
        <v>9</v>
      </c>
      <c r="F61" s="4"/>
      <c r="G61" s="79"/>
      <c r="I61" s="88"/>
      <c r="J61" s="91" t="s">
        <v>49</v>
      </c>
      <c r="K61" s="100"/>
      <c r="L61" s="99"/>
      <c r="M61" s="104">
        <f>I60*J62</f>
        <v>0.3915604800000001</v>
      </c>
      <c r="N61" s="78">
        <v>0</v>
      </c>
      <c r="O61" s="78">
        <v>0</v>
      </c>
      <c r="P61" s="117">
        <v>0</v>
      </c>
      <c r="Q61" s="114">
        <f>M61*P61</f>
        <v>0</v>
      </c>
      <c r="T61" s="159"/>
      <c r="U61" s="159"/>
      <c r="V61" s="159"/>
      <c r="W61" s="159"/>
    </row>
    <row r="62" spans="2:23" x14ac:dyDescent="0.2">
      <c r="C62" s="5"/>
      <c r="D62" s="6"/>
      <c r="E62" s="140"/>
      <c r="F62" s="4"/>
      <c r="G62" s="79"/>
      <c r="I62" s="102"/>
      <c r="J62" s="86">
        <f>1-CrossChasm</f>
        <v>0.5968</v>
      </c>
      <c r="K62" s="80"/>
      <c r="L62" s="78"/>
      <c r="M62" s="104"/>
      <c r="N62" s="78"/>
      <c r="O62" s="78"/>
      <c r="P62" s="117"/>
      <c r="Q62" s="4"/>
      <c r="T62" s="159"/>
      <c r="U62" s="371"/>
      <c r="V62" s="283"/>
      <c r="W62" s="362"/>
    </row>
    <row r="63" spans="2:23" x14ac:dyDescent="0.2">
      <c r="B63"/>
      <c r="C63" t="s">
        <v>33</v>
      </c>
      <c r="D63" s="1" t="s">
        <v>19</v>
      </c>
      <c r="E63" s="141">
        <f>E58/E61</f>
        <v>5.5555555555555552E-2</v>
      </c>
      <c r="F63" s="4"/>
      <c r="G63" s="79"/>
      <c r="I63" s="88"/>
      <c r="J63" s="79"/>
      <c r="K63" s="80"/>
      <c r="L63" s="78"/>
      <c r="M63" s="104"/>
      <c r="N63" s="78"/>
      <c r="O63" s="78"/>
      <c r="P63" s="117"/>
      <c r="Q63" s="4"/>
      <c r="T63" s="159"/>
      <c r="U63" s="159"/>
      <c r="V63" s="159"/>
      <c r="W63" s="362"/>
    </row>
    <row r="64" spans="2:23" x14ac:dyDescent="0.2">
      <c r="B64"/>
      <c r="C64" s="5" t="s">
        <v>223</v>
      </c>
      <c r="D64" s="1" t="s">
        <v>19</v>
      </c>
      <c r="E64" s="142">
        <f>Dilution</f>
        <v>0.75</v>
      </c>
      <c r="F64" s="78"/>
      <c r="G64" s="79"/>
      <c r="I64" s="91" t="s">
        <v>3</v>
      </c>
      <c r="J64" s="90"/>
      <c r="K64" s="100"/>
      <c r="L64" s="99"/>
      <c r="M64" s="104">
        <f>I65</f>
        <v>0.34389999999999987</v>
      </c>
      <c r="N64" s="78">
        <v>0</v>
      </c>
      <c r="O64" s="78">
        <v>0</v>
      </c>
      <c r="P64" s="117">
        <v>0</v>
      </c>
      <c r="Q64" s="114">
        <f>M64*P64</f>
        <v>0</v>
      </c>
      <c r="T64" s="159"/>
      <c r="U64" s="371"/>
      <c r="V64" s="283"/>
      <c r="W64" s="362"/>
    </row>
    <row r="65" spans="2:23" x14ac:dyDescent="0.2">
      <c r="B65"/>
      <c r="C65" s="5" t="s">
        <v>224</v>
      </c>
      <c r="D65" s="1" t="s">
        <v>19</v>
      </c>
      <c r="E65" s="141">
        <f>E63*(1-E64)</f>
        <v>1.3888888888888888E-2</v>
      </c>
      <c r="F65" s="78"/>
      <c r="G65" s="79"/>
      <c r="I65" s="86">
        <f>1-EarlySuccess</f>
        <v>0.34389999999999987</v>
      </c>
      <c r="J65" s="79"/>
      <c r="K65" s="80"/>
      <c r="L65" s="78"/>
      <c r="M65" s="78"/>
      <c r="N65" s="77"/>
      <c r="O65" s="77"/>
      <c r="P65" s="77"/>
      <c r="Q65" s="4"/>
      <c r="T65" s="159"/>
      <c r="U65" s="159"/>
      <c r="V65" s="159"/>
      <c r="W65" s="159"/>
    </row>
    <row r="66" spans="2:23" x14ac:dyDescent="0.2">
      <c r="G66" s="79"/>
      <c r="I66" s="79"/>
      <c r="J66" s="79"/>
      <c r="K66" s="80"/>
      <c r="L66" s="78"/>
      <c r="M66" s="228">
        <f>SUM(M53:M64)</f>
        <v>1</v>
      </c>
      <c r="N66" s="229"/>
      <c r="O66" s="229"/>
      <c r="P66" s="230"/>
      <c r="Q66" s="231">
        <f t="array" ref="Q66">SUM(M53:M64*P53:P64)</f>
        <v>7.2020222971200001</v>
      </c>
      <c r="T66" s="159"/>
      <c r="U66" s="159"/>
      <c r="V66" s="159"/>
      <c r="W66" s="159"/>
    </row>
    <row r="67" spans="2:23" x14ac:dyDescent="0.2">
      <c r="C67" s="5" t="s">
        <v>43</v>
      </c>
      <c r="D67" s="6" t="s">
        <v>19</v>
      </c>
      <c r="E67" s="272">
        <f>NicheDilution</f>
        <v>0.5</v>
      </c>
      <c r="G67" s="79"/>
      <c r="I67" s="115"/>
      <c r="J67" s="115"/>
      <c r="K67" s="116"/>
      <c r="L67" s="367"/>
      <c r="M67" s="157"/>
      <c r="N67" s="224"/>
      <c r="O67" s="157"/>
      <c r="P67" s="157"/>
      <c r="Q67" s="341"/>
      <c r="R67" s="157"/>
      <c r="S67" s="157"/>
      <c r="T67" s="159"/>
      <c r="U67" s="159"/>
      <c r="V67" s="159"/>
      <c r="W67" s="159"/>
    </row>
    <row r="68" spans="2:23" x14ac:dyDescent="0.2">
      <c r="C68" s="5" t="s">
        <v>225</v>
      </c>
      <c r="D68" s="6"/>
      <c r="E68" s="273">
        <f>E63*(1-NicheDilution)</f>
        <v>2.7777777777777776E-2</v>
      </c>
      <c r="F68" s="78"/>
      <c r="G68" s="79"/>
      <c r="H68" s="3"/>
      <c r="I68" s="115"/>
      <c r="J68" s="115"/>
      <c r="K68" s="116"/>
      <c r="L68" s="367"/>
      <c r="M68" s="157"/>
      <c r="N68" s="335"/>
      <c r="O68" s="335"/>
      <c r="P68" s="335"/>
      <c r="Q68" s="368"/>
      <c r="R68" s="157"/>
      <c r="S68" s="157"/>
      <c r="T68" s="159"/>
      <c r="U68" s="159"/>
      <c r="V68" s="159"/>
      <c r="W68" s="159"/>
    </row>
    <row r="69" spans="2:23" x14ac:dyDescent="0.2">
      <c r="C69" s="5"/>
      <c r="D69" s="6"/>
      <c r="E69" s="143"/>
      <c r="G69" s="79"/>
      <c r="H69" s="18"/>
      <c r="I69" s="18"/>
      <c r="J69" s="145"/>
      <c r="K69" s="147"/>
      <c r="L69" s="147"/>
      <c r="M69" s="5"/>
      <c r="N69" s="5"/>
      <c r="O69" s="5"/>
      <c r="P69" s="5"/>
      <c r="S69" s="157"/>
      <c r="T69" s="159"/>
      <c r="U69" s="159"/>
      <c r="V69" s="159"/>
      <c r="W69" s="159"/>
    </row>
    <row r="70" spans="2:23" x14ac:dyDescent="0.2">
      <c r="H70" s="18"/>
      <c r="J70" s="79"/>
      <c r="K70" s="80"/>
      <c r="L70" s="78"/>
      <c r="M70" s="105"/>
      <c r="O70" s="83" t="s">
        <v>52</v>
      </c>
      <c r="P70" s="85"/>
      <c r="Q70" s="83" t="s">
        <v>47</v>
      </c>
      <c r="S70" s="157"/>
      <c r="T70" s="159"/>
      <c r="U70" s="159"/>
      <c r="V70" s="159"/>
      <c r="W70" s="159"/>
    </row>
    <row r="71" spans="2:23" x14ac:dyDescent="0.2">
      <c r="H71" s="18"/>
      <c r="I71" s="120" t="s">
        <v>81</v>
      </c>
      <c r="J71" s="79"/>
      <c r="K71" s="80"/>
      <c r="L71" s="78"/>
      <c r="M71" s="83" t="s">
        <v>51</v>
      </c>
      <c r="N71" s="106" t="s">
        <v>50</v>
      </c>
      <c r="O71" s="83" t="s">
        <v>9</v>
      </c>
      <c r="P71" s="83" t="s">
        <v>74</v>
      </c>
      <c r="Q71" s="83" t="s">
        <v>74</v>
      </c>
      <c r="S71" s="157"/>
      <c r="T71" s="159"/>
      <c r="U71" s="159"/>
      <c r="V71" s="159"/>
      <c r="W71" s="159"/>
    </row>
    <row r="72" spans="2:23" x14ac:dyDescent="0.2">
      <c r="H72" s="18"/>
      <c r="I72" s="79"/>
      <c r="J72" s="79"/>
      <c r="K72" s="80"/>
      <c r="L72" s="78"/>
      <c r="N72" s="78"/>
      <c r="O72" s="77"/>
      <c r="P72" s="117"/>
      <c r="S72" s="157"/>
      <c r="T72" s="159"/>
      <c r="U72" s="159"/>
      <c r="V72" s="159"/>
      <c r="W72" s="159"/>
    </row>
    <row r="73" spans="2:23" x14ac:dyDescent="0.2">
      <c r="G73" s="79"/>
      <c r="H73" s="18"/>
      <c r="J73" s="79"/>
      <c r="K73" s="80"/>
      <c r="L73" s="97" t="s">
        <v>41</v>
      </c>
      <c r="M73" s="138">
        <f>L74*K76*J78*I80</f>
        <v>7.7774618880000011E-3</v>
      </c>
      <c r="N73" s="78">
        <f>TotalTAM*KingMktShare</f>
        <v>4900</v>
      </c>
      <c r="O73" s="78">
        <f>N73*SalesMult</f>
        <v>24500</v>
      </c>
      <c r="P73" s="118">
        <f>O73*E$65/Investment</f>
        <v>680.55555555555554</v>
      </c>
      <c r="Q73" s="114">
        <f>M73*P73</f>
        <v>5.2929948960000006</v>
      </c>
      <c r="S73" s="157"/>
      <c r="T73" s="159"/>
      <c r="U73" s="159"/>
      <c r="V73" s="159"/>
      <c r="W73" s="159"/>
    </row>
    <row r="74" spans="2:23" x14ac:dyDescent="0.2">
      <c r="G74" s="79"/>
      <c r="H74" s="18"/>
      <c r="I74" s="79"/>
      <c r="J74" s="79"/>
      <c r="K74" s="80"/>
      <c r="L74" s="84">
        <f>KingChance</f>
        <v>0.1</v>
      </c>
      <c r="M74" s="104"/>
      <c r="N74" s="78"/>
      <c r="O74" s="78"/>
      <c r="P74" s="118"/>
      <c r="T74" s="159"/>
      <c r="U74" s="371"/>
      <c r="V74" s="381"/>
      <c r="W74" s="159"/>
    </row>
    <row r="75" spans="2:23" x14ac:dyDescent="0.2">
      <c r="G75" s="79"/>
      <c r="H75" s="6"/>
      <c r="I75" s="79"/>
      <c r="J75" s="79"/>
      <c r="K75" s="95" t="s">
        <v>6</v>
      </c>
      <c r="L75" s="98" t="s">
        <v>42</v>
      </c>
      <c r="M75" s="138">
        <f>I80*J78*K76*L76</f>
        <v>2.3332385664000001E-2</v>
      </c>
      <c r="N75" s="78">
        <f>TotalTAM*PrinceMktShare</f>
        <v>1400</v>
      </c>
      <c r="O75" s="78">
        <f>N75*SalesMult</f>
        <v>7000</v>
      </c>
      <c r="P75" s="118">
        <f>O75*E$65/Investment</f>
        <v>194.44444444444443</v>
      </c>
      <c r="Q75" s="114">
        <f>M75*P75</f>
        <v>4.5368527680000001</v>
      </c>
      <c r="T75" s="159"/>
      <c r="U75" s="371"/>
      <c r="V75" s="382"/>
      <c r="W75" s="159"/>
    </row>
    <row r="76" spans="2:23" x14ac:dyDescent="0.2">
      <c r="G76" s="79"/>
      <c r="H76" s="6"/>
      <c r="I76" s="79"/>
      <c r="J76" s="79"/>
      <c r="K76" s="93">
        <f>MainstreamSuccess</f>
        <v>0.29399999999999998</v>
      </c>
      <c r="L76" s="84">
        <f>PrinceChance</f>
        <v>0.3</v>
      </c>
      <c r="M76" s="104"/>
      <c r="N76" s="78"/>
      <c r="O76" s="78"/>
      <c r="P76" s="118"/>
      <c r="Q76" s="4"/>
      <c r="T76" s="159"/>
      <c r="U76" s="371"/>
      <c r="V76" s="381"/>
      <c r="W76" s="159"/>
    </row>
    <row r="77" spans="2:23" x14ac:dyDescent="0.2">
      <c r="H77" s="6"/>
      <c r="I77" s="79"/>
      <c r="J77" s="90" t="s">
        <v>0</v>
      </c>
      <c r="K77" s="94"/>
      <c r="L77" s="98" t="s">
        <v>46</v>
      </c>
      <c r="M77" s="138">
        <f>I80*J78*K76*L78</f>
        <v>4.6664771328000003E-2</v>
      </c>
      <c r="N77" s="78">
        <f>TotalTAM*SerfMktShare</f>
        <v>420</v>
      </c>
      <c r="O77" s="78">
        <f>N77*SalesMult</f>
        <v>2100</v>
      </c>
      <c r="P77" s="118">
        <f>O77*E$65/Investment</f>
        <v>58.333333333333329</v>
      </c>
      <c r="Q77" s="114">
        <f>M77*P77</f>
        <v>2.7221116608</v>
      </c>
      <c r="T77" s="159"/>
      <c r="U77" s="371"/>
      <c r="V77" s="382"/>
      <c r="W77" s="159"/>
    </row>
    <row r="78" spans="2:23" x14ac:dyDescent="0.2">
      <c r="H78" s="6"/>
      <c r="I78" s="79"/>
      <c r="J78" s="87">
        <f>CrossChasm</f>
        <v>0.4032</v>
      </c>
      <c r="K78" s="94"/>
      <c r="L78" s="2">
        <f>1-L76-L74</f>
        <v>0.6</v>
      </c>
      <c r="M78" s="104"/>
      <c r="N78" s="78"/>
      <c r="O78" s="78"/>
      <c r="P78" s="117"/>
      <c r="Q78" s="4"/>
      <c r="T78" s="159"/>
      <c r="U78" s="159"/>
      <c r="V78" s="159"/>
      <c r="W78" s="159"/>
    </row>
    <row r="79" spans="2:23" x14ac:dyDescent="0.2">
      <c r="H79" s="6"/>
      <c r="I79" s="101" t="s">
        <v>4</v>
      </c>
      <c r="J79" s="88"/>
      <c r="K79" s="96" t="s">
        <v>5</v>
      </c>
      <c r="L79" s="99"/>
      <c r="M79" s="104">
        <f>I80*J78*K80</f>
        <v>0.18676490112000002</v>
      </c>
      <c r="N79" s="78">
        <f>NicheTAM*NicheMarketShare</f>
        <v>35.699999999999996</v>
      </c>
      <c r="O79" s="78">
        <f>N79*SalesMult*NicheMultDisc</f>
        <v>89.249999999999986</v>
      </c>
      <c r="P79" s="118">
        <f>O79*E$68/Investment</f>
        <v>4.9583333333333321</v>
      </c>
      <c r="Q79" s="114">
        <f>M79*P79</f>
        <v>0.92604263471999992</v>
      </c>
      <c r="T79" s="159"/>
      <c r="U79" s="159"/>
      <c r="V79" s="159"/>
      <c r="W79" s="159"/>
    </row>
    <row r="80" spans="2:23" x14ac:dyDescent="0.2">
      <c r="H80" s="6"/>
      <c r="I80" s="103">
        <f>EarlySuccess</f>
        <v>0.65610000000000013</v>
      </c>
      <c r="J80" s="89"/>
      <c r="K80" s="92">
        <f>1-MainstreamSuccess</f>
        <v>0.70599999999999996</v>
      </c>
      <c r="L80" s="78"/>
      <c r="M80" s="104"/>
      <c r="N80" s="78"/>
      <c r="O80" s="78"/>
      <c r="P80" s="117"/>
      <c r="Q80" s="4"/>
      <c r="T80" s="159"/>
      <c r="U80" s="159"/>
      <c r="V80" s="159"/>
      <c r="W80" s="159"/>
    </row>
    <row r="81" spans="8:20" x14ac:dyDescent="0.2">
      <c r="H81" s="6"/>
      <c r="I81" s="88"/>
      <c r="J81" s="91" t="s">
        <v>49</v>
      </c>
      <c r="K81" s="100"/>
      <c r="L81" s="99"/>
      <c r="M81" s="104">
        <f>I80*J82</f>
        <v>0.3915604800000001</v>
      </c>
      <c r="N81" s="78">
        <v>0</v>
      </c>
      <c r="O81" s="78">
        <v>0</v>
      </c>
      <c r="P81" s="117">
        <v>0</v>
      </c>
      <c r="Q81" s="114">
        <f>M81*P81</f>
        <v>0</v>
      </c>
    </row>
    <row r="82" spans="8:20" x14ac:dyDescent="0.2">
      <c r="I82" s="102"/>
      <c r="J82" s="86">
        <f>1-CrossChasm</f>
        <v>0.5968</v>
      </c>
      <c r="K82" s="80"/>
      <c r="L82" s="78"/>
      <c r="M82" s="104"/>
      <c r="N82" s="78"/>
      <c r="O82" s="78"/>
      <c r="P82" s="117"/>
      <c r="Q82" s="4"/>
    </row>
    <row r="83" spans="8:20" x14ac:dyDescent="0.2">
      <c r="I83" s="88"/>
      <c r="J83" s="79"/>
      <c r="K83" s="80"/>
      <c r="L83" s="78"/>
      <c r="M83" s="104"/>
      <c r="N83" s="78"/>
      <c r="O83" s="78"/>
      <c r="P83" s="117"/>
      <c r="Q83" s="4"/>
    </row>
    <row r="84" spans="8:20" x14ac:dyDescent="0.2">
      <c r="I84" s="91" t="s">
        <v>3</v>
      </c>
      <c r="J84" s="90"/>
      <c r="K84" s="100"/>
      <c r="L84" s="99"/>
      <c r="M84" s="104">
        <f>I85</f>
        <v>0.34389999999999987</v>
      </c>
      <c r="N84" s="78">
        <v>0</v>
      </c>
      <c r="O84" s="78">
        <v>0</v>
      </c>
      <c r="P84" s="117">
        <v>0</v>
      </c>
      <c r="Q84" s="114">
        <f>M84*P84</f>
        <v>0</v>
      </c>
    </row>
    <row r="85" spans="8:20" x14ac:dyDescent="0.2">
      <c r="I85" s="79">
        <f>1-EarlySuccess</f>
        <v>0.34389999999999987</v>
      </c>
      <c r="J85" s="79"/>
      <c r="K85" s="80"/>
      <c r="L85" s="78"/>
      <c r="M85" s="78"/>
      <c r="N85" s="77"/>
      <c r="O85" s="77"/>
      <c r="P85" s="77"/>
      <c r="Q85" s="4"/>
    </row>
    <row r="86" spans="8:20" x14ac:dyDescent="0.2">
      <c r="I86" s="79"/>
      <c r="J86" s="79"/>
      <c r="K86" s="80"/>
      <c r="L86" s="78"/>
      <c r="M86" s="228">
        <f>SUM(M73:M84)</f>
        <v>1</v>
      </c>
      <c r="N86" s="229"/>
      <c r="O86" s="229"/>
      <c r="P86" s="230"/>
      <c r="Q86" s="231">
        <f t="array" ref="Q86">SUM(M73:M84*P73:P84)</f>
        <v>13.47800195952</v>
      </c>
    </row>
    <row r="87" spans="8:20" x14ac:dyDescent="0.2">
      <c r="I87" s="6"/>
      <c r="J87" s="25"/>
      <c r="K87" s="5"/>
      <c r="L87" s="162"/>
      <c r="M87" s="157"/>
      <c r="N87" s="224"/>
      <c r="O87" s="157"/>
      <c r="P87" s="157"/>
      <c r="Q87" s="341"/>
      <c r="R87" s="157"/>
      <c r="S87" s="157"/>
      <c r="T87" s="157"/>
    </row>
    <row r="88" spans="8:20" x14ac:dyDescent="0.2">
      <c r="J88" s="25"/>
      <c r="K88" s="5"/>
      <c r="L88" s="162"/>
      <c r="M88" s="157"/>
      <c r="N88" s="335"/>
      <c r="O88" s="335"/>
      <c r="P88" s="335"/>
      <c r="Q88" s="368"/>
      <c r="R88" s="157"/>
      <c r="S88" s="157"/>
      <c r="T88" s="157"/>
    </row>
    <row r="89" spans="8:20" x14ac:dyDescent="0.2">
      <c r="J89" s="25"/>
      <c r="K89" s="5"/>
      <c r="L89" s="162"/>
      <c r="M89" s="335"/>
      <c r="N89" s="157"/>
      <c r="O89" s="157"/>
      <c r="P89" s="329"/>
      <c r="Q89" s="369"/>
      <c r="R89" s="157"/>
      <c r="S89" s="157"/>
      <c r="T89" s="157"/>
    </row>
    <row r="90" spans="8:20" x14ac:dyDescent="0.2">
      <c r="J90" s="25"/>
      <c r="K90" s="5"/>
      <c r="L90" s="162"/>
      <c r="M90" s="335"/>
      <c r="N90" s="157"/>
      <c r="O90" s="157"/>
      <c r="P90" s="329"/>
      <c r="Q90" s="369"/>
      <c r="R90" s="157"/>
      <c r="S90" s="157"/>
      <c r="T90" s="157"/>
    </row>
    <row r="91" spans="8:20" x14ac:dyDescent="0.2">
      <c r="J91" s="25"/>
      <c r="K91" s="5"/>
      <c r="L91" s="162"/>
      <c r="M91" s="162"/>
      <c r="N91" s="335"/>
      <c r="O91" s="335"/>
      <c r="P91" s="335"/>
      <c r="Q91" s="370"/>
      <c r="R91" s="157"/>
      <c r="S91" s="157"/>
      <c r="T91" s="157"/>
    </row>
    <row r="92" spans="8:20" x14ac:dyDescent="0.2">
      <c r="L92" s="157"/>
      <c r="M92" s="371"/>
      <c r="N92" s="162"/>
      <c r="O92" s="162"/>
      <c r="P92" s="162"/>
      <c r="Q92" s="212"/>
      <c r="R92" s="157"/>
      <c r="S92" s="157"/>
      <c r="T92" s="157"/>
    </row>
    <row r="93" spans="8:20" x14ac:dyDescent="0.2">
      <c r="L93" s="157"/>
      <c r="M93" s="157"/>
      <c r="N93" s="157"/>
      <c r="O93" s="157"/>
      <c r="P93" s="157"/>
      <c r="Q93" s="157"/>
      <c r="R93" s="157"/>
      <c r="S93" s="157"/>
      <c r="T93" s="157"/>
    </row>
    <row r="94" spans="8:20" x14ac:dyDescent="0.2">
      <c r="L94" s="157"/>
      <c r="M94" s="157"/>
      <c r="N94" s="157"/>
      <c r="O94" s="157"/>
      <c r="P94" s="157"/>
      <c r="Q94" s="157"/>
      <c r="R94" s="157"/>
      <c r="S94" s="157"/>
      <c r="T94" s="157"/>
    </row>
    <row r="95" spans="8:20" x14ac:dyDescent="0.2">
      <c r="L95" s="157"/>
      <c r="M95" s="157"/>
      <c r="N95" s="157"/>
      <c r="O95" s="157"/>
      <c r="P95" s="157"/>
      <c r="Q95" s="157"/>
      <c r="R95" s="157"/>
      <c r="S95" s="157"/>
      <c r="T95" s="157"/>
    </row>
  </sheetData>
  <dataConsolidate/>
  <phoneticPr fontId="0" type="noConversion"/>
  <conditionalFormatting sqref="G46:G48 G34:G40 G14:G23">
    <cfRule type="expression" dxfId="21" priority="0" stopIfTrue="1">
      <formula>IF($E14=2, TRUE, FALSE)</formula>
    </cfRule>
  </conditionalFormatting>
  <conditionalFormatting sqref="F46:F48 F34:F40 F14:F23">
    <cfRule type="expression" dxfId="20" priority="471" stopIfTrue="1">
      <formula>IF($E14=1, TRUE, FALSE)</formula>
    </cfRule>
  </conditionalFormatting>
  <conditionalFormatting sqref="H46:H48 H34:H40 H14:H23">
    <cfRule type="expression" dxfId="19" priority="472" stopIfTrue="1">
      <formula>IF($E14=3, TRUE, FALSE)</formula>
    </cfRule>
  </conditionalFormatting>
  <conditionalFormatting sqref="I46:I49 I34:I40 I14:I23">
    <cfRule type="expression" dxfId="18" priority="473" stopIfTrue="1">
      <formula>IF($E14=4, TRUE, FALSE)</formula>
    </cfRule>
  </conditionalFormatting>
  <conditionalFormatting sqref="B9:C9">
    <cfRule type="expression" dxfId="17" priority="474" stopIfTrue="1">
      <formula>IF(Alternative=$B9, TRUE, FALSE)</formula>
    </cfRule>
  </conditionalFormatting>
  <conditionalFormatting sqref="G41:G42">
    <cfRule type="expression" dxfId="16" priority="317" stopIfTrue="1">
      <formula>IF($E41=2, TRUE, FALSE)</formula>
    </cfRule>
  </conditionalFormatting>
  <conditionalFormatting sqref="F41:F42">
    <cfRule type="expression" dxfId="15" priority="314" stopIfTrue="1">
      <formula>IF($E41=1, TRUE, FALSE)</formula>
    </cfRule>
  </conditionalFormatting>
  <conditionalFormatting sqref="H41:H45">
    <cfRule type="expression" dxfId="14" priority="315" stopIfTrue="1">
      <formula>IF($E41=3, TRUE, FALSE)</formula>
    </cfRule>
  </conditionalFormatting>
  <conditionalFormatting sqref="I41:I42">
    <cfRule type="expression" dxfId="13" priority="316" stopIfTrue="1">
      <formula>IF($E41=4, TRUE, FALSE)</formula>
    </cfRule>
  </conditionalFormatting>
  <conditionalFormatting sqref="G24:G31">
    <cfRule type="expression" dxfId="12" priority="313" stopIfTrue="1">
      <formula>IF($E24=2, TRUE, FALSE)</formula>
    </cfRule>
  </conditionalFormatting>
  <conditionalFormatting sqref="F24:F31">
    <cfRule type="expression" dxfId="11" priority="310" stopIfTrue="1">
      <formula>IF($E24=1, TRUE, FALSE)</formula>
    </cfRule>
  </conditionalFormatting>
  <conditionalFormatting sqref="H24:H31">
    <cfRule type="expression" dxfId="10" priority="311" stopIfTrue="1">
      <formula>IF($E24=3, TRUE, FALSE)</formula>
    </cfRule>
  </conditionalFormatting>
  <conditionalFormatting sqref="I24:I31">
    <cfRule type="expression" dxfId="9" priority="312" stopIfTrue="1">
      <formula>IF($E24=4, TRUE, FALSE)</formula>
    </cfRule>
  </conditionalFormatting>
  <conditionalFormatting sqref="G32:G33">
    <cfRule type="expression" dxfId="8" priority="53" stopIfTrue="1">
      <formula>IF($E32=2, TRUE, FALSE)</formula>
    </cfRule>
  </conditionalFormatting>
  <conditionalFormatting sqref="F32:F33">
    <cfRule type="expression" dxfId="7" priority="50" stopIfTrue="1">
      <formula>IF($E32=1, TRUE, FALSE)</formula>
    </cfRule>
  </conditionalFormatting>
  <conditionalFormatting sqref="H32:H33">
    <cfRule type="expression" dxfId="6" priority="51" stopIfTrue="1">
      <formula>IF($E32=3, TRUE, FALSE)</formula>
    </cfRule>
  </conditionalFormatting>
  <conditionalFormatting sqref="I32:I33">
    <cfRule type="expression" dxfId="5" priority="52" stopIfTrue="1">
      <formula>IF($E32=4, TRUE, FALSE)</formula>
    </cfRule>
  </conditionalFormatting>
  <printOptions gridLinesSet="0"/>
  <pageMargins left="0.5" right="0.5" top="0.5" bottom="0.75" header="0.5" footer="0.5"/>
  <pageSetup orientation="portrait" horizontalDpi="4294967292" verticalDpi="4294967292"/>
  <headerFooter>
    <oddFooter>&amp;L&amp;D&amp;R&amp;P</oddFooter>
  </headerFooter>
  <colBreaks count="2" manualBreakCount="2">
    <brk id="7" max="1048575" man="1"/>
    <brk id="14" max="1048575" man="1"/>
  </colBreak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CB4F0-6D91-8244-B6D9-79B85659ADC2}">
  <sheetPr codeName="Sheet5"/>
  <dimension ref="A1:P65"/>
  <sheetViews>
    <sheetView workbookViewId="0">
      <selection activeCell="N15" sqref="N15"/>
    </sheetView>
  </sheetViews>
  <sheetFormatPr baseColWidth="10" defaultRowHeight="14" x14ac:dyDescent="0.2"/>
  <cols>
    <col min="1" max="13" width="10.7109375" style="157"/>
    <col min="14" max="14" width="27.85546875" style="157" customWidth="1"/>
    <col min="15" max="15" width="12.140625" style="157" bestFit="1" customWidth="1"/>
    <col min="16" max="16384" width="10.7109375" style="157"/>
  </cols>
  <sheetData>
    <row r="1" spans="1:12" ht="16" x14ac:dyDescent="0.2">
      <c r="A1" s="275" t="s">
        <v>40</v>
      </c>
      <c r="B1" s="276"/>
      <c r="C1" s="276"/>
      <c r="D1" s="276"/>
      <c r="E1" s="276"/>
      <c r="F1" s="277"/>
      <c r="G1" s="276"/>
      <c r="H1" s="278"/>
      <c r="I1" s="172"/>
      <c r="J1" s="279"/>
      <c r="K1" s="279"/>
    </row>
    <row r="2" spans="1:12" ht="15" thickBot="1" x14ac:dyDescent="0.25">
      <c r="A2" s="162"/>
      <c r="B2" s="280" t="s">
        <v>8</v>
      </c>
      <c r="C2" s="224"/>
      <c r="D2" s="224"/>
      <c r="E2" s="224"/>
      <c r="F2" s="281" t="s">
        <v>9</v>
      </c>
      <c r="G2" s="282" t="s">
        <v>91</v>
      </c>
      <c r="H2" s="283" t="s">
        <v>99</v>
      </c>
      <c r="I2" s="283" t="s">
        <v>100</v>
      </c>
      <c r="J2" s="284" t="s">
        <v>101</v>
      </c>
      <c r="K2" s="285"/>
    </row>
    <row r="3" spans="1:12" ht="15" thickTop="1" x14ac:dyDescent="0.2">
      <c r="A3" s="286"/>
      <c r="B3" s="287" t="s">
        <v>221</v>
      </c>
      <c r="C3" s="267"/>
      <c r="D3" s="267" t="s">
        <v>53</v>
      </c>
      <c r="E3" s="170"/>
      <c r="F3" s="288">
        <f>Model!F5</f>
        <v>7.2020222971200001</v>
      </c>
      <c r="G3" s="289">
        <v>7.6174016018850015</v>
      </c>
      <c r="H3" s="290">
        <v>2.0618606998079998</v>
      </c>
      <c r="I3" s="290">
        <v>6.0678091051200003</v>
      </c>
      <c r="J3" s="291">
        <v>15.311452939200002</v>
      </c>
      <c r="K3" s="292"/>
    </row>
    <row r="4" spans="1:12" x14ac:dyDescent="0.2">
      <c r="A4" s="286"/>
      <c r="B4" s="293" t="s">
        <v>89</v>
      </c>
      <c r="C4" s="192"/>
      <c r="D4" s="192" t="s">
        <v>2</v>
      </c>
      <c r="E4" s="159"/>
      <c r="F4" s="294">
        <f>Model!F6</f>
        <v>13.47800195952</v>
      </c>
      <c r="G4" s="295">
        <v>14.118471082327515</v>
      </c>
      <c r="H4" s="296">
        <v>4.3212133782720006</v>
      </c>
      <c r="I4" s="296">
        <v>11.209575575520001</v>
      </c>
      <c r="J4" s="297">
        <v>27.633996663840001</v>
      </c>
      <c r="K4" s="292"/>
    </row>
    <row r="5" spans="1:12" x14ac:dyDescent="0.2">
      <c r="A5" s="286"/>
      <c r="B5" s="298" t="s">
        <v>90</v>
      </c>
      <c r="C5" s="192"/>
      <c r="D5" s="172" t="s">
        <v>18</v>
      </c>
      <c r="E5" s="159"/>
      <c r="F5" s="299">
        <f>Model!F7</f>
        <v>14000</v>
      </c>
      <c r="G5" s="300">
        <v>13250</v>
      </c>
      <c r="H5" s="284">
        <v>7000</v>
      </c>
      <c r="I5" s="284">
        <v>14000</v>
      </c>
      <c r="J5" s="301">
        <v>18000</v>
      </c>
      <c r="K5" s="292"/>
    </row>
    <row r="6" spans="1:12" ht="15" thickBot="1" x14ac:dyDescent="0.25">
      <c r="A6" s="302"/>
      <c r="B6" s="303" t="s">
        <v>149</v>
      </c>
      <c r="C6" s="304"/>
      <c r="D6" s="305" t="s">
        <v>2</v>
      </c>
      <c r="E6" s="306"/>
      <c r="F6" s="307">
        <f>J30</f>
        <v>27.224749999999997</v>
      </c>
      <c r="G6" s="308">
        <v>28.794947544642863</v>
      </c>
      <c r="H6" s="309">
        <v>7.7941499999999984</v>
      </c>
      <c r="I6" s="310">
        <v>22.937249999999999</v>
      </c>
      <c r="J6" s="311">
        <v>57.879642857142862</v>
      </c>
      <c r="K6" s="292"/>
    </row>
    <row r="7" spans="1:12" ht="15" thickTop="1" x14ac:dyDescent="0.2">
      <c r="A7" s="302"/>
      <c r="B7" s="312"/>
      <c r="C7" s="192"/>
      <c r="D7" s="192"/>
      <c r="E7" s="159"/>
      <c r="F7" s="313"/>
      <c r="H7" s="314"/>
      <c r="I7" s="172"/>
      <c r="J7" s="292"/>
      <c r="K7" s="292"/>
    </row>
    <row r="12" spans="1:12" x14ac:dyDescent="0.2">
      <c r="B12" s="286"/>
      <c r="C12" s="327"/>
      <c r="D12" s="327"/>
      <c r="E12" s="328"/>
      <c r="F12" s="328"/>
      <c r="G12" s="162"/>
      <c r="H12" s="162"/>
      <c r="L12" s="329"/>
    </row>
    <row r="13" spans="1:12" x14ac:dyDescent="0.2">
      <c r="B13" s="286"/>
      <c r="C13" s="327"/>
      <c r="D13" s="327"/>
      <c r="E13" s="328"/>
      <c r="F13" s="330"/>
      <c r="H13" s="331" t="s">
        <v>52</v>
      </c>
      <c r="I13" s="332"/>
      <c r="J13" s="331" t="s">
        <v>47</v>
      </c>
    </row>
    <row r="14" spans="1:12" x14ac:dyDescent="0.2">
      <c r="B14" s="333" t="s">
        <v>222</v>
      </c>
      <c r="C14" s="327"/>
      <c r="D14" s="327"/>
      <c r="E14" s="328"/>
      <c r="F14" s="331" t="s">
        <v>51</v>
      </c>
      <c r="G14" s="334" t="s">
        <v>50</v>
      </c>
      <c r="H14" s="331" t="s">
        <v>9</v>
      </c>
      <c r="I14" s="331" t="s">
        <v>74</v>
      </c>
      <c r="J14" s="331" t="s">
        <v>74</v>
      </c>
      <c r="L14" s="162"/>
    </row>
    <row r="15" spans="1:12" x14ac:dyDescent="0.2">
      <c r="B15" s="327"/>
      <c r="C15" s="327"/>
      <c r="D15" s="327"/>
      <c r="E15" s="328"/>
      <c r="G15" s="328"/>
      <c r="H15" s="335"/>
      <c r="I15" s="336"/>
      <c r="L15" s="337"/>
    </row>
    <row r="16" spans="1:12" x14ac:dyDescent="0.2">
      <c r="B16" s="286"/>
      <c r="C16" s="327"/>
      <c r="D16" s="327"/>
      <c r="E16" s="338" t="s">
        <v>41</v>
      </c>
      <c r="F16" s="339">
        <f>E17*D19*C21*B23</f>
        <v>7.7774618880000011E-3</v>
      </c>
      <c r="G16" s="328">
        <f>SweetspotTAM*KingMktShare</f>
        <v>2450</v>
      </c>
      <c r="H16" s="328">
        <f>G16*SalesMult</f>
        <v>12250</v>
      </c>
      <c r="I16" s="340">
        <f>H16*ownershipAtExit/Investment</f>
        <v>340.27777777777777</v>
      </c>
      <c r="J16" s="341">
        <f>F16*I16</f>
        <v>2.6464974480000003</v>
      </c>
    </row>
    <row r="17" spans="2:16" x14ac:dyDescent="0.2">
      <c r="B17" s="327"/>
      <c r="C17" s="327"/>
      <c r="D17" s="327"/>
      <c r="E17" s="158">
        <f>KingChance</f>
        <v>0.1</v>
      </c>
      <c r="F17" s="212"/>
      <c r="G17" s="328"/>
      <c r="H17" s="328"/>
      <c r="I17" s="340"/>
    </row>
    <row r="18" spans="2:16" x14ac:dyDescent="0.2">
      <c r="B18" s="327"/>
      <c r="C18" s="327"/>
      <c r="D18" s="342" t="s">
        <v>6</v>
      </c>
      <c r="E18" s="343" t="s">
        <v>42</v>
      </c>
      <c r="F18" s="339">
        <f>B23*C21*D19*E19</f>
        <v>2.3332385664000001E-2</v>
      </c>
      <c r="G18" s="328">
        <f>SweetspotTAM*PrinceMktShare</f>
        <v>700</v>
      </c>
      <c r="H18" s="328">
        <f>G18*SalesMult</f>
        <v>3500</v>
      </c>
      <c r="I18" s="340">
        <f>H18*ownershipAtExit/Investment</f>
        <v>97.222222222222214</v>
      </c>
      <c r="J18" s="341">
        <f>F18*I18</f>
        <v>2.2684263840000001</v>
      </c>
    </row>
    <row r="19" spans="2:16" ht="15" thickBot="1" x14ac:dyDescent="0.25">
      <c r="B19" s="327"/>
      <c r="C19" s="327"/>
      <c r="D19" s="344">
        <f>MainstreamSuccess</f>
        <v>0.29399999999999998</v>
      </c>
      <c r="E19" s="158">
        <f>PrinceChance</f>
        <v>0.3</v>
      </c>
      <c r="F19" s="212"/>
      <c r="G19" s="328"/>
      <c r="H19" s="328"/>
      <c r="I19" s="340"/>
      <c r="J19" s="224"/>
    </row>
    <row r="20" spans="2:16" ht="15" thickBot="1" x14ac:dyDescent="0.25">
      <c r="B20" s="327"/>
      <c r="C20" s="342" t="s">
        <v>0</v>
      </c>
      <c r="D20" s="345"/>
      <c r="E20" s="343" t="s">
        <v>46</v>
      </c>
      <c r="F20" s="339">
        <f>B23*C21*D19*E21</f>
        <v>4.6664771328000003E-2</v>
      </c>
      <c r="G20" s="328">
        <f>SweetspotTAM*SerfMktShare</f>
        <v>210</v>
      </c>
      <c r="H20" s="328">
        <f>G20*SalesMult</f>
        <v>1050</v>
      </c>
      <c r="I20" s="340">
        <f>H20*ownershipAtExit/Investment</f>
        <v>29.166666666666664</v>
      </c>
      <c r="J20" s="341">
        <f>F20*I20</f>
        <v>1.3610558304</v>
      </c>
      <c r="N20" s="346" t="s">
        <v>158</v>
      </c>
      <c r="O20" s="347" t="s">
        <v>159</v>
      </c>
      <c r="P20" s="348" t="s">
        <v>160</v>
      </c>
    </row>
    <row r="21" spans="2:16" x14ac:dyDescent="0.2">
      <c r="B21" s="327"/>
      <c r="C21" s="344">
        <f>CrossChasm</f>
        <v>0.4032</v>
      </c>
      <c r="D21" s="345"/>
      <c r="E21" s="159">
        <f>1-E19-E17</f>
        <v>0.6</v>
      </c>
      <c r="F21" s="212"/>
      <c r="G21" s="328"/>
      <c r="H21" s="328"/>
      <c r="I21" s="336"/>
      <c r="J21" s="224"/>
      <c r="N21" s="349" t="s">
        <v>166</v>
      </c>
      <c r="O21" s="350">
        <f>tam_sweetSpot</f>
        <v>7000</v>
      </c>
      <c r="P21" s="351">
        <v>1</v>
      </c>
    </row>
    <row r="22" spans="2:16" ht="15" thickBot="1" x14ac:dyDescent="0.25">
      <c r="B22" s="352" t="s">
        <v>4</v>
      </c>
      <c r="C22" s="345"/>
      <c r="D22" s="353" t="s">
        <v>5</v>
      </c>
      <c r="E22" s="354"/>
      <c r="F22" s="212">
        <f>B23*C21*D23</f>
        <v>0.18676490112000002</v>
      </c>
      <c r="G22" s="328">
        <f>NicheTAM*NicheMarketShare</f>
        <v>35.699999999999996</v>
      </c>
      <c r="H22" s="328">
        <f>G22*SalesMult*NicheMultDisc</f>
        <v>89.249999999999986</v>
      </c>
      <c r="I22" s="340">
        <f>H22*NicheOwnershipAtExit/Investment</f>
        <v>4.9583333333333321</v>
      </c>
      <c r="J22" s="341">
        <f>F22*I22</f>
        <v>0.92604263471999992</v>
      </c>
      <c r="N22" s="186" t="s">
        <v>233</v>
      </c>
      <c r="O22" s="355">
        <f>tam_total-tam_sweetSpot</f>
        <v>7000</v>
      </c>
      <c r="P22" s="356">
        <v>0</v>
      </c>
    </row>
    <row r="23" spans="2:16" x14ac:dyDescent="0.2">
      <c r="B23" s="357">
        <f>EarlySuccess</f>
        <v>0.65610000000000013</v>
      </c>
      <c r="C23" s="358"/>
      <c r="D23" s="359">
        <f>1-MainstreamSuccess</f>
        <v>0.70599999999999996</v>
      </c>
      <c r="E23" s="328"/>
      <c r="F23" s="212"/>
      <c r="G23" s="328"/>
      <c r="H23" s="328"/>
      <c r="I23" s="336"/>
      <c r="J23" s="224"/>
    </row>
    <row r="24" spans="2:16" x14ac:dyDescent="0.2">
      <c r="B24" s="345"/>
      <c r="C24" s="353" t="s">
        <v>49</v>
      </c>
      <c r="D24" s="360"/>
      <c r="E24" s="354"/>
      <c r="F24" s="212">
        <f>B23*C25</f>
        <v>0.3915604800000001</v>
      </c>
      <c r="G24" s="328">
        <v>0</v>
      </c>
      <c r="H24" s="328">
        <v>0</v>
      </c>
      <c r="I24" s="336">
        <v>0</v>
      </c>
      <c r="J24" s="341">
        <f>F24*I24</f>
        <v>0</v>
      </c>
    </row>
    <row r="25" spans="2:16" x14ac:dyDescent="0.2">
      <c r="B25" s="361"/>
      <c r="C25" s="359">
        <f>1-CrossChasm</f>
        <v>0.5968</v>
      </c>
      <c r="D25" s="327"/>
      <c r="E25" s="328"/>
      <c r="F25" s="212"/>
      <c r="G25" s="328"/>
      <c r="H25" s="328"/>
      <c r="I25" s="336"/>
      <c r="J25" s="224"/>
      <c r="N25" s="162" t="s">
        <v>161</v>
      </c>
      <c r="O25" s="282" t="s">
        <v>18</v>
      </c>
      <c r="P25" s="362">
        <f>SUMPRODUCT(O21:O22,P21:P22)</f>
        <v>7000</v>
      </c>
    </row>
    <row r="26" spans="2:16" x14ac:dyDescent="0.2">
      <c r="B26" s="345"/>
      <c r="C26" s="327"/>
      <c r="D26" s="327"/>
      <c r="E26" s="328"/>
      <c r="F26" s="212"/>
      <c r="G26" s="328"/>
      <c r="H26" s="328"/>
      <c r="I26" s="336"/>
      <c r="J26" s="224"/>
      <c r="P26" s="362"/>
    </row>
    <row r="27" spans="2:16" x14ac:dyDescent="0.2">
      <c r="B27" s="353" t="s">
        <v>3</v>
      </c>
      <c r="C27" s="342"/>
      <c r="D27" s="360"/>
      <c r="E27" s="354"/>
      <c r="F27" s="212">
        <f>B28</f>
        <v>0.34389999999999987</v>
      </c>
      <c r="G27" s="328">
        <v>0</v>
      </c>
      <c r="H27" s="328">
        <v>0</v>
      </c>
      <c r="I27" s="336">
        <v>0</v>
      </c>
      <c r="J27" s="341">
        <f>F27*I27</f>
        <v>0</v>
      </c>
      <c r="N27" s="162" t="s">
        <v>79</v>
      </c>
      <c r="O27" s="282" t="s">
        <v>18</v>
      </c>
      <c r="P27" s="362">
        <f>SUM(O21:O22)</f>
        <v>14000</v>
      </c>
    </row>
    <row r="28" spans="2:16" x14ac:dyDescent="0.2">
      <c r="B28" s="359">
        <f>1-EarlySuccess</f>
        <v>0.34389999999999987</v>
      </c>
      <c r="C28" s="327"/>
      <c r="D28" s="327"/>
      <c r="E28" s="328"/>
      <c r="F28" s="328"/>
      <c r="G28" s="335"/>
      <c r="H28" s="335"/>
      <c r="I28" s="335"/>
      <c r="J28" s="224"/>
    </row>
    <row r="29" spans="2:16" x14ac:dyDescent="0.2">
      <c r="B29" s="327"/>
      <c r="C29" s="327"/>
      <c r="D29" s="327"/>
      <c r="E29" s="328"/>
      <c r="F29" s="363">
        <f>SUM(F16:F27)</f>
        <v>1</v>
      </c>
      <c r="G29" s="364"/>
      <c r="H29" s="364"/>
      <c r="I29" s="365"/>
      <c r="J29" s="366">
        <f t="array" ref="J29">SUM(F16:F27*I16:I27)</f>
        <v>7.2020222971200001</v>
      </c>
    </row>
    <row r="30" spans="2:16" x14ac:dyDescent="0.2">
      <c r="B30" s="279"/>
      <c r="C30" s="279"/>
      <c r="D30" s="279"/>
      <c r="E30" s="367"/>
      <c r="F30" s="157" t="s">
        <v>148</v>
      </c>
      <c r="G30" s="224"/>
      <c r="J30" s="341">
        <f>IF(SUM(F16:F22)=0,0,J29/SUM(F16:F22))</f>
        <v>27.224749999999997</v>
      </c>
    </row>
    <row r="31" spans="2:16" x14ac:dyDescent="0.2">
      <c r="B31" s="279"/>
      <c r="C31" s="279"/>
      <c r="D31" s="279"/>
      <c r="E31" s="367"/>
      <c r="F31" s="157" t="s">
        <v>153</v>
      </c>
      <c r="G31" s="335"/>
      <c r="H31" s="335"/>
      <c r="I31" s="335"/>
      <c r="J31" s="368">
        <f>IF(SUM(F16:F20)=0,0,SUM(J16:J20)/SUM(F16:F20))</f>
        <v>80.694444444444443</v>
      </c>
    </row>
    <row r="32" spans="2:16" x14ac:dyDescent="0.2">
      <c r="B32" s="279"/>
      <c r="C32" s="279"/>
      <c r="D32" s="279"/>
      <c r="E32" s="367"/>
      <c r="F32" s="335" t="s">
        <v>154</v>
      </c>
      <c r="I32" s="329"/>
      <c r="J32" s="369">
        <f>SUM(F16:F22)</f>
        <v>0.26453952000000003</v>
      </c>
    </row>
    <row r="33" spans="2:15" x14ac:dyDescent="0.2">
      <c r="B33" s="279"/>
      <c r="C33" s="279"/>
      <c r="D33" s="279"/>
      <c r="E33" s="367"/>
      <c r="F33" s="335" t="s">
        <v>155</v>
      </c>
      <c r="I33" s="329"/>
      <c r="J33" s="369">
        <f>SUM(F16:F20)</f>
        <v>7.7774618880000007E-2</v>
      </c>
    </row>
    <row r="34" spans="2:15" x14ac:dyDescent="0.2">
      <c r="B34" s="279"/>
      <c r="C34" s="279"/>
      <c r="D34" s="279"/>
      <c r="E34" s="367"/>
      <c r="F34" s="162" t="s">
        <v>156</v>
      </c>
      <c r="G34" s="335"/>
      <c r="H34" s="335"/>
      <c r="I34" s="335"/>
      <c r="J34" s="370">
        <f>pFailCrossChasm</f>
        <v>0.3915604800000001</v>
      </c>
    </row>
    <row r="35" spans="2:15" x14ac:dyDescent="0.2">
      <c r="B35" s="279"/>
      <c r="C35" s="279"/>
      <c r="D35" s="279"/>
      <c r="E35" s="367"/>
      <c r="F35" s="371" t="s">
        <v>157</v>
      </c>
      <c r="G35" s="162"/>
      <c r="H35" s="162"/>
      <c r="I35" s="162"/>
      <c r="J35" s="212">
        <f>pFailEarlyStage</f>
        <v>0.34389999999999987</v>
      </c>
    </row>
    <row r="36" spans="2:15" x14ac:dyDescent="0.2">
      <c r="B36" s="279"/>
      <c r="C36" s="279"/>
      <c r="D36" s="279"/>
      <c r="E36" s="367"/>
      <c r="G36" s="224"/>
      <c r="J36" s="341"/>
    </row>
    <row r="37" spans="2:15" x14ac:dyDescent="0.2">
      <c r="B37" s="279"/>
      <c r="C37" s="279"/>
      <c r="D37" s="279"/>
      <c r="E37" s="367"/>
      <c r="G37" s="224"/>
      <c r="J37" s="341"/>
      <c r="N37" s="372" t="s">
        <v>162</v>
      </c>
      <c r="O37" s="373">
        <f>0</f>
        <v>0</v>
      </c>
    </row>
    <row r="38" spans="2:15" x14ac:dyDescent="0.2">
      <c r="B38" s="172"/>
      <c r="C38" s="292"/>
      <c r="D38" s="292"/>
      <c r="E38" s="292"/>
      <c r="F38" s="162"/>
      <c r="G38" s="162"/>
      <c r="H38" s="162"/>
      <c r="I38" s="162"/>
      <c r="N38" s="173" t="s">
        <v>163</v>
      </c>
      <c r="O38" s="374">
        <f>EarlySuccess*(1-CrossChasm)</f>
        <v>0.3915604800000001</v>
      </c>
    </row>
    <row r="39" spans="2:15" x14ac:dyDescent="0.2">
      <c r="B39" s="286"/>
      <c r="C39" s="327"/>
      <c r="D39" s="327"/>
      <c r="E39" s="328"/>
      <c r="F39" s="330"/>
      <c r="H39" s="331" t="s">
        <v>52</v>
      </c>
      <c r="I39" s="332"/>
      <c r="J39" s="331" t="s">
        <v>47</v>
      </c>
      <c r="N39" s="173" t="s">
        <v>164</v>
      </c>
      <c r="O39" s="375">
        <f>0</f>
        <v>0</v>
      </c>
    </row>
    <row r="40" spans="2:15" x14ac:dyDescent="0.2">
      <c r="B40" s="333" t="s">
        <v>81</v>
      </c>
      <c r="C40" s="327"/>
      <c r="D40" s="327"/>
      <c r="E40" s="328"/>
      <c r="F40" s="331" t="s">
        <v>51</v>
      </c>
      <c r="G40" s="334" t="s">
        <v>50</v>
      </c>
      <c r="H40" s="331" t="s">
        <v>9</v>
      </c>
      <c r="I40" s="331" t="s">
        <v>74</v>
      </c>
      <c r="J40" s="331" t="s">
        <v>74</v>
      </c>
      <c r="N40" s="376" t="s">
        <v>165</v>
      </c>
      <c r="O40" s="377">
        <f>1-EarlySuccess</f>
        <v>0.34389999999999987</v>
      </c>
    </row>
    <row r="41" spans="2:15" x14ac:dyDescent="0.2">
      <c r="B41" s="327"/>
      <c r="C41" s="327"/>
      <c r="D41" s="327"/>
      <c r="E41" s="328"/>
      <c r="G41" s="328"/>
      <c r="H41" s="335"/>
      <c r="I41" s="336"/>
    </row>
    <row r="42" spans="2:15" x14ac:dyDescent="0.2">
      <c r="B42" s="286"/>
      <c r="C42" s="327"/>
      <c r="D42" s="327"/>
      <c r="E42" s="338" t="s">
        <v>41</v>
      </c>
      <c r="F42" s="339">
        <f>E43*D45*C47*B49</f>
        <v>7.7774618880000011E-3</v>
      </c>
      <c r="G42" s="328">
        <f>TotalTAM*KingMktShare</f>
        <v>4900</v>
      </c>
      <c r="H42" s="328">
        <f>G42*SalesMult</f>
        <v>24500</v>
      </c>
      <c r="I42" s="340">
        <f>H42*ownershipAtExit/Investment</f>
        <v>680.55555555555554</v>
      </c>
      <c r="J42" s="341">
        <f>F42*I42</f>
        <v>5.2929948960000006</v>
      </c>
    </row>
    <row r="43" spans="2:15" x14ac:dyDescent="0.2">
      <c r="B43" s="327"/>
      <c r="C43" s="327"/>
      <c r="D43" s="327"/>
      <c r="E43" s="158">
        <f>KingChance</f>
        <v>0.1</v>
      </c>
      <c r="F43" s="212"/>
      <c r="G43" s="328"/>
      <c r="H43" s="328"/>
      <c r="I43" s="340"/>
    </row>
    <row r="44" spans="2:15" x14ac:dyDescent="0.2">
      <c r="B44" s="327"/>
      <c r="C44" s="327"/>
      <c r="D44" s="342" t="s">
        <v>6</v>
      </c>
      <c r="E44" s="343" t="s">
        <v>42</v>
      </c>
      <c r="F44" s="339">
        <f>B49*C47*D45*E45</f>
        <v>2.3332385664000001E-2</v>
      </c>
      <c r="G44" s="328">
        <f>TotalTAM*PrinceMktShare</f>
        <v>1400</v>
      </c>
      <c r="H44" s="328">
        <f>G44*SalesMult</f>
        <v>7000</v>
      </c>
      <c r="I44" s="340">
        <f>H44*ownershipAtExit/Investment</f>
        <v>194.44444444444443</v>
      </c>
      <c r="J44" s="341">
        <f>F44*I44</f>
        <v>4.5368527680000001</v>
      </c>
    </row>
    <row r="45" spans="2:15" x14ac:dyDescent="0.2">
      <c r="B45" s="327"/>
      <c r="C45" s="327"/>
      <c r="D45" s="344">
        <f>MainstreamSuccess</f>
        <v>0.29399999999999998</v>
      </c>
      <c r="E45" s="158">
        <f>PrinceChance</f>
        <v>0.3</v>
      </c>
      <c r="F45" s="212"/>
      <c r="G45" s="328"/>
      <c r="H45" s="328"/>
      <c r="I45" s="340"/>
      <c r="J45" s="224"/>
    </row>
    <row r="46" spans="2:15" x14ac:dyDescent="0.2">
      <c r="B46" s="327"/>
      <c r="C46" s="342" t="s">
        <v>0</v>
      </c>
      <c r="D46" s="345"/>
      <c r="E46" s="343" t="s">
        <v>46</v>
      </c>
      <c r="F46" s="339">
        <f>B49*C47*D45*E47</f>
        <v>4.6664771328000003E-2</v>
      </c>
      <c r="G46" s="328">
        <f>TotalTAM*SerfMktShare</f>
        <v>420</v>
      </c>
      <c r="H46" s="328">
        <f>G46*SalesMult</f>
        <v>2100</v>
      </c>
      <c r="I46" s="340">
        <f>H46*ownershipAtExit/Investment</f>
        <v>58.333333333333329</v>
      </c>
      <c r="J46" s="341">
        <f>F46*I46</f>
        <v>2.7221116608</v>
      </c>
    </row>
    <row r="47" spans="2:15" x14ac:dyDescent="0.2">
      <c r="B47" s="327"/>
      <c r="C47" s="344">
        <f>CrossChasm</f>
        <v>0.4032</v>
      </c>
      <c r="D47" s="345"/>
      <c r="E47" s="159">
        <f>1-E45-E43</f>
        <v>0.6</v>
      </c>
      <c r="F47" s="212"/>
      <c r="G47" s="328"/>
      <c r="H47" s="328"/>
      <c r="I47" s="336"/>
      <c r="J47" s="224"/>
    </row>
    <row r="48" spans="2:15" x14ac:dyDescent="0.2">
      <c r="B48" s="352" t="s">
        <v>4</v>
      </c>
      <c r="C48" s="345"/>
      <c r="D48" s="353" t="s">
        <v>5</v>
      </c>
      <c r="E48" s="354"/>
      <c r="F48" s="212">
        <f>B49*C47*D49</f>
        <v>0.18676490112000002</v>
      </c>
      <c r="G48" s="328">
        <f>NicheTAM*NicheMarketShare</f>
        <v>35.699999999999996</v>
      </c>
      <c r="H48" s="328">
        <f>G48*SalesMult*NicheMultDisc</f>
        <v>89.249999999999986</v>
      </c>
      <c r="I48" s="340">
        <f>H48*NicheOwnershipAtExit/Investment</f>
        <v>4.9583333333333321</v>
      </c>
      <c r="J48" s="341">
        <f>F48*I48</f>
        <v>0.92604263471999992</v>
      </c>
    </row>
    <row r="49" spans="2:10" x14ac:dyDescent="0.2">
      <c r="B49" s="357">
        <f>EarlySuccess</f>
        <v>0.65610000000000013</v>
      </c>
      <c r="C49" s="358"/>
      <c r="D49" s="359">
        <f>1-MainstreamSuccess</f>
        <v>0.70599999999999996</v>
      </c>
      <c r="E49" s="328"/>
      <c r="F49" s="212"/>
      <c r="G49" s="328"/>
      <c r="H49" s="328"/>
      <c r="I49" s="336"/>
      <c r="J49" s="224"/>
    </row>
    <row r="50" spans="2:10" x14ac:dyDescent="0.2">
      <c r="B50" s="345"/>
      <c r="C50" s="353" t="s">
        <v>49</v>
      </c>
      <c r="D50" s="360"/>
      <c r="E50" s="354"/>
      <c r="F50" s="212">
        <f>B49*C51</f>
        <v>0.3915604800000001</v>
      </c>
      <c r="G50" s="328">
        <v>0</v>
      </c>
      <c r="H50" s="328">
        <v>0</v>
      </c>
      <c r="I50" s="336">
        <v>0</v>
      </c>
      <c r="J50" s="341">
        <f>F50*I50</f>
        <v>0</v>
      </c>
    </row>
    <row r="51" spans="2:10" x14ac:dyDescent="0.2">
      <c r="B51" s="361"/>
      <c r="C51" s="359">
        <f>1-CrossChasm</f>
        <v>0.5968</v>
      </c>
      <c r="D51" s="327"/>
      <c r="E51" s="328"/>
      <c r="F51" s="212"/>
      <c r="G51" s="328"/>
      <c r="H51" s="328"/>
      <c r="I51" s="336"/>
      <c r="J51" s="224"/>
    </row>
    <row r="52" spans="2:10" x14ac:dyDescent="0.2">
      <c r="B52" s="345"/>
      <c r="C52" s="327"/>
      <c r="D52" s="327"/>
      <c r="E52" s="328"/>
      <c r="F52" s="212"/>
      <c r="G52" s="328"/>
      <c r="H52" s="328"/>
      <c r="I52" s="336"/>
      <c r="J52" s="224"/>
    </row>
    <row r="53" spans="2:10" x14ac:dyDescent="0.2">
      <c r="B53" s="353" t="s">
        <v>3</v>
      </c>
      <c r="C53" s="342"/>
      <c r="D53" s="360"/>
      <c r="E53" s="354"/>
      <c r="F53" s="212">
        <f>B54</f>
        <v>0.34389999999999987</v>
      </c>
      <c r="G53" s="328">
        <v>0</v>
      </c>
      <c r="H53" s="328">
        <v>0</v>
      </c>
      <c r="I53" s="336">
        <v>0</v>
      </c>
      <c r="J53" s="341">
        <f>F53*I53</f>
        <v>0</v>
      </c>
    </row>
    <row r="54" spans="2:10" x14ac:dyDescent="0.2">
      <c r="B54" s="327">
        <f>1-EarlySuccess</f>
        <v>0.34389999999999987</v>
      </c>
      <c r="C54" s="327"/>
      <c r="D54" s="327"/>
      <c r="E54" s="328"/>
      <c r="F54" s="328"/>
      <c r="G54" s="335"/>
      <c r="H54" s="335"/>
      <c r="I54" s="335"/>
      <c r="J54" s="224"/>
    </row>
    <row r="55" spans="2:10" x14ac:dyDescent="0.2">
      <c r="B55" s="327"/>
      <c r="C55" s="327"/>
      <c r="D55" s="327"/>
      <c r="E55" s="328"/>
      <c r="F55" s="363">
        <f>SUM(F42:F53)</f>
        <v>1</v>
      </c>
      <c r="G55" s="364"/>
      <c r="H55" s="364"/>
      <c r="I55" s="365"/>
      <c r="J55" s="366">
        <f t="array" ref="J55">SUM(F42:F53*I42:I53)</f>
        <v>13.47800195952</v>
      </c>
    </row>
    <row r="56" spans="2:10" x14ac:dyDescent="0.2">
      <c r="B56" s="378"/>
      <c r="C56" s="378"/>
      <c r="D56" s="162"/>
      <c r="E56" s="162"/>
      <c r="F56" s="157" t="s">
        <v>148</v>
      </c>
      <c r="G56" s="224"/>
      <c r="J56" s="341">
        <f>IF(SUM(F42:F48)=0,0,J55/SUM(F42:F48))</f>
        <v>50.948916666666662</v>
      </c>
    </row>
    <row r="57" spans="2:10" x14ac:dyDescent="0.2">
      <c r="B57" s="286"/>
      <c r="C57" s="378"/>
      <c r="D57" s="162"/>
      <c r="E57" s="162"/>
      <c r="F57" s="157" t="s">
        <v>153</v>
      </c>
      <c r="G57" s="335"/>
      <c r="H57" s="335"/>
      <c r="I57" s="335"/>
      <c r="J57" s="368">
        <f>IF(SUM(F42:F46)=0,0,SUM(J42:J46)/SUM(F42:F46))</f>
        <v>161.38888888888889</v>
      </c>
    </row>
    <row r="58" spans="2:10" x14ac:dyDescent="0.2">
      <c r="B58" s="286"/>
      <c r="C58" s="378"/>
      <c r="D58" s="162"/>
      <c r="E58" s="162"/>
      <c r="F58" s="335" t="s">
        <v>154</v>
      </c>
      <c r="I58" s="329"/>
      <c r="J58" s="369">
        <f>SUM(F42:F48)</f>
        <v>0.26453952000000003</v>
      </c>
    </row>
    <row r="59" spans="2:10" x14ac:dyDescent="0.2">
      <c r="B59" s="286"/>
      <c r="C59" s="378"/>
      <c r="D59" s="162"/>
      <c r="E59" s="162"/>
      <c r="F59" s="335" t="s">
        <v>155</v>
      </c>
      <c r="I59" s="329"/>
      <c r="J59" s="369">
        <f>SUM(F42:F46)</f>
        <v>7.7774618880000007E-2</v>
      </c>
    </row>
    <row r="60" spans="2:10" x14ac:dyDescent="0.2">
      <c r="B60" s="286"/>
      <c r="C60" s="378"/>
      <c r="D60" s="162"/>
      <c r="E60" s="162"/>
      <c r="F60" s="162" t="s">
        <v>156</v>
      </c>
      <c r="G60" s="335"/>
      <c r="H60" s="335"/>
      <c r="I60" s="335"/>
      <c r="J60" s="370">
        <f>pFailCrossChasm</f>
        <v>0.3915604800000001</v>
      </c>
    </row>
    <row r="61" spans="2:10" x14ac:dyDescent="0.2">
      <c r="B61" s="286"/>
      <c r="C61" s="286"/>
      <c r="F61" s="371" t="s">
        <v>157</v>
      </c>
      <c r="G61" s="162"/>
      <c r="H61" s="162"/>
      <c r="I61" s="162"/>
      <c r="J61" s="212">
        <f>pFailEarlyStage</f>
        <v>0.34389999999999987</v>
      </c>
    </row>
    <row r="62" spans="2:10" x14ac:dyDescent="0.2">
      <c r="B62" s="286"/>
      <c r="C62" s="286"/>
    </row>
    <row r="63" spans="2:10" x14ac:dyDescent="0.2">
      <c r="B63" s="286"/>
      <c r="C63" s="286"/>
    </row>
    <row r="64" spans="2:10" x14ac:dyDescent="0.2">
      <c r="B64" s="286"/>
      <c r="C64" s="286"/>
    </row>
    <row r="65" spans="2:3" x14ac:dyDescent="0.2">
      <c r="B65" s="286"/>
      <c r="C65" s="286"/>
    </row>
  </sheetData>
  <conditionalFormatting sqref="B12">
    <cfRule type="expression" dxfId="4" priority="1" stopIfTrue="1">
      <formula>IF($E12=4, TRUE, FALSE)</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valuateModel">
                <anchor moveWithCells="1" sizeWithCells="1">
                  <from>
                    <xdr:col>10</xdr:col>
                    <xdr:colOff>723900</xdr:colOff>
                    <xdr:row>2</xdr:row>
                    <xdr:rowOff>0</xdr:rowOff>
                  </from>
                  <to>
                    <xdr:col>13</xdr:col>
                    <xdr:colOff>635000</xdr:colOff>
                    <xdr:row>6</xdr:row>
                    <xdr:rowOff>50800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4F8FAB-73A1-7C4D-BFB0-798D34689E4B}">
  <sheetPr codeName="Sheet4"/>
  <dimension ref="B1:FC247"/>
  <sheetViews>
    <sheetView workbookViewId="0">
      <selection activeCell="G4" sqref="G4"/>
    </sheetView>
  </sheetViews>
  <sheetFormatPr baseColWidth="10" defaultRowHeight="14" x14ac:dyDescent="0.2"/>
  <cols>
    <col min="1" max="2" width="10.7109375" style="157"/>
    <col min="3" max="3" width="37.140625" style="157" customWidth="1"/>
    <col min="4" max="15" width="10.7109375" style="157"/>
    <col min="16" max="16" width="42.5703125" style="157" customWidth="1"/>
    <col min="17" max="18" width="10.7109375" style="157"/>
    <col min="19" max="19" width="38.28515625" style="157" bestFit="1" customWidth="1"/>
    <col min="20" max="20" width="14.85546875" style="157" customWidth="1"/>
    <col min="21" max="21" width="25.28515625" style="158" bestFit="1" customWidth="1"/>
    <col min="22" max="22" width="10.7109375" style="159"/>
    <col min="23" max="23" width="10.7109375" style="158"/>
    <col min="24" max="24" width="10.7109375" style="159"/>
    <col min="25" max="25" width="10.7109375" style="160"/>
    <col min="26" max="27" width="10.7109375" style="159"/>
    <col min="28" max="28" width="10.7109375" style="160"/>
    <col min="29" max="29" width="10.7109375" style="159"/>
    <col min="30" max="31" width="10.7109375" style="160"/>
    <col min="32" max="32" width="12.5703125" style="160" bestFit="1" customWidth="1"/>
    <col min="33" max="33" width="10.7109375" style="160"/>
    <col min="34" max="34" width="10.7109375" style="157"/>
    <col min="35" max="35" width="16.42578125" style="158" bestFit="1" customWidth="1"/>
    <col min="36" max="36" width="10.7109375" style="159"/>
    <col min="37" max="37" width="10.7109375" style="158"/>
    <col min="38" max="38" width="10.7109375" style="159"/>
    <col min="39" max="39" width="10.7109375" style="160"/>
    <col min="40" max="41" width="10.7109375" style="159"/>
    <col min="42" max="42" width="10.7109375" style="160"/>
    <col min="43" max="43" width="10.7109375" style="159"/>
    <col min="44" max="45" width="10.7109375" style="160"/>
    <col min="46" max="46" width="12.5703125" style="160" bestFit="1" customWidth="1"/>
    <col min="47" max="47" width="10.7109375" style="160"/>
    <col min="48" max="48" width="10.7109375" style="157"/>
    <col min="49" max="49" width="16.42578125" style="158" bestFit="1" customWidth="1"/>
    <col min="50" max="50" width="10.7109375" style="159"/>
    <col min="51" max="51" width="10.7109375" style="158"/>
    <col min="52" max="52" width="10.7109375" style="159"/>
    <col min="53" max="53" width="10.7109375" style="160"/>
    <col min="54" max="55" width="10.7109375" style="159"/>
    <col min="56" max="56" width="10.7109375" style="160"/>
    <col min="57" max="57" width="10.7109375" style="159"/>
    <col min="58" max="59" width="10.7109375" style="160"/>
    <col min="60" max="60" width="12.5703125" style="160" bestFit="1" customWidth="1"/>
    <col min="61" max="61" width="10.7109375" style="160"/>
    <col min="62" max="62" width="10.7109375" style="157"/>
    <col min="63" max="63" width="16.42578125" style="158" bestFit="1" customWidth="1"/>
    <col min="64" max="64" width="10.7109375" style="159"/>
    <col min="65" max="65" width="10.7109375" style="158"/>
    <col min="66" max="66" width="10.7109375" style="159"/>
    <col min="67" max="67" width="10.7109375" style="160"/>
    <col min="68" max="69" width="10.7109375" style="159"/>
    <col min="70" max="70" width="10.7109375" style="160"/>
    <col min="71" max="71" width="10.7109375" style="159"/>
    <col min="72" max="73" width="10.7109375" style="160"/>
    <col min="74" max="74" width="12.5703125" style="160" bestFit="1" customWidth="1"/>
    <col min="75" max="75" width="10.7109375" style="160"/>
    <col min="76" max="76" width="10.7109375" style="157"/>
    <col min="77" max="77" width="16.42578125" style="158" bestFit="1" customWidth="1"/>
    <col min="78" max="78" width="10.7109375" style="159"/>
    <col min="79" max="79" width="10.7109375" style="158"/>
    <col min="80" max="80" width="10.7109375" style="159"/>
    <col min="81" max="81" width="10.7109375" style="160"/>
    <col min="82" max="83" width="10.7109375" style="159"/>
    <col min="84" max="84" width="10.7109375" style="160"/>
    <col min="85" max="85" width="10.7109375" style="159"/>
    <col min="86" max="87" width="10.7109375" style="160"/>
    <col min="88" max="88" width="12.5703125" style="160" bestFit="1" customWidth="1"/>
    <col min="89" max="89" width="10.7109375" style="160"/>
    <col min="90" max="90" width="10.7109375" style="157"/>
    <col min="91" max="91" width="16.42578125" style="158" bestFit="1" customWidth="1"/>
    <col min="92" max="92" width="10.7109375" style="159"/>
    <col min="93" max="93" width="10.7109375" style="158"/>
    <col min="94" max="94" width="10.7109375" style="159"/>
    <col min="95" max="95" width="10.7109375" style="160"/>
    <col min="96" max="97" width="10.7109375" style="159"/>
    <col min="98" max="98" width="10.7109375" style="160"/>
    <col min="99" max="99" width="10.7109375" style="159"/>
    <col min="100" max="101" width="10.7109375" style="160"/>
    <col min="102" max="102" width="12.5703125" style="160" bestFit="1" customWidth="1"/>
    <col min="103" max="103" width="10.7109375" style="160"/>
    <col min="104" max="104" width="10.7109375" style="157"/>
    <col min="105" max="105" width="16.42578125" style="158" bestFit="1" customWidth="1"/>
    <col min="106" max="106" width="10.7109375" style="159"/>
    <col min="107" max="107" width="10.7109375" style="158"/>
    <col min="108" max="108" width="10.7109375" style="159"/>
    <col min="109" max="109" width="10.7109375" style="160"/>
    <col min="110" max="111" width="10.7109375" style="159"/>
    <col min="112" max="112" width="10.7109375" style="160"/>
    <col min="113" max="113" width="10.7109375" style="159"/>
    <col min="114" max="115" width="10.7109375" style="160"/>
    <col min="116" max="116" width="12.5703125" style="160" bestFit="1" customWidth="1"/>
    <col min="117" max="117" width="10.7109375" style="160"/>
    <col min="118" max="118" width="10.7109375" style="157"/>
    <col min="119" max="119" width="16.42578125" style="158" bestFit="1" customWidth="1"/>
    <col min="120" max="120" width="10.7109375" style="159"/>
    <col min="121" max="121" width="10.7109375" style="158"/>
    <col min="122" max="122" width="10.7109375" style="159"/>
    <col min="123" max="123" width="10.7109375" style="160"/>
    <col min="124" max="125" width="10.7109375" style="159"/>
    <col min="126" max="126" width="10.7109375" style="160"/>
    <col min="127" max="127" width="10.7109375" style="159"/>
    <col min="128" max="129" width="10.7109375" style="160"/>
    <col min="130" max="130" width="12.5703125" style="160" bestFit="1" customWidth="1"/>
    <col min="131" max="131" width="10.7109375" style="160"/>
    <col min="132" max="132" width="10.7109375" style="157"/>
    <col min="133" max="133" width="16.42578125" style="158" bestFit="1" customWidth="1"/>
    <col min="134" max="134" width="10.7109375" style="159"/>
    <col min="135" max="135" width="10.7109375" style="158"/>
    <col min="136" max="136" width="10.7109375" style="159"/>
    <col min="137" max="137" width="10.7109375" style="160"/>
    <col min="138" max="139" width="10.7109375" style="159"/>
    <col min="140" max="140" width="10.7109375" style="160"/>
    <col min="141" max="141" width="10.7109375" style="159"/>
    <col min="142" max="143" width="10.7109375" style="160"/>
    <col min="144" max="144" width="12.5703125" style="160" bestFit="1" customWidth="1"/>
    <col min="145" max="145" width="10.7109375" style="160"/>
    <col min="146" max="146" width="10.7109375" style="157"/>
    <col min="147" max="147" width="16.42578125" style="158" bestFit="1" customWidth="1"/>
    <col min="148" max="148" width="10.7109375" style="159"/>
    <col min="149" max="149" width="10.7109375" style="158"/>
    <col min="150" max="150" width="10.7109375" style="159"/>
    <col min="151" max="151" width="10.7109375" style="160"/>
    <col min="152" max="153" width="10.7109375" style="159"/>
    <col min="154" max="154" width="10.7109375" style="160"/>
    <col min="155" max="155" width="10.7109375" style="159"/>
    <col min="156" max="157" width="10.7109375" style="160"/>
    <col min="158" max="158" width="12.5703125" style="160" bestFit="1" customWidth="1"/>
    <col min="159" max="159" width="10.7109375" style="160"/>
    <col min="160" max="16384" width="10.7109375" style="157"/>
  </cols>
  <sheetData>
    <row r="1" spans="2:159" s="159" customFormat="1" ht="15" thickBot="1" x14ac:dyDescent="0.25"/>
    <row r="2" spans="2:159" ht="20" thickBot="1" x14ac:dyDescent="0.3">
      <c r="B2" s="178" t="s">
        <v>113</v>
      </c>
      <c r="C2" s="179" t="s">
        <v>221</v>
      </c>
      <c r="E2" s="162"/>
      <c r="S2" s="174" t="s">
        <v>106</v>
      </c>
      <c r="T2" s="172"/>
      <c r="U2" s="387" t="s">
        <v>229</v>
      </c>
      <c r="V2" s="388"/>
      <c r="W2" s="388"/>
      <c r="X2" s="388"/>
      <c r="Y2" s="388"/>
      <c r="Z2" s="388"/>
      <c r="AA2" s="388"/>
      <c r="AB2" s="388"/>
      <c r="AC2" s="388"/>
      <c r="AD2" s="388"/>
      <c r="AE2" s="388"/>
      <c r="AF2" s="388"/>
      <c r="AG2" s="389"/>
      <c r="AH2" s="162"/>
      <c r="AI2" s="387" t="s">
        <v>115</v>
      </c>
      <c r="AJ2" s="388"/>
      <c r="AK2" s="388"/>
      <c r="AL2" s="388"/>
      <c r="AM2" s="388"/>
      <c r="AN2" s="388"/>
      <c r="AO2" s="388"/>
      <c r="AP2" s="388"/>
      <c r="AQ2" s="388"/>
      <c r="AR2" s="388"/>
      <c r="AS2" s="388"/>
      <c r="AT2" s="388"/>
      <c r="AU2" s="389"/>
      <c r="AW2" s="387" t="s">
        <v>116</v>
      </c>
      <c r="AX2" s="388"/>
      <c r="AY2" s="388"/>
      <c r="AZ2" s="388"/>
      <c r="BA2" s="388"/>
      <c r="BB2" s="388"/>
      <c r="BC2" s="388"/>
      <c r="BD2" s="388"/>
      <c r="BE2" s="388"/>
      <c r="BF2" s="388"/>
      <c r="BG2" s="388"/>
      <c r="BH2" s="388"/>
      <c r="BI2" s="389"/>
      <c r="BK2" s="387" t="s">
        <v>150</v>
      </c>
      <c r="BL2" s="388"/>
      <c r="BM2" s="388"/>
      <c r="BN2" s="388"/>
      <c r="BO2" s="388"/>
      <c r="BP2" s="388"/>
      <c r="BQ2" s="388"/>
      <c r="BR2" s="388"/>
      <c r="BS2" s="388"/>
      <c r="BT2" s="388"/>
      <c r="BU2" s="388"/>
      <c r="BV2" s="388"/>
      <c r="BW2" s="389"/>
      <c r="BY2" s="387" t="s">
        <v>107</v>
      </c>
      <c r="BZ2" s="388"/>
      <c r="CA2" s="388"/>
      <c r="CB2" s="388"/>
      <c r="CC2" s="388"/>
      <c r="CD2" s="388"/>
      <c r="CE2" s="388"/>
      <c r="CF2" s="388"/>
      <c r="CG2" s="388"/>
      <c r="CH2" s="388"/>
      <c r="CI2" s="388"/>
      <c r="CJ2" s="388"/>
      <c r="CK2" s="389"/>
      <c r="CM2" s="390" t="s">
        <v>108</v>
      </c>
      <c r="CN2" s="391"/>
      <c r="CO2" s="391"/>
      <c r="CP2" s="391"/>
      <c r="CQ2" s="391"/>
      <c r="CR2" s="391"/>
      <c r="CS2" s="391"/>
      <c r="CT2" s="391"/>
      <c r="CU2" s="391"/>
      <c r="CV2" s="391"/>
      <c r="CW2" s="391"/>
      <c r="CX2" s="391"/>
      <c r="CY2" s="392"/>
      <c r="DA2" s="390" t="s">
        <v>109</v>
      </c>
      <c r="DB2" s="391"/>
      <c r="DC2" s="391"/>
      <c r="DD2" s="391"/>
      <c r="DE2" s="391"/>
      <c r="DF2" s="391"/>
      <c r="DG2" s="391"/>
      <c r="DH2" s="391"/>
      <c r="DI2" s="391"/>
      <c r="DJ2" s="391"/>
      <c r="DK2" s="391"/>
      <c r="DL2" s="391"/>
      <c r="DM2" s="392"/>
      <c r="DO2" s="390" t="s">
        <v>110</v>
      </c>
      <c r="DP2" s="391"/>
      <c r="DQ2" s="391"/>
      <c r="DR2" s="391"/>
      <c r="DS2" s="391"/>
      <c r="DT2" s="391"/>
      <c r="DU2" s="391"/>
      <c r="DV2" s="391"/>
      <c r="DW2" s="391"/>
      <c r="DX2" s="391"/>
      <c r="DY2" s="391"/>
      <c r="DZ2" s="391"/>
      <c r="EA2" s="392"/>
      <c r="EC2" s="390" t="s">
        <v>111</v>
      </c>
      <c r="ED2" s="391"/>
      <c r="EE2" s="391"/>
      <c r="EF2" s="391"/>
      <c r="EG2" s="391"/>
      <c r="EH2" s="391"/>
      <c r="EI2" s="391"/>
      <c r="EJ2" s="391"/>
      <c r="EK2" s="391"/>
      <c r="EL2" s="391"/>
      <c r="EM2" s="391"/>
      <c r="EN2" s="391"/>
      <c r="EO2" s="392"/>
      <c r="EQ2" s="390" t="s">
        <v>112</v>
      </c>
      <c r="ER2" s="391"/>
      <c r="ES2" s="391"/>
      <c r="ET2" s="391"/>
      <c r="EU2" s="391"/>
      <c r="EV2" s="391"/>
      <c r="EW2" s="391"/>
      <c r="EX2" s="391"/>
      <c r="EY2" s="391"/>
      <c r="EZ2" s="391"/>
      <c r="FA2" s="391"/>
      <c r="FB2" s="391"/>
      <c r="FC2" s="392"/>
    </row>
    <row r="3" spans="2:159" x14ac:dyDescent="0.2">
      <c r="R3" s="182">
        <v>1</v>
      </c>
      <c r="S3" s="177" t="s">
        <v>221</v>
      </c>
      <c r="T3" s="172"/>
      <c r="U3" s="169"/>
      <c r="V3" s="171"/>
      <c r="W3" s="169"/>
      <c r="X3" s="170" t="s">
        <v>92</v>
      </c>
      <c r="Y3" s="170"/>
      <c r="Z3" s="169"/>
      <c r="AA3" s="170" t="s">
        <v>93</v>
      </c>
      <c r="AB3" s="171"/>
      <c r="AC3" s="170"/>
      <c r="AD3" s="170"/>
      <c r="AE3" s="384" t="s">
        <v>105</v>
      </c>
      <c r="AF3" s="385"/>
      <c r="AG3" s="386"/>
      <c r="AI3" s="169"/>
      <c r="AJ3" s="171"/>
      <c r="AK3" s="169"/>
      <c r="AL3" s="170" t="s">
        <v>92</v>
      </c>
      <c r="AM3" s="170"/>
      <c r="AN3" s="169"/>
      <c r="AO3" s="170" t="s">
        <v>93</v>
      </c>
      <c r="AP3" s="171"/>
      <c r="AQ3" s="170"/>
      <c r="AR3" s="170"/>
      <c r="AS3" s="384" t="s">
        <v>105</v>
      </c>
      <c r="AT3" s="385"/>
      <c r="AU3" s="386"/>
      <c r="AW3" s="169"/>
      <c r="AX3" s="171"/>
      <c r="AY3" s="169"/>
      <c r="AZ3" s="170" t="s">
        <v>92</v>
      </c>
      <c r="BA3" s="170"/>
      <c r="BB3" s="169"/>
      <c r="BC3" s="170" t="s">
        <v>93</v>
      </c>
      <c r="BD3" s="171"/>
      <c r="BE3" s="170"/>
      <c r="BF3" s="170"/>
      <c r="BG3" s="384" t="s">
        <v>105</v>
      </c>
      <c r="BH3" s="385"/>
      <c r="BI3" s="386"/>
      <c r="BK3" s="169"/>
      <c r="BL3" s="171"/>
      <c r="BM3" s="169"/>
      <c r="BN3" s="170" t="s">
        <v>92</v>
      </c>
      <c r="BO3" s="170"/>
      <c r="BP3" s="169"/>
      <c r="BQ3" s="170" t="s">
        <v>93</v>
      </c>
      <c r="BR3" s="171"/>
      <c r="BS3" s="170"/>
      <c r="BT3" s="170"/>
      <c r="BU3" s="384" t="s">
        <v>105</v>
      </c>
      <c r="BV3" s="385"/>
      <c r="BW3" s="386"/>
      <c r="BY3" s="169"/>
      <c r="BZ3" s="171"/>
      <c r="CA3" s="169"/>
      <c r="CB3" s="170" t="s">
        <v>92</v>
      </c>
      <c r="CC3" s="170"/>
      <c r="CD3" s="169"/>
      <c r="CE3" s="170" t="s">
        <v>93</v>
      </c>
      <c r="CF3" s="171"/>
      <c r="CG3" s="170"/>
      <c r="CH3" s="170"/>
      <c r="CI3" s="384" t="s">
        <v>105</v>
      </c>
      <c r="CJ3" s="385"/>
      <c r="CK3" s="386"/>
      <c r="CM3" s="169"/>
      <c r="CN3" s="171"/>
      <c r="CO3" s="169"/>
      <c r="CP3" s="170" t="s">
        <v>92</v>
      </c>
      <c r="CQ3" s="170"/>
      <c r="CR3" s="169"/>
      <c r="CS3" s="170" t="s">
        <v>93</v>
      </c>
      <c r="CT3" s="171"/>
      <c r="CU3" s="170"/>
      <c r="CV3" s="170"/>
      <c r="CW3" s="384" t="s">
        <v>105</v>
      </c>
      <c r="CX3" s="385"/>
      <c r="CY3" s="386"/>
      <c r="DA3" s="169"/>
      <c r="DB3" s="171"/>
      <c r="DC3" s="169"/>
      <c r="DD3" s="170" t="s">
        <v>92</v>
      </c>
      <c r="DE3" s="170"/>
      <c r="DF3" s="169"/>
      <c r="DG3" s="170" t="s">
        <v>93</v>
      </c>
      <c r="DH3" s="171"/>
      <c r="DI3" s="170"/>
      <c r="DJ3" s="170"/>
      <c r="DK3" s="384" t="s">
        <v>105</v>
      </c>
      <c r="DL3" s="385"/>
      <c r="DM3" s="386"/>
      <c r="DO3" s="169"/>
      <c r="DP3" s="171"/>
      <c r="DQ3" s="169"/>
      <c r="DR3" s="170" t="s">
        <v>92</v>
      </c>
      <c r="DS3" s="170"/>
      <c r="DT3" s="169"/>
      <c r="DU3" s="170" t="s">
        <v>93</v>
      </c>
      <c r="DV3" s="171"/>
      <c r="DW3" s="170"/>
      <c r="DX3" s="170"/>
      <c r="DY3" s="384" t="s">
        <v>105</v>
      </c>
      <c r="DZ3" s="385"/>
      <c r="EA3" s="386"/>
      <c r="EC3" s="169"/>
      <c r="ED3" s="171"/>
      <c r="EE3" s="169"/>
      <c r="EF3" s="170" t="s">
        <v>92</v>
      </c>
      <c r="EG3" s="170"/>
      <c r="EH3" s="169"/>
      <c r="EI3" s="170" t="s">
        <v>93</v>
      </c>
      <c r="EJ3" s="171"/>
      <c r="EK3" s="170"/>
      <c r="EL3" s="170"/>
      <c r="EM3" s="384" t="s">
        <v>105</v>
      </c>
      <c r="EN3" s="385"/>
      <c r="EO3" s="386"/>
      <c r="EQ3" s="169"/>
      <c r="ER3" s="171"/>
      <c r="ES3" s="169"/>
      <c r="ET3" s="170" t="s">
        <v>92</v>
      </c>
      <c r="EU3" s="170"/>
      <c r="EV3" s="169"/>
      <c r="EW3" s="170" t="s">
        <v>93</v>
      </c>
      <c r="EX3" s="171"/>
      <c r="EY3" s="170"/>
      <c r="EZ3" s="170"/>
      <c r="FA3" s="384" t="s">
        <v>105</v>
      </c>
      <c r="FB3" s="385"/>
      <c r="FC3" s="386"/>
    </row>
    <row r="4" spans="2:159" x14ac:dyDescent="0.2">
      <c r="R4" s="182">
        <v>2</v>
      </c>
      <c r="S4" s="175" t="s">
        <v>89</v>
      </c>
      <c r="T4" s="172"/>
      <c r="U4" s="167" t="s">
        <v>94</v>
      </c>
      <c r="V4" s="166" t="s">
        <v>95</v>
      </c>
      <c r="W4" s="163" t="s">
        <v>14</v>
      </c>
      <c r="X4" s="164" t="s">
        <v>96</v>
      </c>
      <c r="Y4" s="165" t="s">
        <v>16</v>
      </c>
      <c r="Z4" s="164" t="s">
        <v>14</v>
      </c>
      <c r="AA4" s="164" t="s">
        <v>15</v>
      </c>
      <c r="AB4" s="165" t="s">
        <v>16</v>
      </c>
      <c r="AC4" s="164" t="s">
        <v>97</v>
      </c>
      <c r="AD4" s="165" t="s">
        <v>98</v>
      </c>
      <c r="AE4" s="168" t="s">
        <v>103</v>
      </c>
      <c r="AF4" s="165" t="s">
        <v>104</v>
      </c>
      <c r="AG4" s="165" t="s">
        <v>9</v>
      </c>
      <c r="AI4" s="167" t="s">
        <v>94</v>
      </c>
      <c r="AJ4" s="166" t="s">
        <v>95</v>
      </c>
      <c r="AK4" s="163" t="s">
        <v>14</v>
      </c>
      <c r="AL4" s="164" t="s">
        <v>96</v>
      </c>
      <c r="AM4" s="165" t="s">
        <v>16</v>
      </c>
      <c r="AN4" s="164" t="s">
        <v>14</v>
      </c>
      <c r="AO4" s="164" t="s">
        <v>15</v>
      </c>
      <c r="AP4" s="165" t="s">
        <v>16</v>
      </c>
      <c r="AQ4" s="164" t="s">
        <v>97</v>
      </c>
      <c r="AR4" s="165" t="s">
        <v>98</v>
      </c>
      <c r="AS4" s="168" t="s">
        <v>103</v>
      </c>
      <c r="AT4" s="165" t="s">
        <v>104</v>
      </c>
      <c r="AU4" s="165" t="s">
        <v>9</v>
      </c>
      <c r="AW4" s="167" t="s">
        <v>94</v>
      </c>
      <c r="AX4" s="166" t="s">
        <v>95</v>
      </c>
      <c r="AY4" s="163" t="s">
        <v>14</v>
      </c>
      <c r="AZ4" s="164" t="s">
        <v>96</v>
      </c>
      <c r="BA4" s="165" t="s">
        <v>16</v>
      </c>
      <c r="BB4" s="164" t="s">
        <v>14</v>
      </c>
      <c r="BC4" s="164" t="s">
        <v>15</v>
      </c>
      <c r="BD4" s="165" t="s">
        <v>16</v>
      </c>
      <c r="BE4" s="164" t="s">
        <v>97</v>
      </c>
      <c r="BF4" s="165" t="s">
        <v>98</v>
      </c>
      <c r="BG4" s="168" t="s">
        <v>103</v>
      </c>
      <c r="BH4" s="165" t="s">
        <v>104</v>
      </c>
      <c r="BI4" s="165" t="s">
        <v>9</v>
      </c>
      <c r="BK4" s="167" t="s">
        <v>94</v>
      </c>
      <c r="BL4" s="166" t="s">
        <v>95</v>
      </c>
      <c r="BM4" s="163" t="s">
        <v>14</v>
      </c>
      <c r="BN4" s="164" t="s">
        <v>96</v>
      </c>
      <c r="BO4" s="165" t="s">
        <v>16</v>
      </c>
      <c r="BP4" s="164" t="s">
        <v>14</v>
      </c>
      <c r="BQ4" s="164" t="s">
        <v>15</v>
      </c>
      <c r="BR4" s="165" t="s">
        <v>16</v>
      </c>
      <c r="BS4" s="164" t="s">
        <v>97</v>
      </c>
      <c r="BT4" s="165" t="s">
        <v>98</v>
      </c>
      <c r="BU4" s="168" t="s">
        <v>103</v>
      </c>
      <c r="BV4" s="165" t="s">
        <v>104</v>
      </c>
      <c r="BW4" s="165" t="s">
        <v>9</v>
      </c>
      <c r="BY4" s="167" t="s">
        <v>94</v>
      </c>
      <c r="BZ4" s="166" t="s">
        <v>95</v>
      </c>
      <c r="CA4" s="163" t="s">
        <v>14</v>
      </c>
      <c r="CB4" s="164" t="s">
        <v>96</v>
      </c>
      <c r="CC4" s="165" t="s">
        <v>16</v>
      </c>
      <c r="CD4" s="164" t="s">
        <v>14</v>
      </c>
      <c r="CE4" s="164" t="s">
        <v>15</v>
      </c>
      <c r="CF4" s="165" t="s">
        <v>16</v>
      </c>
      <c r="CG4" s="164" t="s">
        <v>97</v>
      </c>
      <c r="CH4" s="165" t="s">
        <v>98</v>
      </c>
      <c r="CI4" s="168" t="s">
        <v>103</v>
      </c>
      <c r="CJ4" s="165" t="s">
        <v>104</v>
      </c>
      <c r="CK4" s="165" t="s">
        <v>9</v>
      </c>
      <c r="CM4" s="167" t="s">
        <v>94</v>
      </c>
      <c r="CN4" s="166" t="s">
        <v>95</v>
      </c>
      <c r="CO4" s="163" t="s">
        <v>14</v>
      </c>
      <c r="CP4" s="164" t="s">
        <v>96</v>
      </c>
      <c r="CQ4" s="165" t="s">
        <v>16</v>
      </c>
      <c r="CR4" s="164" t="s">
        <v>14</v>
      </c>
      <c r="CS4" s="164" t="s">
        <v>15</v>
      </c>
      <c r="CT4" s="165" t="s">
        <v>16</v>
      </c>
      <c r="CU4" s="164" t="s">
        <v>97</v>
      </c>
      <c r="CV4" s="165" t="s">
        <v>98</v>
      </c>
      <c r="CW4" s="168" t="s">
        <v>103</v>
      </c>
      <c r="CX4" s="165" t="s">
        <v>104</v>
      </c>
      <c r="CY4" s="165" t="s">
        <v>9</v>
      </c>
      <c r="DA4" s="167" t="s">
        <v>94</v>
      </c>
      <c r="DB4" s="166" t="s">
        <v>95</v>
      </c>
      <c r="DC4" s="163" t="s">
        <v>14</v>
      </c>
      <c r="DD4" s="164" t="s">
        <v>96</v>
      </c>
      <c r="DE4" s="165" t="s">
        <v>16</v>
      </c>
      <c r="DF4" s="164" t="s">
        <v>14</v>
      </c>
      <c r="DG4" s="164" t="s">
        <v>15</v>
      </c>
      <c r="DH4" s="165" t="s">
        <v>16</v>
      </c>
      <c r="DI4" s="164" t="s">
        <v>97</v>
      </c>
      <c r="DJ4" s="165" t="s">
        <v>98</v>
      </c>
      <c r="DK4" s="168" t="s">
        <v>103</v>
      </c>
      <c r="DL4" s="165" t="s">
        <v>104</v>
      </c>
      <c r="DM4" s="165" t="s">
        <v>9</v>
      </c>
      <c r="DO4" s="167" t="s">
        <v>94</v>
      </c>
      <c r="DP4" s="166" t="s">
        <v>95</v>
      </c>
      <c r="DQ4" s="163" t="s">
        <v>14</v>
      </c>
      <c r="DR4" s="164" t="s">
        <v>96</v>
      </c>
      <c r="DS4" s="165" t="s">
        <v>16</v>
      </c>
      <c r="DT4" s="164" t="s">
        <v>14</v>
      </c>
      <c r="DU4" s="164" t="s">
        <v>15</v>
      </c>
      <c r="DV4" s="165" t="s">
        <v>16</v>
      </c>
      <c r="DW4" s="164" t="s">
        <v>97</v>
      </c>
      <c r="DX4" s="165" t="s">
        <v>98</v>
      </c>
      <c r="DY4" s="168" t="s">
        <v>103</v>
      </c>
      <c r="DZ4" s="165" t="s">
        <v>104</v>
      </c>
      <c r="EA4" s="165" t="s">
        <v>9</v>
      </c>
      <c r="EC4" s="167" t="s">
        <v>94</v>
      </c>
      <c r="ED4" s="166" t="s">
        <v>95</v>
      </c>
      <c r="EE4" s="163" t="s">
        <v>14</v>
      </c>
      <c r="EF4" s="164" t="s">
        <v>96</v>
      </c>
      <c r="EG4" s="165" t="s">
        <v>16</v>
      </c>
      <c r="EH4" s="164" t="s">
        <v>14</v>
      </c>
      <c r="EI4" s="164" t="s">
        <v>15</v>
      </c>
      <c r="EJ4" s="165" t="s">
        <v>16</v>
      </c>
      <c r="EK4" s="164" t="s">
        <v>97</v>
      </c>
      <c r="EL4" s="165" t="s">
        <v>98</v>
      </c>
      <c r="EM4" s="168" t="s">
        <v>103</v>
      </c>
      <c r="EN4" s="165" t="s">
        <v>104</v>
      </c>
      <c r="EO4" s="165" t="s">
        <v>9</v>
      </c>
      <c r="EQ4" s="167" t="s">
        <v>94</v>
      </c>
      <c r="ER4" s="166" t="s">
        <v>95</v>
      </c>
      <c r="ES4" s="163" t="s">
        <v>14</v>
      </c>
      <c r="ET4" s="164" t="s">
        <v>96</v>
      </c>
      <c r="EU4" s="165" t="s">
        <v>16</v>
      </c>
      <c r="EV4" s="164" t="s">
        <v>14</v>
      </c>
      <c r="EW4" s="164" t="s">
        <v>15</v>
      </c>
      <c r="EX4" s="165" t="s">
        <v>16</v>
      </c>
      <c r="EY4" s="164" t="s">
        <v>97</v>
      </c>
      <c r="EZ4" s="165" t="s">
        <v>98</v>
      </c>
      <c r="FA4" s="168" t="s">
        <v>103</v>
      </c>
      <c r="FB4" s="165" t="s">
        <v>104</v>
      </c>
      <c r="FC4" s="165" t="s">
        <v>9</v>
      </c>
    </row>
    <row r="5" spans="2:159" x14ac:dyDescent="0.2">
      <c r="R5" s="182">
        <v>3</v>
      </c>
      <c r="S5" s="175" t="s">
        <v>90</v>
      </c>
      <c r="T5" s="172"/>
      <c r="U5" s="173" t="s">
        <v>114</v>
      </c>
      <c r="V5" s="159" t="s">
        <v>2</v>
      </c>
      <c r="Z5" s="180">
        <v>2.0618606998079998</v>
      </c>
      <c r="AA5" s="180">
        <v>6.0678091051200003</v>
      </c>
      <c r="AB5" s="181">
        <v>15.311452939200002</v>
      </c>
      <c r="AE5" s="160">
        <v>9.765625E-4</v>
      </c>
      <c r="AF5" s="160">
        <v>9.765625E-4</v>
      </c>
      <c r="AG5" s="160">
        <v>0.57524449298399993</v>
      </c>
      <c r="AI5" s="173" t="s">
        <v>114</v>
      </c>
      <c r="AJ5" s="159" t="s">
        <v>2</v>
      </c>
      <c r="AN5" s="180">
        <v>4.3212133782720006</v>
      </c>
      <c r="AO5" s="180">
        <v>11.209575575520001</v>
      </c>
      <c r="AP5" s="181">
        <v>27.633996663840001</v>
      </c>
      <c r="AS5" s="160">
        <v>9.765625E-4</v>
      </c>
      <c r="AT5" s="160">
        <v>9.765625E-4</v>
      </c>
      <c r="AU5" s="160">
        <v>1.342237150296</v>
      </c>
      <c r="AW5" s="173" t="s">
        <v>114</v>
      </c>
      <c r="AX5" s="159" t="s">
        <v>18</v>
      </c>
      <c r="BB5" s="159">
        <v>7000</v>
      </c>
      <c r="BC5" s="159">
        <v>14000</v>
      </c>
      <c r="BD5" s="160">
        <v>18000</v>
      </c>
      <c r="BG5" s="160">
        <v>9.765625E-4</v>
      </c>
      <c r="BH5" s="160">
        <v>9.765625E-4</v>
      </c>
      <c r="BI5" s="160">
        <v>7000</v>
      </c>
      <c r="BK5" s="173" t="s">
        <v>114</v>
      </c>
      <c r="BL5" s="159" t="s">
        <v>2</v>
      </c>
      <c r="BP5" s="159">
        <v>7.7941499999999984</v>
      </c>
      <c r="BQ5" s="159">
        <v>22.937249999999999</v>
      </c>
      <c r="BR5" s="160">
        <v>57.879642857142862</v>
      </c>
      <c r="BU5" s="160">
        <v>9.765625E-4</v>
      </c>
      <c r="BV5" s="160">
        <v>9.765625E-4</v>
      </c>
      <c r="BW5" s="160">
        <v>2.1745124999999996</v>
      </c>
      <c r="BY5" s="173" t="s">
        <v>102</v>
      </c>
      <c r="CM5" s="173" t="s">
        <v>102</v>
      </c>
      <c r="DA5" s="173" t="s">
        <v>102</v>
      </c>
      <c r="DO5" s="173" t="s">
        <v>102</v>
      </c>
      <c r="EC5" s="173" t="s">
        <v>102</v>
      </c>
      <c r="EQ5" s="173" t="s">
        <v>102</v>
      </c>
    </row>
    <row r="6" spans="2:159" x14ac:dyDescent="0.2">
      <c r="R6" s="182">
        <v>4</v>
      </c>
      <c r="S6" s="175" t="s">
        <v>149</v>
      </c>
      <c r="T6" s="172"/>
      <c r="U6" s="158" t="s">
        <v>79</v>
      </c>
      <c r="V6" s="159" t="s">
        <v>18</v>
      </c>
      <c r="W6" s="158">
        <v>7000</v>
      </c>
      <c r="X6" s="159">
        <v>14000</v>
      </c>
      <c r="Y6" s="160">
        <v>18000</v>
      </c>
      <c r="Z6" s="159">
        <v>7.2020222971200001</v>
      </c>
      <c r="AA6" s="159">
        <v>7.2020222971200001</v>
      </c>
      <c r="AB6" s="160">
        <v>7.2020222971200001</v>
      </c>
      <c r="AC6" s="159">
        <v>0</v>
      </c>
      <c r="AD6" s="160">
        <v>0</v>
      </c>
      <c r="AE6" s="160">
        <v>1.953125E-3</v>
      </c>
      <c r="AF6" s="160">
        <v>2.9296875E-3</v>
      </c>
      <c r="AG6" s="160">
        <v>0.6627409392239999</v>
      </c>
      <c r="AI6" s="158" t="s">
        <v>43</v>
      </c>
      <c r="AJ6" s="159" t="s">
        <v>19</v>
      </c>
      <c r="AK6" s="158">
        <v>0.4</v>
      </c>
      <c r="AL6" s="159">
        <v>0.5</v>
      </c>
      <c r="AM6" s="160">
        <v>0.75</v>
      </c>
      <c r="AN6" s="159">
        <v>13.663210486464001</v>
      </c>
      <c r="AO6" s="159">
        <v>13.47800195952</v>
      </c>
      <c r="AP6" s="160">
        <v>13.014980642160001</v>
      </c>
      <c r="AQ6" s="159">
        <v>-0.64822984430399977</v>
      </c>
      <c r="AR6" s="160">
        <v>0.42020193104638776</v>
      </c>
      <c r="AS6" s="160">
        <v>1.953125E-3</v>
      </c>
      <c r="AT6" s="160">
        <v>2.9296875E-3</v>
      </c>
      <c r="AU6" s="160">
        <v>1.5463955248559997</v>
      </c>
      <c r="AW6" s="158" t="s">
        <v>87</v>
      </c>
      <c r="AX6" s="159" t="s">
        <v>19</v>
      </c>
      <c r="AY6" s="158">
        <v>0.1</v>
      </c>
      <c r="AZ6" s="159">
        <v>0.17</v>
      </c>
      <c r="BA6" s="160">
        <v>0.25</v>
      </c>
      <c r="BB6" s="159">
        <v>14000</v>
      </c>
      <c r="BC6" s="159">
        <v>14000</v>
      </c>
      <c r="BD6" s="160">
        <v>14000</v>
      </c>
      <c r="BE6" s="159">
        <v>0</v>
      </c>
      <c r="BF6" s="160">
        <v>0</v>
      </c>
      <c r="BG6" s="160">
        <v>1.953125E-3</v>
      </c>
      <c r="BH6" s="160">
        <v>2.9296875E-3</v>
      </c>
      <c r="BI6" s="160">
        <v>7000</v>
      </c>
      <c r="BK6" s="158" t="s">
        <v>79</v>
      </c>
      <c r="BL6" s="159" t="s">
        <v>18</v>
      </c>
      <c r="BM6" s="158">
        <v>7000</v>
      </c>
      <c r="BN6" s="159">
        <v>14000</v>
      </c>
      <c r="BO6" s="160">
        <v>18000</v>
      </c>
      <c r="BP6" s="159">
        <v>27.224749999999997</v>
      </c>
      <c r="BQ6" s="159">
        <v>27.224749999999997</v>
      </c>
      <c r="BR6" s="160">
        <v>27.224749999999997</v>
      </c>
      <c r="BS6" s="159">
        <v>0</v>
      </c>
      <c r="BT6" s="160">
        <v>0</v>
      </c>
      <c r="BU6" s="160">
        <v>1.953125E-3</v>
      </c>
      <c r="BV6" s="160">
        <v>2.9296875E-3</v>
      </c>
      <c r="BW6" s="160">
        <v>2.5052624999999993</v>
      </c>
    </row>
    <row r="7" spans="2:159" x14ac:dyDescent="0.2">
      <c r="R7" s="182">
        <v>5</v>
      </c>
      <c r="S7" s="175" t="str">
        <f t="shared" ref="S7:S12" si="0">"--Not Used--"</f>
        <v>--Not Used--</v>
      </c>
      <c r="T7" s="172"/>
      <c r="U7" s="158" t="s">
        <v>43</v>
      </c>
      <c r="V7" s="159" t="s">
        <v>19</v>
      </c>
      <c r="W7" s="158">
        <v>0.4</v>
      </c>
      <c r="X7" s="159">
        <v>0.5</v>
      </c>
      <c r="Y7" s="160">
        <v>0.75</v>
      </c>
      <c r="Z7" s="159">
        <v>7.3872308240639999</v>
      </c>
      <c r="AA7" s="159">
        <v>7.2020222971200001</v>
      </c>
      <c r="AB7" s="160">
        <v>6.7390009797600001</v>
      </c>
      <c r="AC7" s="159">
        <v>-0.64822984430399977</v>
      </c>
      <c r="AD7" s="160">
        <v>0.42020193104638776</v>
      </c>
      <c r="AE7" s="160">
        <v>9.765625E-4</v>
      </c>
      <c r="AF7" s="160">
        <v>3.90625E-3</v>
      </c>
      <c r="AG7" s="160">
        <v>0.75023738546399987</v>
      </c>
      <c r="AI7" s="158" t="s">
        <v>87</v>
      </c>
      <c r="AJ7" s="159" t="s">
        <v>19</v>
      </c>
      <c r="AK7" s="158">
        <v>0.1</v>
      </c>
      <c r="AL7" s="159">
        <v>0.17</v>
      </c>
      <c r="AM7" s="160">
        <v>0.25</v>
      </c>
      <c r="AN7" s="159">
        <v>13.096690286400001</v>
      </c>
      <c r="AO7" s="159">
        <v>13.47800195952</v>
      </c>
      <c r="AP7" s="160">
        <v>13.9137867288</v>
      </c>
      <c r="AQ7" s="159">
        <v>0.81709644239999868</v>
      </c>
      <c r="AR7" s="160">
        <v>0.66764659618273436</v>
      </c>
      <c r="AS7" s="160">
        <v>9.765625E-4</v>
      </c>
      <c r="AT7" s="160">
        <v>3.90625E-3</v>
      </c>
      <c r="AU7" s="160">
        <v>1.7505538994159997</v>
      </c>
      <c r="AW7" s="158" t="s">
        <v>72</v>
      </c>
      <c r="AX7" s="159" t="s">
        <v>19</v>
      </c>
      <c r="AY7" s="158">
        <v>0.02</v>
      </c>
      <c r="AZ7" s="159">
        <v>0.03</v>
      </c>
      <c r="BA7" s="160">
        <v>0.04</v>
      </c>
      <c r="BB7" s="159">
        <v>14000</v>
      </c>
      <c r="BC7" s="159">
        <v>14000</v>
      </c>
      <c r="BD7" s="160">
        <v>14000</v>
      </c>
      <c r="BE7" s="159">
        <v>0</v>
      </c>
      <c r="BF7" s="160">
        <v>0</v>
      </c>
      <c r="BG7" s="160">
        <v>1.953125E-3</v>
      </c>
      <c r="BH7" s="160">
        <v>4.8828125E-3</v>
      </c>
      <c r="BI7" s="160">
        <v>7000</v>
      </c>
      <c r="BK7" s="158" t="s">
        <v>43</v>
      </c>
      <c r="BL7" s="159" t="s">
        <v>19</v>
      </c>
      <c r="BM7" s="158">
        <v>0.4</v>
      </c>
      <c r="BN7" s="159">
        <v>0.5</v>
      </c>
      <c r="BO7" s="160">
        <v>0.75</v>
      </c>
      <c r="BP7" s="159">
        <v>27.924866666666663</v>
      </c>
      <c r="BQ7" s="159">
        <v>27.224749999999997</v>
      </c>
      <c r="BR7" s="160">
        <v>25.474458333333331</v>
      </c>
      <c r="BS7" s="159">
        <v>-2.450408333333332</v>
      </c>
      <c r="BT7" s="160">
        <v>6.0045010000694381</v>
      </c>
      <c r="BU7" s="160">
        <v>9.765625E-4</v>
      </c>
      <c r="BV7" s="160">
        <v>3.90625E-3</v>
      </c>
      <c r="BW7" s="160">
        <v>2.8360124999999994</v>
      </c>
    </row>
    <row r="8" spans="2:159" x14ac:dyDescent="0.2">
      <c r="R8" s="182">
        <v>6</v>
      </c>
      <c r="S8" s="175" t="str">
        <f t="shared" si="0"/>
        <v>--Not Used--</v>
      </c>
      <c r="T8" s="172"/>
      <c r="U8" s="158" t="s">
        <v>87</v>
      </c>
      <c r="V8" s="159" t="s">
        <v>19</v>
      </c>
      <c r="W8" s="158">
        <v>0.1</v>
      </c>
      <c r="X8" s="159">
        <v>0.17</v>
      </c>
      <c r="Y8" s="160">
        <v>0.25</v>
      </c>
      <c r="Z8" s="159">
        <v>6.8207106240000002</v>
      </c>
      <c r="AA8" s="159">
        <v>7.2020222971200001</v>
      </c>
      <c r="AB8" s="160">
        <v>7.6378070664000006</v>
      </c>
      <c r="AC8" s="159">
        <v>0.81709644240000046</v>
      </c>
      <c r="AD8" s="160">
        <v>0.66764659618273725</v>
      </c>
      <c r="AE8" s="160">
        <v>1.953125E-3</v>
      </c>
      <c r="AF8" s="160">
        <v>5.859375E-3</v>
      </c>
      <c r="AG8" s="160">
        <v>0.76699265731199995</v>
      </c>
      <c r="AI8" s="158" t="s">
        <v>172</v>
      </c>
      <c r="AJ8" s="159" t="s">
        <v>18</v>
      </c>
      <c r="AK8" s="158">
        <v>3000</v>
      </c>
      <c r="AL8" s="159">
        <v>7000</v>
      </c>
      <c r="AM8" s="160">
        <v>10000</v>
      </c>
      <c r="AN8" s="159">
        <v>12.948834739680001</v>
      </c>
      <c r="AO8" s="159">
        <v>13.47800195952</v>
      </c>
      <c r="AP8" s="160">
        <v>13.8748773744</v>
      </c>
      <c r="AQ8" s="159">
        <v>0.92604263471999992</v>
      </c>
      <c r="AR8" s="160">
        <v>0.8575549613191592</v>
      </c>
      <c r="AS8" s="160">
        <v>1.953125E-3</v>
      </c>
      <c r="AT8" s="160">
        <v>5.859375E-3</v>
      </c>
      <c r="AU8" s="160">
        <v>1.7896495337279998</v>
      </c>
      <c r="AW8" s="158" t="s">
        <v>70</v>
      </c>
      <c r="AX8" s="159" t="s">
        <v>19</v>
      </c>
      <c r="AY8" s="158">
        <v>0.05</v>
      </c>
      <c r="AZ8" s="159">
        <v>0.1</v>
      </c>
      <c r="BA8" s="160">
        <v>0.15</v>
      </c>
      <c r="BB8" s="159">
        <v>14000</v>
      </c>
      <c r="BC8" s="159">
        <v>14000</v>
      </c>
      <c r="BD8" s="160">
        <v>14000</v>
      </c>
      <c r="BE8" s="159">
        <v>0</v>
      </c>
      <c r="BF8" s="160">
        <v>0</v>
      </c>
      <c r="BG8" s="160">
        <v>1.953125E-3</v>
      </c>
      <c r="BH8" s="160">
        <v>6.8359375E-3</v>
      </c>
      <c r="BI8" s="160">
        <v>7000</v>
      </c>
      <c r="BK8" s="158" t="s">
        <v>87</v>
      </c>
      <c r="BL8" s="159" t="s">
        <v>19</v>
      </c>
      <c r="BM8" s="158">
        <v>0.1</v>
      </c>
      <c r="BN8" s="159">
        <v>0.17</v>
      </c>
      <c r="BO8" s="160">
        <v>0.25</v>
      </c>
      <c r="BP8" s="159">
        <v>25.783333333333331</v>
      </c>
      <c r="BQ8" s="159">
        <v>27.224749999999997</v>
      </c>
      <c r="BR8" s="160">
        <v>28.872083333333332</v>
      </c>
      <c r="BS8" s="159">
        <v>3.088750000000001</v>
      </c>
      <c r="BT8" s="160">
        <v>9.5403765625000059</v>
      </c>
      <c r="BU8" s="160">
        <v>1.953125E-3</v>
      </c>
      <c r="BV8" s="160">
        <v>5.859375E-3</v>
      </c>
      <c r="BW8" s="160">
        <v>2.8993499999999996</v>
      </c>
    </row>
    <row r="9" spans="2:159" x14ac:dyDescent="0.2">
      <c r="R9" s="182">
        <v>7</v>
      </c>
      <c r="S9" s="175" t="str">
        <f t="shared" si="0"/>
        <v>--Not Used--</v>
      </c>
      <c r="T9" s="172"/>
      <c r="U9" s="158" t="s">
        <v>72</v>
      </c>
      <c r="V9" s="159" t="s">
        <v>19</v>
      </c>
      <c r="W9" s="158">
        <v>0.02</v>
      </c>
      <c r="X9" s="159">
        <v>0.03</v>
      </c>
      <c r="Y9" s="160">
        <v>0.04</v>
      </c>
      <c r="Z9" s="159">
        <v>6.7483370203200002</v>
      </c>
      <c r="AA9" s="159">
        <v>7.2020222971200001</v>
      </c>
      <c r="AB9" s="160">
        <v>7.65570757392</v>
      </c>
      <c r="AC9" s="159">
        <v>0.90737055359999985</v>
      </c>
      <c r="AD9" s="160">
        <v>0.82332132154037019</v>
      </c>
      <c r="AE9" s="160">
        <v>3.90625E-3</v>
      </c>
      <c r="AF9" s="160">
        <v>9.765625E-3</v>
      </c>
      <c r="AG9" s="160">
        <v>0.88365458563199994</v>
      </c>
      <c r="AI9" s="158" t="s">
        <v>48</v>
      </c>
      <c r="AJ9" s="159" t="s">
        <v>19</v>
      </c>
      <c r="AK9" s="158">
        <v>0.3</v>
      </c>
      <c r="AL9" s="159">
        <v>0.5</v>
      </c>
      <c r="AM9" s="160">
        <v>0.8</v>
      </c>
      <c r="AN9" s="159">
        <v>13.107584905632001</v>
      </c>
      <c r="AO9" s="159">
        <v>13.47800195952</v>
      </c>
      <c r="AP9" s="160">
        <v>14.033627540352001</v>
      </c>
      <c r="AQ9" s="159">
        <v>0.92604263471999992</v>
      </c>
      <c r="AR9" s="160">
        <v>0.8575549613191592</v>
      </c>
      <c r="AS9" s="160">
        <v>3.90625E-3</v>
      </c>
      <c r="AT9" s="160">
        <v>9.765625E-3</v>
      </c>
      <c r="AU9" s="160">
        <v>2.0618606998079998</v>
      </c>
      <c r="AW9" s="158" t="s">
        <v>48</v>
      </c>
      <c r="AX9" s="159" t="s">
        <v>19</v>
      </c>
      <c r="AY9" s="158">
        <v>0.3</v>
      </c>
      <c r="AZ9" s="159">
        <v>0.5</v>
      </c>
      <c r="BA9" s="160">
        <v>0.8</v>
      </c>
      <c r="BB9" s="159">
        <v>14000</v>
      </c>
      <c r="BC9" s="159">
        <v>14000</v>
      </c>
      <c r="BD9" s="160">
        <v>14000</v>
      </c>
      <c r="BE9" s="159">
        <v>0</v>
      </c>
      <c r="BF9" s="160">
        <v>0</v>
      </c>
      <c r="BG9" s="160">
        <v>3.90625E-3</v>
      </c>
      <c r="BH9" s="160">
        <v>1.07421875E-2</v>
      </c>
      <c r="BI9" s="160">
        <v>7000</v>
      </c>
      <c r="BK9" s="158" t="s">
        <v>72</v>
      </c>
      <c r="BL9" s="159" t="s">
        <v>19</v>
      </c>
      <c r="BM9" s="158">
        <v>0.02</v>
      </c>
      <c r="BN9" s="159">
        <v>0.03</v>
      </c>
      <c r="BO9" s="160">
        <v>0.04</v>
      </c>
      <c r="BP9" s="159">
        <v>25.509749999999997</v>
      </c>
      <c r="BQ9" s="159">
        <v>27.224749999999997</v>
      </c>
      <c r="BR9" s="160">
        <v>28.939749999999997</v>
      </c>
      <c r="BS9" s="159">
        <v>3.4299999999999997</v>
      </c>
      <c r="BT9" s="160">
        <v>11.764899999999997</v>
      </c>
      <c r="BU9" s="160">
        <v>3.90625E-3</v>
      </c>
      <c r="BV9" s="160">
        <v>9.765625E-3</v>
      </c>
      <c r="BW9" s="160">
        <v>3.3403499999999995</v>
      </c>
    </row>
    <row r="10" spans="2:159" x14ac:dyDescent="0.2">
      <c r="R10" s="182">
        <v>8</v>
      </c>
      <c r="S10" s="175" t="str">
        <f t="shared" si="0"/>
        <v>--Not Used--</v>
      </c>
      <c r="T10" s="172"/>
      <c r="U10" s="158" t="s">
        <v>48</v>
      </c>
      <c r="V10" s="159" t="s">
        <v>19</v>
      </c>
      <c r="W10" s="158">
        <v>0.3</v>
      </c>
      <c r="X10" s="159">
        <v>0.5</v>
      </c>
      <c r="Y10" s="160">
        <v>0.8</v>
      </c>
      <c r="Z10" s="159">
        <v>6.8316052432319996</v>
      </c>
      <c r="AA10" s="159">
        <v>7.2020222971200001</v>
      </c>
      <c r="AB10" s="160">
        <v>7.7576478779519995</v>
      </c>
      <c r="AC10" s="159">
        <v>0.92604263471999992</v>
      </c>
      <c r="AD10" s="160">
        <v>0.8575549613191592</v>
      </c>
      <c r="AE10" s="160">
        <v>1.953125E-3</v>
      </c>
      <c r="AF10" s="160">
        <v>1.171875E-2</v>
      </c>
      <c r="AG10" s="160">
        <v>0.95874082163999996</v>
      </c>
      <c r="AI10" s="158" t="s">
        <v>85</v>
      </c>
      <c r="AJ10" s="159" t="s">
        <v>19</v>
      </c>
      <c r="AK10" s="158">
        <v>0.01</v>
      </c>
      <c r="AL10" s="159">
        <v>0.03</v>
      </c>
      <c r="AM10" s="160">
        <v>0.05</v>
      </c>
      <c r="AN10" s="159">
        <v>12.860640203040001</v>
      </c>
      <c r="AO10" s="159">
        <v>13.47800195952</v>
      </c>
      <c r="AP10" s="160">
        <v>14.095363716000001</v>
      </c>
      <c r="AQ10" s="159">
        <v>1.2347235129600005</v>
      </c>
      <c r="AR10" s="160">
        <v>1.5245421534562844</v>
      </c>
      <c r="AS10" s="160">
        <v>1.953125E-3</v>
      </c>
      <c r="AT10" s="160">
        <v>1.171875E-2</v>
      </c>
      <c r="AU10" s="160">
        <v>2.2370619171599997</v>
      </c>
      <c r="AW10" s="158" t="s">
        <v>54</v>
      </c>
      <c r="AX10" s="159" t="s">
        <v>2</v>
      </c>
      <c r="AY10" s="158">
        <v>3</v>
      </c>
      <c r="AZ10" s="159">
        <v>5</v>
      </c>
      <c r="BA10" s="160">
        <v>7</v>
      </c>
      <c r="BB10" s="159">
        <v>14000</v>
      </c>
      <c r="BC10" s="159">
        <v>14000</v>
      </c>
      <c r="BD10" s="160">
        <v>14000</v>
      </c>
      <c r="BE10" s="159">
        <v>0</v>
      </c>
      <c r="BF10" s="160">
        <v>0</v>
      </c>
      <c r="BG10" s="160">
        <v>1.953125E-3</v>
      </c>
      <c r="BH10" s="160">
        <v>1.26953125E-2</v>
      </c>
      <c r="BI10" s="160">
        <v>7000</v>
      </c>
      <c r="BK10" s="158" t="s">
        <v>48</v>
      </c>
      <c r="BL10" s="159" t="s">
        <v>19</v>
      </c>
      <c r="BM10" s="158">
        <v>0.3</v>
      </c>
      <c r="BN10" s="159">
        <v>0.5</v>
      </c>
      <c r="BO10" s="160">
        <v>0.8</v>
      </c>
      <c r="BP10" s="159">
        <v>25.824516666666664</v>
      </c>
      <c r="BQ10" s="159">
        <v>27.224749999999997</v>
      </c>
      <c r="BR10" s="160">
        <v>29.325099999999996</v>
      </c>
      <c r="BS10" s="159">
        <v>3.5005833333333314</v>
      </c>
      <c r="BT10" s="160">
        <v>12.254083673611097</v>
      </c>
      <c r="BU10" s="160">
        <v>1.953125E-3</v>
      </c>
      <c r="BV10" s="160">
        <v>1.171875E-2</v>
      </c>
      <c r="BW10" s="160">
        <v>3.6241874999999997</v>
      </c>
    </row>
    <row r="11" spans="2:159" x14ac:dyDescent="0.2">
      <c r="R11" s="182">
        <v>9</v>
      </c>
      <c r="S11" s="175" t="str">
        <f t="shared" si="0"/>
        <v>--Not Used--</v>
      </c>
      <c r="T11" s="172"/>
      <c r="U11" s="158" t="s">
        <v>77</v>
      </c>
      <c r="V11" s="159" t="s">
        <v>18</v>
      </c>
      <c r="W11" s="158">
        <v>1.5</v>
      </c>
      <c r="X11" s="159">
        <v>2</v>
      </c>
      <c r="Y11" s="160">
        <v>3</v>
      </c>
      <c r="Z11" s="159">
        <v>7.6256706675388246</v>
      </c>
      <c r="AA11" s="159">
        <v>7.2020222971200001</v>
      </c>
      <c r="AB11" s="160">
        <v>6.481820067408</v>
      </c>
      <c r="AC11" s="159">
        <v>-1.1438506001308246</v>
      </c>
      <c r="AD11" s="160">
        <v>1.3083941954196476</v>
      </c>
      <c r="AE11" s="160">
        <v>9.765625E-4</v>
      </c>
      <c r="AF11" s="160">
        <v>1.26953125E-2</v>
      </c>
      <c r="AG11" s="160">
        <v>0.98613341654399989</v>
      </c>
      <c r="AI11" s="158" t="s">
        <v>72</v>
      </c>
      <c r="AJ11" s="159" t="s">
        <v>19</v>
      </c>
      <c r="AK11" s="158">
        <v>0.02</v>
      </c>
      <c r="AL11" s="159">
        <v>0.03</v>
      </c>
      <c r="AM11" s="160">
        <v>0.04</v>
      </c>
      <c r="AN11" s="159">
        <v>12.57063140592</v>
      </c>
      <c r="AO11" s="159">
        <v>13.47800195952</v>
      </c>
      <c r="AP11" s="160">
        <v>14.38537251312</v>
      </c>
      <c r="AQ11" s="159">
        <v>1.8147411071999997</v>
      </c>
      <c r="AR11" s="160">
        <v>3.2932852861614808</v>
      </c>
      <c r="AS11" s="160">
        <v>1.953125E-3</v>
      </c>
      <c r="AT11" s="160">
        <v>1.3671875E-2</v>
      </c>
      <c r="AU11" s="160">
        <v>2.2677551149679998</v>
      </c>
      <c r="AW11" s="158" t="s">
        <v>85</v>
      </c>
      <c r="AX11" s="159" t="s">
        <v>19</v>
      </c>
      <c r="AY11" s="158">
        <v>0.01</v>
      </c>
      <c r="AZ11" s="159">
        <v>0.03</v>
      </c>
      <c r="BA11" s="160">
        <v>0.05</v>
      </c>
      <c r="BB11" s="159">
        <v>14000</v>
      </c>
      <c r="BC11" s="159">
        <v>14000</v>
      </c>
      <c r="BD11" s="160">
        <v>14000</v>
      </c>
      <c r="BE11" s="159">
        <v>0</v>
      </c>
      <c r="BF11" s="160">
        <v>0</v>
      </c>
      <c r="BG11" s="160">
        <v>9.765625E-4</v>
      </c>
      <c r="BH11" s="160">
        <v>1.3671875E-2</v>
      </c>
      <c r="BI11" s="160">
        <v>7000</v>
      </c>
      <c r="BK11" s="158" t="s">
        <v>77</v>
      </c>
      <c r="BL11" s="159" t="s">
        <v>18</v>
      </c>
      <c r="BM11" s="158">
        <v>1.5</v>
      </c>
      <c r="BN11" s="159">
        <v>2</v>
      </c>
      <c r="BO11" s="160">
        <v>3</v>
      </c>
      <c r="BP11" s="159">
        <v>28.826205882352941</v>
      </c>
      <c r="BQ11" s="159">
        <v>27.224749999999997</v>
      </c>
      <c r="BR11" s="160">
        <v>24.502274999999997</v>
      </c>
      <c r="BS11" s="159">
        <v>-4.3239308823529434</v>
      </c>
      <c r="BT11" s="160">
        <v>18.696378275365504</v>
      </c>
      <c r="BU11" s="160">
        <v>9.765625E-4</v>
      </c>
      <c r="BV11" s="160">
        <v>1.26953125E-2</v>
      </c>
      <c r="BW11" s="160">
        <v>3.7277357142857133</v>
      </c>
    </row>
    <row r="12" spans="2:159" ht="15" thickBot="1" x14ac:dyDescent="0.25">
      <c r="R12" s="182">
        <v>10</v>
      </c>
      <c r="S12" s="176" t="str">
        <f t="shared" si="0"/>
        <v>--Not Used--</v>
      </c>
      <c r="T12" s="172"/>
      <c r="U12" s="158" t="s">
        <v>85</v>
      </c>
      <c r="V12" s="159" t="s">
        <v>19</v>
      </c>
      <c r="W12" s="158">
        <v>0.01</v>
      </c>
      <c r="X12" s="159">
        <v>0.03</v>
      </c>
      <c r="Y12" s="160">
        <v>0.05</v>
      </c>
      <c r="Z12" s="159">
        <v>6.5846605406399998</v>
      </c>
      <c r="AA12" s="159">
        <v>7.2020222971200001</v>
      </c>
      <c r="AB12" s="160">
        <v>7.8193840536000003</v>
      </c>
      <c r="AC12" s="159">
        <v>1.2347235129600005</v>
      </c>
      <c r="AD12" s="160">
        <v>1.5245421534562844</v>
      </c>
      <c r="AE12" s="160">
        <v>1.953125E-3</v>
      </c>
      <c r="AF12" s="160">
        <v>1.46484375E-2</v>
      </c>
      <c r="AG12" s="160">
        <v>1.0003165139519998</v>
      </c>
      <c r="AI12" s="158" t="s">
        <v>77</v>
      </c>
      <c r="AJ12" s="159" t="s">
        <v>18</v>
      </c>
      <c r="AK12" s="158">
        <v>1.5</v>
      </c>
      <c r="AL12" s="159">
        <v>2</v>
      </c>
      <c r="AM12" s="160">
        <v>3</v>
      </c>
      <c r="AN12" s="159">
        <v>14.27082560419765</v>
      </c>
      <c r="AO12" s="159">
        <v>13.47800195952</v>
      </c>
      <c r="AP12" s="160">
        <v>12.130201763568001</v>
      </c>
      <c r="AQ12" s="159">
        <v>-2.1406238406296492</v>
      </c>
      <c r="AR12" s="160">
        <v>4.5822704270720296</v>
      </c>
      <c r="AS12" s="160">
        <v>9.765625E-4</v>
      </c>
      <c r="AT12" s="160">
        <v>1.46484375E-2</v>
      </c>
      <c r="AU12" s="160">
        <v>2.3009779719359997</v>
      </c>
      <c r="AW12" s="158" t="s">
        <v>68</v>
      </c>
      <c r="AX12" s="159" t="s">
        <v>19</v>
      </c>
      <c r="AY12" s="158">
        <v>0.25</v>
      </c>
      <c r="AZ12" s="159">
        <v>0.35</v>
      </c>
      <c r="BA12" s="160">
        <v>0.45</v>
      </c>
      <c r="BB12" s="159">
        <v>14000</v>
      </c>
      <c r="BC12" s="159">
        <v>14000</v>
      </c>
      <c r="BD12" s="160">
        <v>14000</v>
      </c>
      <c r="BE12" s="159">
        <v>0</v>
      </c>
      <c r="BF12" s="160">
        <v>0</v>
      </c>
      <c r="BG12" s="160">
        <v>3.90625E-3</v>
      </c>
      <c r="BH12" s="160">
        <v>1.7578125E-2</v>
      </c>
      <c r="BI12" s="160">
        <v>7000</v>
      </c>
      <c r="BK12" s="158" t="s">
        <v>85</v>
      </c>
      <c r="BL12" s="159" t="s">
        <v>19</v>
      </c>
      <c r="BM12" s="158">
        <v>0.01</v>
      </c>
      <c r="BN12" s="159">
        <v>0.03</v>
      </c>
      <c r="BO12" s="160">
        <v>0.05</v>
      </c>
      <c r="BP12" s="159">
        <v>24.891027777777776</v>
      </c>
      <c r="BQ12" s="159">
        <v>27.224749999999997</v>
      </c>
      <c r="BR12" s="160">
        <v>29.558472222222221</v>
      </c>
      <c r="BS12" s="159">
        <v>4.6674444444444454</v>
      </c>
      <c r="BT12" s="160">
        <v>21.785037641975318</v>
      </c>
      <c r="BU12" s="160">
        <v>1.953125E-3</v>
      </c>
      <c r="BV12" s="160">
        <v>1.46484375E-2</v>
      </c>
      <c r="BW12" s="160">
        <v>3.7813499999999989</v>
      </c>
    </row>
    <row r="13" spans="2:159" x14ac:dyDescent="0.2">
      <c r="U13" s="158" t="s">
        <v>68</v>
      </c>
      <c r="V13" s="159" t="s">
        <v>19</v>
      </c>
      <c r="W13" s="158">
        <v>0.25</v>
      </c>
      <c r="X13" s="159">
        <v>0.35</v>
      </c>
      <c r="Y13" s="160">
        <v>0.45</v>
      </c>
      <c r="Z13" s="159">
        <v>6.4458801691199996</v>
      </c>
      <c r="AA13" s="159">
        <v>7.2020222971200001</v>
      </c>
      <c r="AB13" s="160">
        <v>7.9581644251199997</v>
      </c>
      <c r="AC13" s="159">
        <v>1.512284256</v>
      </c>
      <c r="AD13" s="160">
        <v>2.2870036709454737</v>
      </c>
      <c r="AE13" s="160">
        <v>3.90625E-3</v>
      </c>
      <c r="AF13" s="160">
        <v>1.85546875E-2</v>
      </c>
      <c r="AG13" s="160">
        <v>1.1045682320400001</v>
      </c>
      <c r="AI13" s="158" t="s">
        <v>68</v>
      </c>
      <c r="AJ13" s="159" t="s">
        <v>19</v>
      </c>
      <c r="AK13" s="158">
        <v>0.25</v>
      </c>
      <c r="AL13" s="159">
        <v>0.35</v>
      </c>
      <c r="AM13" s="160">
        <v>0.45</v>
      </c>
      <c r="AN13" s="159">
        <v>11.965717703519999</v>
      </c>
      <c r="AO13" s="159">
        <v>13.47800195952</v>
      </c>
      <c r="AP13" s="160">
        <v>14.990286215519999</v>
      </c>
      <c r="AQ13" s="159">
        <v>3.0245685120000001</v>
      </c>
      <c r="AR13" s="160">
        <v>9.148014683781895</v>
      </c>
      <c r="AS13" s="160">
        <v>1.953125E-3</v>
      </c>
      <c r="AT13" s="160">
        <v>1.66015625E-2</v>
      </c>
      <c r="AU13" s="160">
        <v>2.3340718658879998</v>
      </c>
      <c r="AW13" s="158" t="s">
        <v>76</v>
      </c>
      <c r="AX13" s="159" t="s">
        <v>18</v>
      </c>
      <c r="AY13" s="158">
        <v>5</v>
      </c>
      <c r="AZ13" s="159">
        <v>7</v>
      </c>
      <c r="BA13" s="160">
        <v>10</v>
      </c>
      <c r="BB13" s="159">
        <v>14000</v>
      </c>
      <c r="BC13" s="159">
        <v>14000</v>
      </c>
      <c r="BD13" s="160">
        <v>14000</v>
      </c>
      <c r="BE13" s="159">
        <v>0</v>
      </c>
      <c r="BF13" s="160">
        <v>0</v>
      </c>
      <c r="BG13" s="160">
        <v>9.765625E-4</v>
      </c>
      <c r="BH13" s="160">
        <v>1.85546875E-2</v>
      </c>
      <c r="BI13" s="160">
        <v>7000</v>
      </c>
      <c r="BK13" s="158" t="s">
        <v>68</v>
      </c>
      <c r="BL13" s="159" t="s">
        <v>19</v>
      </c>
      <c r="BM13" s="158">
        <v>0.25</v>
      </c>
      <c r="BN13" s="159">
        <v>0.35</v>
      </c>
      <c r="BO13" s="160">
        <v>0.45</v>
      </c>
      <c r="BP13" s="159">
        <v>24.366416666666662</v>
      </c>
      <c r="BQ13" s="159">
        <v>27.224749999999997</v>
      </c>
      <c r="BR13" s="160">
        <v>30.083083333333327</v>
      </c>
      <c r="BS13" s="159">
        <v>5.716666666666665</v>
      </c>
      <c r="BT13" s="160">
        <v>32.680277777777761</v>
      </c>
      <c r="BU13" s="160">
        <v>3.90625E-3</v>
      </c>
      <c r="BV13" s="160">
        <v>1.85546875E-2</v>
      </c>
      <c r="BW13" s="160">
        <v>4.1754375000000001</v>
      </c>
    </row>
    <row r="14" spans="2:159" x14ac:dyDescent="0.2">
      <c r="U14" s="158" t="s">
        <v>70</v>
      </c>
      <c r="V14" s="159" t="s">
        <v>19</v>
      </c>
      <c r="W14" s="158">
        <v>0.05</v>
      </c>
      <c r="X14" s="159">
        <v>0.1</v>
      </c>
      <c r="Y14" s="160">
        <v>0.15</v>
      </c>
      <c r="Z14" s="159">
        <v>6.0678091051200003</v>
      </c>
      <c r="AA14" s="159">
        <v>7.2020222971200001</v>
      </c>
      <c r="AB14" s="160">
        <v>8.3362354891199999</v>
      </c>
      <c r="AC14" s="159">
        <v>2.2684263839999996</v>
      </c>
      <c r="AD14" s="160">
        <v>5.1457582596273141</v>
      </c>
      <c r="AE14" s="160">
        <v>1.953125E-3</v>
      </c>
      <c r="AF14" s="160">
        <v>2.05078125E-2</v>
      </c>
      <c r="AG14" s="160">
        <v>1.1361273243839998</v>
      </c>
      <c r="AI14" s="158" t="s">
        <v>70</v>
      </c>
      <c r="AJ14" s="159" t="s">
        <v>19</v>
      </c>
      <c r="AK14" s="158">
        <v>0.05</v>
      </c>
      <c r="AL14" s="159">
        <v>0.1</v>
      </c>
      <c r="AM14" s="160">
        <v>0.15</v>
      </c>
      <c r="AN14" s="159">
        <v>11.209575575520001</v>
      </c>
      <c r="AO14" s="159">
        <v>13.47800195952</v>
      </c>
      <c r="AP14" s="160">
        <v>15.74642834352</v>
      </c>
      <c r="AQ14" s="159">
        <v>4.5368527679999993</v>
      </c>
      <c r="AR14" s="160">
        <v>20.583033038509257</v>
      </c>
      <c r="AS14" s="160">
        <v>3.90625E-3</v>
      </c>
      <c r="AT14" s="160">
        <v>2.05078125E-2</v>
      </c>
      <c r="AU14" s="160">
        <v>2.5773258747599996</v>
      </c>
      <c r="AW14" s="158" t="s">
        <v>172</v>
      </c>
      <c r="AX14" s="159" t="s">
        <v>18</v>
      </c>
      <c r="AY14" s="158">
        <v>3000</v>
      </c>
      <c r="AZ14" s="159">
        <v>7000</v>
      </c>
      <c r="BA14" s="160">
        <v>10000</v>
      </c>
      <c r="BB14" s="159">
        <v>14000</v>
      </c>
      <c r="BC14" s="159">
        <v>14000</v>
      </c>
      <c r="BD14" s="160">
        <v>14000</v>
      </c>
      <c r="BE14" s="159">
        <v>0</v>
      </c>
      <c r="BF14" s="160">
        <v>0</v>
      </c>
      <c r="BG14" s="160">
        <v>1.953125E-3</v>
      </c>
      <c r="BH14" s="160">
        <v>2.05078125E-2</v>
      </c>
      <c r="BI14" s="160">
        <v>7000</v>
      </c>
      <c r="BK14" s="158" t="s">
        <v>70</v>
      </c>
      <c r="BL14" s="159" t="s">
        <v>19</v>
      </c>
      <c r="BM14" s="158">
        <v>0.05</v>
      </c>
      <c r="BN14" s="159">
        <v>0.1</v>
      </c>
      <c r="BO14" s="160">
        <v>0.15</v>
      </c>
      <c r="BP14" s="159">
        <v>22.937249999999999</v>
      </c>
      <c r="BQ14" s="159">
        <v>27.224749999999997</v>
      </c>
      <c r="BR14" s="160">
        <v>31.512249999999995</v>
      </c>
      <c r="BS14" s="159">
        <v>8.5749999999999957</v>
      </c>
      <c r="BT14" s="160">
        <v>73.53062499999993</v>
      </c>
      <c r="BU14" s="160">
        <v>1.953125E-3</v>
      </c>
      <c r="BV14" s="160">
        <v>2.05078125E-2</v>
      </c>
      <c r="BW14" s="160">
        <v>4.2947357142857125</v>
      </c>
    </row>
    <row r="15" spans="2:159" x14ac:dyDescent="0.2">
      <c r="U15" s="158" t="s">
        <v>76</v>
      </c>
      <c r="V15" s="159" t="s">
        <v>18</v>
      </c>
      <c r="W15" s="158">
        <v>5</v>
      </c>
      <c r="X15" s="159">
        <v>7</v>
      </c>
      <c r="Y15" s="160">
        <v>10</v>
      </c>
      <c r="Z15" s="159">
        <v>9.25974295344</v>
      </c>
      <c r="AA15" s="159">
        <v>7.2020222971200001</v>
      </c>
      <c r="AB15" s="160">
        <v>5.4015167228400003</v>
      </c>
      <c r="AC15" s="159">
        <v>-3.8582262305999997</v>
      </c>
      <c r="AD15" s="160">
        <v>14.885909646489882</v>
      </c>
      <c r="AE15" s="160">
        <v>1.953125E-3</v>
      </c>
      <c r="AF15" s="160">
        <v>2.24609375E-2</v>
      </c>
      <c r="AG15" s="160">
        <v>1.1702203274160001</v>
      </c>
      <c r="AI15" s="158" t="s">
        <v>76</v>
      </c>
      <c r="AJ15" s="159" t="s">
        <v>18</v>
      </c>
      <c r="AK15" s="158">
        <v>5</v>
      </c>
      <c r="AL15" s="159">
        <v>7</v>
      </c>
      <c r="AM15" s="160">
        <v>10</v>
      </c>
      <c r="AN15" s="159">
        <v>17.328859662240003</v>
      </c>
      <c r="AO15" s="159">
        <v>13.47800195952</v>
      </c>
      <c r="AP15" s="160">
        <v>10.10850146964</v>
      </c>
      <c r="AQ15" s="159">
        <v>-7.2203581926000027</v>
      </c>
      <c r="AR15" s="160">
        <v>52.133572429445977</v>
      </c>
      <c r="AS15" s="160">
        <v>1.953125E-3</v>
      </c>
      <c r="AT15" s="160">
        <v>2.24609375E-2</v>
      </c>
      <c r="AU15" s="160">
        <v>2.6509637568959996</v>
      </c>
      <c r="AW15" s="158" t="s">
        <v>77</v>
      </c>
      <c r="AX15" s="159" t="s">
        <v>18</v>
      </c>
      <c r="AY15" s="158">
        <v>1.5</v>
      </c>
      <c r="AZ15" s="159">
        <v>2</v>
      </c>
      <c r="BA15" s="160">
        <v>3</v>
      </c>
      <c r="BB15" s="159">
        <v>14000</v>
      </c>
      <c r="BC15" s="159">
        <v>14000</v>
      </c>
      <c r="BD15" s="160">
        <v>14000</v>
      </c>
      <c r="BE15" s="159">
        <v>0</v>
      </c>
      <c r="BF15" s="160">
        <v>0</v>
      </c>
      <c r="BG15" s="160">
        <v>3.90625E-3</v>
      </c>
      <c r="BH15" s="160">
        <v>2.44140625E-2</v>
      </c>
      <c r="BI15" s="160">
        <v>7000</v>
      </c>
      <c r="BK15" s="158" t="s">
        <v>76</v>
      </c>
      <c r="BL15" s="159" t="s">
        <v>18</v>
      </c>
      <c r="BM15" s="158">
        <v>5</v>
      </c>
      <c r="BN15" s="159">
        <v>7</v>
      </c>
      <c r="BO15" s="160">
        <v>10</v>
      </c>
      <c r="BP15" s="159">
        <v>35.003249999999994</v>
      </c>
      <c r="BQ15" s="159">
        <v>27.224749999999997</v>
      </c>
      <c r="BR15" s="160">
        <v>20.4185625</v>
      </c>
      <c r="BS15" s="159">
        <v>-14.584687499999994</v>
      </c>
      <c r="BT15" s="160">
        <v>212.71310947265607</v>
      </c>
      <c r="BU15" s="160">
        <v>1.953125E-3</v>
      </c>
      <c r="BV15" s="160">
        <v>2.24609375E-2</v>
      </c>
      <c r="BW15" s="160">
        <v>4.4236124999999999</v>
      </c>
    </row>
    <row r="16" spans="2:159" x14ac:dyDescent="0.2">
      <c r="U16" s="158" t="s">
        <v>54</v>
      </c>
      <c r="V16" s="159" t="s">
        <v>2</v>
      </c>
      <c r="W16" s="158">
        <v>3</v>
      </c>
      <c r="X16" s="159">
        <v>5</v>
      </c>
      <c r="Y16" s="160">
        <v>7</v>
      </c>
      <c r="Z16" s="159">
        <v>4.3212133782720006</v>
      </c>
      <c r="AA16" s="159">
        <v>7.2020222971200001</v>
      </c>
      <c r="AB16" s="160">
        <v>10.082831215968</v>
      </c>
      <c r="AC16" s="159">
        <v>5.761617837695999</v>
      </c>
      <c r="AD16" s="160">
        <v>33.19624010765672</v>
      </c>
      <c r="AE16" s="160">
        <v>1.953125E-3</v>
      </c>
      <c r="AF16" s="160">
        <v>2.44140625E-2</v>
      </c>
      <c r="AG16" s="160">
        <v>1.25039564244</v>
      </c>
      <c r="AI16" s="158" t="s">
        <v>79</v>
      </c>
      <c r="AJ16" s="159" t="s">
        <v>18</v>
      </c>
      <c r="AK16" s="158">
        <v>7000</v>
      </c>
      <c r="AL16" s="159">
        <v>14000</v>
      </c>
      <c r="AM16" s="160">
        <v>18000</v>
      </c>
      <c r="AN16" s="159">
        <v>7.2020222971200001</v>
      </c>
      <c r="AO16" s="159">
        <v>13.47800195952</v>
      </c>
      <c r="AP16" s="160">
        <v>17.064276052320004</v>
      </c>
      <c r="AQ16" s="159">
        <v>9.8622537552000047</v>
      </c>
      <c r="AR16" s="160">
        <v>97.264049131956597</v>
      </c>
      <c r="AS16" s="160">
        <v>3.90625E-3</v>
      </c>
      <c r="AT16" s="160">
        <v>2.63671875E-2</v>
      </c>
      <c r="AU16" s="160">
        <v>2.6760718640879997</v>
      </c>
      <c r="AW16" s="158" t="s">
        <v>43</v>
      </c>
      <c r="AX16" s="159" t="s">
        <v>19</v>
      </c>
      <c r="AY16" s="158">
        <v>0.4</v>
      </c>
      <c r="AZ16" s="159">
        <v>0.5</v>
      </c>
      <c r="BA16" s="160">
        <v>0.75</v>
      </c>
      <c r="BB16" s="159">
        <v>14000</v>
      </c>
      <c r="BC16" s="159">
        <v>14000</v>
      </c>
      <c r="BD16" s="160">
        <v>14000</v>
      </c>
      <c r="BE16" s="159">
        <v>0</v>
      </c>
      <c r="BF16" s="160">
        <v>0</v>
      </c>
      <c r="BG16" s="160">
        <v>1.953125E-3</v>
      </c>
      <c r="BH16" s="160">
        <v>2.63671875E-2</v>
      </c>
      <c r="BI16" s="160">
        <v>7000</v>
      </c>
      <c r="BK16" s="158" t="s">
        <v>54</v>
      </c>
      <c r="BL16" s="159" t="s">
        <v>2</v>
      </c>
      <c r="BM16" s="158">
        <v>3</v>
      </c>
      <c r="BN16" s="159">
        <v>5</v>
      </c>
      <c r="BO16" s="160">
        <v>7</v>
      </c>
      <c r="BP16" s="159">
        <v>16.334849999999999</v>
      </c>
      <c r="BQ16" s="159">
        <v>27.224749999999997</v>
      </c>
      <c r="BR16" s="160">
        <v>38.114649999999997</v>
      </c>
      <c r="BS16" s="159">
        <v>21.779799999999998</v>
      </c>
      <c r="BT16" s="160">
        <v>474.35968803999992</v>
      </c>
      <c r="BU16" s="160">
        <v>1.953125E-3</v>
      </c>
      <c r="BV16" s="160">
        <v>2.44140625E-2</v>
      </c>
      <c r="BW16" s="160">
        <v>4.7266874999999997</v>
      </c>
    </row>
    <row r="17" spans="18:75" ht="15" thickBot="1" x14ac:dyDescent="0.25">
      <c r="U17" s="158" t="s">
        <v>172</v>
      </c>
      <c r="V17" s="159" t="s">
        <v>18</v>
      </c>
      <c r="W17" s="158">
        <v>3000</v>
      </c>
      <c r="X17" s="159">
        <v>7000</v>
      </c>
      <c r="Y17" s="160">
        <v>10000</v>
      </c>
      <c r="Z17" s="159">
        <v>3.0865809844800003</v>
      </c>
      <c r="AA17" s="159">
        <v>7.2020222971200001</v>
      </c>
      <c r="AB17" s="160">
        <v>10.2886032816</v>
      </c>
      <c r="AC17" s="159">
        <v>7.2020222971200001</v>
      </c>
      <c r="AD17" s="160">
        <v>51.869125168213642</v>
      </c>
      <c r="AE17" s="160">
        <v>3.90625E-3</v>
      </c>
      <c r="AF17" s="160">
        <v>2.83203125E-2</v>
      </c>
      <c r="AG17" s="160">
        <v>1.2783210955199997</v>
      </c>
      <c r="AI17" s="158" t="s">
        <v>54</v>
      </c>
      <c r="AJ17" s="159" t="s">
        <v>2</v>
      </c>
      <c r="AK17" s="158">
        <v>3</v>
      </c>
      <c r="AL17" s="159">
        <v>5</v>
      </c>
      <c r="AM17" s="160">
        <v>7</v>
      </c>
      <c r="AN17" s="159">
        <v>8.0868011757120009</v>
      </c>
      <c r="AO17" s="159">
        <v>13.47800195952</v>
      </c>
      <c r="AP17" s="160">
        <v>18.869202743328</v>
      </c>
      <c r="AQ17" s="159">
        <v>10.782401567615999</v>
      </c>
      <c r="AR17" s="160">
        <v>116.26018356532795</v>
      </c>
      <c r="AS17" s="160">
        <v>1.953125E-3</v>
      </c>
      <c r="AT17" s="160">
        <v>2.83203125E-2</v>
      </c>
      <c r="AU17" s="160">
        <v>2.7305140973039999</v>
      </c>
      <c r="AW17" s="158" t="s">
        <v>25</v>
      </c>
      <c r="AX17" s="159" t="s">
        <v>19</v>
      </c>
      <c r="AY17" s="158">
        <v>0.5</v>
      </c>
      <c r="AZ17" s="159">
        <v>0.75</v>
      </c>
      <c r="BA17" s="160">
        <v>0.9</v>
      </c>
      <c r="BB17" s="159">
        <v>14000</v>
      </c>
      <c r="BC17" s="159">
        <v>14000</v>
      </c>
      <c r="BD17" s="160">
        <v>14000</v>
      </c>
      <c r="BE17" s="159">
        <v>0</v>
      </c>
      <c r="BF17" s="160">
        <v>0</v>
      </c>
      <c r="BG17" s="160">
        <v>7.8125E-3</v>
      </c>
      <c r="BH17" s="160">
        <v>3.41796875E-2</v>
      </c>
      <c r="BI17" s="160">
        <v>7000</v>
      </c>
      <c r="BK17" s="158" t="s">
        <v>172</v>
      </c>
      <c r="BL17" s="159" t="s">
        <v>18</v>
      </c>
      <c r="BM17" s="158">
        <v>3000</v>
      </c>
      <c r="BN17" s="159">
        <v>7000</v>
      </c>
      <c r="BO17" s="160">
        <v>10000</v>
      </c>
      <c r="BP17" s="159">
        <v>11.66775</v>
      </c>
      <c r="BQ17" s="159">
        <v>27.224749999999997</v>
      </c>
      <c r="BR17" s="160">
        <v>38.892499999999998</v>
      </c>
      <c r="BS17" s="159">
        <v>27.22475</v>
      </c>
      <c r="BT17" s="160">
        <v>741.18701256250006</v>
      </c>
      <c r="BU17" s="160">
        <v>3.90625E-3</v>
      </c>
      <c r="BV17" s="160">
        <v>2.83203125E-2</v>
      </c>
      <c r="BW17" s="160">
        <v>4.8322499999999984</v>
      </c>
    </row>
    <row r="18" spans="18:75" x14ac:dyDescent="0.2">
      <c r="R18" s="184" t="s">
        <v>13</v>
      </c>
      <c r="S18" s="185" t="s">
        <v>117</v>
      </c>
      <c r="T18" s="183"/>
      <c r="U18" s="158" t="s">
        <v>25</v>
      </c>
      <c r="V18" s="159" t="s">
        <v>19</v>
      </c>
      <c r="W18" s="158">
        <v>0.5</v>
      </c>
      <c r="X18" s="159">
        <v>0.75</v>
      </c>
      <c r="Y18" s="160">
        <v>0.9</v>
      </c>
      <c r="Z18" s="159">
        <v>13.47800195952</v>
      </c>
      <c r="AA18" s="159">
        <v>7.2020222971200001</v>
      </c>
      <c r="AB18" s="160">
        <v>3.4364344996799998</v>
      </c>
      <c r="AC18" s="159">
        <v>-10.04156745984</v>
      </c>
      <c r="AD18" s="160">
        <v>100.83307705051755</v>
      </c>
      <c r="AE18" s="160">
        <v>9.765625E-4</v>
      </c>
      <c r="AF18" s="160">
        <v>2.9296875E-2</v>
      </c>
      <c r="AG18" s="160">
        <v>1.2861212322239999</v>
      </c>
      <c r="AI18" s="158" t="s">
        <v>25</v>
      </c>
      <c r="AJ18" s="159" t="s">
        <v>19</v>
      </c>
      <c r="AK18" s="158">
        <v>0.5</v>
      </c>
      <c r="AL18" s="159">
        <v>0.75</v>
      </c>
      <c r="AM18" s="160">
        <v>0.9</v>
      </c>
      <c r="AN18" s="159">
        <v>26.029961284320002</v>
      </c>
      <c r="AO18" s="159">
        <v>13.47800195952</v>
      </c>
      <c r="AP18" s="160">
        <v>5.9468263646399997</v>
      </c>
      <c r="AQ18" s="159">
        <v>-20.083134919680003</v>
      </c>
      <c r="AR18" s="160">
        <v>403.33230820207029</v>
      </c>
      <c r="AS18" s="160">
        <v>9.765625E-4</v>
      </c>
      <c r="AT18" s="160">
        <v>2.9296875E-2</v>
      </c>
      <c r="AU18" s="160">
        <v>2.7966225233520001</v>
      </c>
      <c r="AW18" s="158" t="s">
        <v>79</v>
      </c>
      <c r="AX18" s="159" t="s">
        <v>18</v>
      </c>
      <c r="AY18" s="158">
        <v>7000</v>
      </c>
      <c r="AZ18" s="159">
        <v>14000</v>
      </c>
      <c r="BA18" s="160">
        <v>18000</v>
      </c>
      <c r="BB18" s="159">
        <v>7000</v>
      </c>
      <c r="BC18" s="159">
        <v>14000</v>
      </c>
      <c r="BD18" s="160">
        <v>18000</v>
      </c>
      <c r="BE18" s="159">
        <v>11000</v>
      </c>
      <c r="BF18" s="160">
        <v>121000000</v>
      </c>
      <c r="BG18" s="160">
        <v>7.8125E-3</v>
      </c>
      <c r="BH18" s="160">
        <v>4.19921875E-2</v>
      </c>
      <c r="BI18" s="160">
        <v>7000</v>
      </c>
      <c r="BK18" s="158" t="s">
        <v>25</v>
      </c>
      <c r="BL18" s="159" t="s">
        <v>19</v>
      </c>
      <c r="BM18" s="158">
        <v>0.5</v>
      </c>
      <c r="BN18" s="159">
        <v>0.75</v>
      </c>
      <c r="BO18" s="160">
        <v>0.9</v>
      </c>
      <c r="BP18" s="159">
        <v>50.948916666666662</v>
      </c>
      <c r="BQ18" s="159">
        <v>27.224749999999997</v>
      </c>
      <c r="BR18" s="160">
        <v>12.990249999999998</v>
      </c>
      <c r="BS18" s="159">
        <v>-37.958666666666666</v>
      </c>
      <c r="BT18" s="160">
        <v>1440.8603751111111</v>
      </c>
      <c r="BU18" s="160">
        <v>9.765625E-4</v>
      </c>
      <c r="BV18" s="160">
        <v>2.9296875E-2</v>
      </c>
      <c r="BW18" s="160">
        <v>4.8617357142857136</v>
      </c>
    </row>
    <row r="19" spans="18:75" ht="15" thickBot="1" x14ac:dyDescent="0.25">
      <c r="R19" s="186">
        <f>MATCH(C2,S3:S12,FALSE)</f>
        <v>1</v>
      </c>
      <c r="S19" s="187" t="str">
        <f>CONCATENATE("Tornado_Output",Tornado_TableIndex)</f>
        <v>Tornado_Output1</v>
      </c>
      <c r="T19" s="159"/>
      <c r="AE19" s="160">
        <v>1.953125E-3</v>
      </c>
      <c r="AF19" s="160">
        <v>3.125E-2</v>
      </c>
      <c r="AG19" s="160">
        <v>1.342237150296</v>
      </c>
      <c r="AS19" s="160">
        <v>1.953125E-3</v>
      </c>
      <c r="AT19" s="160">
        <v>3.125E-2</v>
      </c>
      <c r="AU19" s="160">
        <v>2.9175898323599996</v>
      </c>
      <c r="BG19" s="160">
        <v>3.90625E-3</v>
      </c>
      <c r="BH19" s="160">
        <v>4.58984375E-2</v>
      </c>
      <c r="BI19" s="160">
        <v>7000</v>
      </c>
      <c r="BU19" s="160">
        <v>1.953125E-3</v>
      </c>
      <c r="BV19" s="160">
        <v>3.125E-2</v>
      </c>
      <c r="BW19" s="160">
        <v>5.0738624999999997</v>
      </c>
    </row>
    <row r="20" spans="18:75" x14ac:dyDescent="0.2">
      <c r="AE20" s="160">
        <v>9.765625E-4</v>
      </c>
      <c r="AF20" s="160">
        <v>3.22265625E-2</v>
      </c>
      <c r="AG20" s="160">
        <v>1.342237150296</v>
      </c>
      <c r="AS20" s="160">
        <v>3.90625E-3</v>
      </c>
      <c r="AT20" s="160">
        <v>3.515625E-2</v>
      </c>
      <c r="AU20" s="160">
        <v>2.9827492228799999</v>
      </c>
      <c r="BG20" s="160">
        <v>7.8125E-3</v>
      </c>
      <c r="BH20" s="160">
        <v>5.37109375E-2</v>
      </c>
      <c r="BI20" s="160">
        <v>7000</v>
      </c>
      <c r="BU20" s="160">
        <v>9.765625E-4</v>
      </c>
      <c r="BV20" s="160">
        <v>3.22265625E-2</v>
      </c>
      <c r="BW20" s="160">
        <v>5.0738624999999997</v>
      </c>
    </row>
    <row r="21" spans="18:75" x14ac:dyDescent="0.2">
      <c r="AE21" s="160">
        <v>3.90625E-3</v>
      </c>
      <c r="AF21" s="160">
        <v>3.61328125E-2</v>
      </c>
      <c r="AG21" s="160">
        <v>1.3889614430160002</v>
      </c>
      <c r="AS21" s="160">
        <v>9.765625E-4</v>
      </c>
      <c r="AT21" s="160">
        <v>3.61328125E-2</v>
      </c>
      <c r="AU21" s="160">
        <v>3.0009495418559995</v>
      </c>
      <c r="BG21" s="160">
        <v>3.90625E-3</v>
      </c>
      <c r="BH21" s="160">
        <v>5.76171875E-2</v>
      </c>
      <c r="BI21" s="160">
        <v>7000</v>
      </c>
      <c r="BU21" s="160">
        <v>3.90625E-3</v>
      </c>
      <c r="BV21" s="160">
        <v>3.61328125E-2</v>
      </c>
      <c r="BW21" s="160">
        <v>5.2504875000000002</v>
      </c>
    </row>
    <row r="22" spans="18:75" x14ac:dyDescent="0.2">
      <c r="S22" s="189"/>
      <c r="T22" s="189"/>
      <c r="AE22" s="160">
        <v>7.8125E-3</v>
      </c>
      <c r="AF22" s="160">
        <v>4.39453125E-2</v>
      </c>
      <c r="AG22" s="160">
        <v>1.4727576427199998</v>
      </c>
      <c r="AS22" s="160">
        <v>3.90625E-3</v>
      </c>
      <c r="AT22" s="160">
        <v>4.00390625E-2</v>
      </c>
      <c r="AU22" s="160">
        <v>3.0236734866239994</v>
      </c>
      <c r="BG22" s="160">
        <v>3.90625E-3</v>
      </c>
      <c r="BH22" s="160">
        <v>6.15234375E-2</v>
      </c>
      <c r="BI22" s="160">
        <v>7000</v>
      </c>
      <c r="BU22" s="160">
        <v>7.8125E-3</v>
      </c>
      <c r="BV22" s="160">
        <v>4.39453125E-2</v>
      </c>
      <c r="BW22" s="160">
        <v>5.5672499999999987</v>
      </c>
    </row>
    <row r="23" spans="18:75" x14ac:dyDescent="0.2">
      <c r="S23" s="159"/>
      <c r="T23" s="159"/>
      <c r="AE23" s="160">
        <v>3.90625E-3</v>
      </c>
      <c r="AF23" s="160">
        <v>4.78515625E-2</v>
      </c>
      <c r="AG23" s="160">
        <v>1.5463955248559997</v>
      </c>
      <c r="AS23" s="160">
        <v>1.953125E-3</v>
      </c>
      <c r="AT23" s="160">
        <v>4.19921875E-2</v>
      </c>
      <c r="AU23" s="160">
        <v>3.0843886132079996</v>
      </c>
      <c r="BG23" s="160">
        <v>3.90625E-3</v>
      </c>
      <c r="BH23" s="160">
        <v>6.54296875E-2</v>
      </c>
      <c r="BI23" s="160">
        <v>7000</v>
      </c>
      <c r="BU23" s="160">
        <v>3.90625E-3</v>
      </c>
      <c r="BV23" s="160">
        <v>4.78515625E-2</v>
      </c>
      <c r="BW23" s="160">
        <v>5.8456124999999988</v>
      </c>
    </row>
    <row r="24" spans="18:75" x14ac:dyDescent="0.2">
      <c r="AE24" s="160">
        <v>1.953125E-3</v>
      </c>
      <c r="AF24" s="160">
        <v>4.98046875E-2</v>
      </c>
      <c r="AG24" s="160">
        <v>1.5463955248559997</v>
      </c>
      <c r="AS24" s="160">
        <v>9.765625E-4</v>
      </c>
      <c r="AT24" s="160">
        <v>4.296875E-2</v>
      </c>
      <c r="AU24" s="160">
        <v>3.1318866840239998</v>
      </c>
      <c r="BG24" s="160">
        <v>1.953125E-3</v>
      </c>
      <c r="BH24" s="160">
        <v>6.73828125E-2</v>
      </c>
      <c r="BI24" s="160">
        <v>7000</v>
      </c>
      <c r="BU24" s="160">
        <v>1.953125E-3</v>
      </c>
      <c r="BV24" s="160">
        <v>4.98046875E-2</v>
      </c>
      <c r="BW24" s="160">
        <v>5.8456124999999988</v>
      </c>
    </row>
    <row r="25" spans="18:75" x14ac:dyDescent="0.2">
      <c r="AE25" s="160">
        <v>3.90625E-3</v>
      </c>
      <c r="AF25" s="160">
        <v>5.37109375E-2</v>
      </c>
      <c r="AG25" s="160">
        <v>1.5602937698880004</v>
      </c>
      <c r="AS25" s="160">
        <v>3.90625E-3</v>
      </c>
      <c r="AT25" s="160">
        <v>4.6875E-2</v>
      </c>
      <c r="AU25" s="160">
        <v>3.240910033704</v>
      </c>
      <c r="BG25" s="160">
        <v>9.765625E-4</v>
      </c>
      <c r="BH25" s="160">
        <v>6.8359375E-2</v>
      </c>
      <c r="BI25" s="160">
        <v>7000</v>
      </c>
      <c r="BU25" s="160">
        <v>3.90625E-3</v>
      </c>
      <c r="BV25" s="160">
        <v>5.37109375E-2</v>
      </c>
      <c r="BW25" s="160">
        <v>5.8981500000000011</v>
      </c>
    </row>
    <row r="26" spans="18:75" x14ac:dyDescent="0.2">
      <c r="AE26" s="160">
        <v>1.953125E-3</v>
      </c>
      <c r="AF26" s="160">
        <v>5.56640625E-2</v>
      </c>
      <c r="AG26" s="160">
        <v>1.6077025586160003</v>
      </c>
      <c r="AS26" s="160">
        <v>1.953125E-3</v>
      </c>
      <c r="AT26" s="160">
        <v>4.8828125E-2</v>
      </c>
      <c r="AU26" s="160">
        <v>3.3216012007920002</v>
      </c>
      <c r="BG26" s="160">
        <v>1.953125E-3</v>
      </c>
      <c r="BH26" s="160">
        <v>7.03125E-2</v>
      </c>
      <c r="BI26" s="160">
        <v>7000</v>
      </c>
      <c r="BU26" s="160">
        <v>1.953125E-3</v>
      </c>
      <c r="BV26" s="160">
        <v>5.56640625E-2</v>
      </c>
      <c r="BW26" s="160">
        <v>6.0773625000000004</v>
      </c>
    </row>
    <row r="27" spans="18:75" x14ac:dyDescent="0.2">
      <c r="AE27" s="160">
        <v>1.953125E-3</v>
      </c>
      <c r="AF27" s="160">
        <v>5.76171875E-2</v>
      </c>
      <c r="AG27" s="160">
        <v>1.64355569424</v>
      </c>
      <c r="AS27" s="160">
        <v>7.8125E-3</v>
      </c>
      <c r="AT27" s="160">
        <v>5.6640625E-2</v>
      </c>
      <c r="AU27" s="160">
        <v>3.4364344996799998</v>
      </c>
      <c r="BG27" s="160">
        <v>1.953125E-3</v>
      </c>
      <c r="BH27" s="160">
        <v>7.2265625E-2</v>
      </c>
      <c r="BI27" s="160">
        <v>7000</v>
      </c>
      <c r="BU27" s="160">
        <v>1.953125E-3</v>
      </c>
      <c r="BV27" s="160">
        <v>5.76171875E-2</v>
      </c>
      <c r="BW27" s="160">
        <v>6.2128928571428563</v>
      </c>
    </row>
    <row r="28" spans="18:75" x14ac:dyDescent="0.2">
      <c r="AE28" s="160">
        <v>3.90625E-3</v>
      </c>
      <c r="AF28" s="160">
        <v>6.15234375E-2</v>
      </c>
      <c r="AG28" s="160">
        <v>1.6671941899199998</v>
      </c>
      <c r="AS28" s="160">
        <v>7.8125E-3</v>
      </c>
      <c r="AT28" s="160">
        <v>6.4453125E-2</v>
      </c>
      <c r="AU28" s="160">
        <v>3.5680958187839993</v>
      </c>
      <c r="BG28" s="160">
        <v>1.953125E-3</v>
      </c>
      <c r="BH28" s="160">
        <v>7.421875E-2</v>
      </c>
      <c r="BI28" s="160">
        <v>7000</v>
      </c>
      <c r="BU28" s="160">
        <v>3.90625E-3</v>
      </c>
      <c r="BV28" s="160">
        <v>6.15234375E-2</v>
      </c>
      <c r="BW28" s="160">
        <v>6.3022499999999981</v>
      </c>
    </row>
    <row r="29" spans="18:75" x14ac:dyDescent="0.2">
      <c r="AE29" s="160">
        <v>1.953125E-3</v>
      </c>
      <c r="AF29" s="160">
        <v>6.34765625E-2</v>
      </c>
      <c r="AG29" s="160">
        <v>1.7505538994159997</v>
      </c>
      <c r="AS29" s="160">
        <v>1.953125E-3</v>
      </c>
      <c r="AT29" s="160">
        <v>6.640625E-2</v>
      </c>
      <c r="AU29" s="160">
        <v>3.6082562246639993</v>
      </c>
      <c r="BG29" s="160">
        <v>9.765625E-4</v>
      </c>
      <c r="BH29" s="160">
        <v>7.51953125E-2</v>
      </c>
      <c r="BI29" s="160">
        <v>7000</v>
      </c>
      <c r="BU29" s="160">
        <v>1.953125E-3</v>
      </c>
      <c r="BV29" s="160">
        <v>6.34765625E-2</v>
      </c>
      <c r="BW29" s="160">
        <v>6.6173624999999978</v>
      </c>
    </row>
    <row r="30" spans="18:75" x14ac:dyDescent="0.2">
      <c r="AE30" s="160">
        <v>9.765625E-4</v>
      </c>
      <c r="AF30" s="160">
        <v>6.4453125E-2</v>
      </c>
      <c r="AG30" s="160">
        <v>1.7505538994159997</v>
      </c>
      <c r="AS30" s="160">
        <v>3.90625E-3</v>
      </c>
      <c r="AT30" s="160">
        <v>7.03125E-2</v>
      </c>
      <c r="AU30" s="160">
        <v>3.6406854630720002</v>
      </c>
      <c r="BG30" s="160">
        <v>1.953125E-3</v>
      </c>
      <c r="BH30" s="160">
        <v>7.71484375E-2</v>
      </c>
      <c r="BI30" s="160">
        <v>7000</v>
      </c>
      <c r="BU30" s="160">
        <v>9.765625E-4</v>
      </c>
      <c r="BV30" s="160">
        <v>6.4453125E-2</v>
      </c>
      <c r="BW30" s="160">
        <v>6.6173624999999978</v>
      </c>
    </row>
    <row r="31" spans="18:75" x14ac:dyDescent="0.2">
      <c r="AE31" s="160">
        <v>1.953125E-3</v>
      </c>
      <c r="AF31" s="160">
        <v>6.640625E-2</v>
      </c>
      <c r="AG31" s="160">
        <v>1.7896495337279998</v>
      </c>
      <c r="AS31" s="160">
        <v>1.953125E-3</v>
      </c>
      <c r="AT31" s="160">
        <v>7.2265625E-2</v>
      </c>
      <c r="AU31" s="160">
        <v>3.7288300311359994</v>
      </c>
      <c r="BG31" s="160">
        <v>9.765625E-4</v>
      </c>
      <c r="BH31" s="160">
        <v>7.8125E-2</v>
      </c>
      <c r="BI31" s="160">
        <v>7000</v>
      </c>
      <c r="BU31" s="160">
        <v>1.953125E-3</v>
      </c>
      <c r="BV31" s="160">
        <v>6.640625E-2</v>
      </c>
      <c r="BW31" s="160">
        <v>6.7651499999999984</v>
      </c>
    </row>
    <row r="32" spans="18:75" x14ac:dyDescent="0.2">
      <c r="AE32" s="160">
        <v>3.90625E-3</v>
      </c>
      <c r="AF32" s="160">
        <v>7.03125E-2</v>
      </c>
      <c r="AG32" s="160">
        <v>1.7896495337279998</v>
      </c>
      <c r="AS32" s="160">
        <v>1.953125E-3</v>
      </c>
      <c r="AT32" s="160">
        <v>7.421875E-2</v>
      </c>
      <c r="AU32" s="160">
        <v>3.7513059701040001</v>
      </c>
      <c r="BG32" s="160">
        <v>9.765625E-4</v>
      </c>
      <c r="BH32" s="160">
        <v>7.91015625E-2</v>
      </c>
      <c r="BI32" s="160">
        <v>7000</v>
      </c>
      <c r="BU32" s="160">
        <v>3.90625E-3</v>
      </c>
      <c r="BV32" s="160">
        <v>7.03125E-2</v>
      </c>
      <c r="BW32" s="160">
        <v>6.7651499999999984</v>
      </c>
    </row>
    <row r="33" spans="31:75" x14ac:dyDescent="0.2">
      <c r="AE33" s="160">
        <v>7.8125E-3</v>
      </c>
      <c r="AF33" s="160">
        <v>7.8125E-2</v>
      </c>
      <c r="AG33" s="160">
        <v>1.8519485906880002</v>
      </c>
      <c r="AS33" s="160">
        <v>3.90625E-3</v>
      </c>
      <c r="AT33" s="160">
        <v>7.8125E-2</v>
      </c>
      <c r="AU33" s="160">
        <v>3.7795918582799994</v>
      </c>
      <c r="BG33" s="160">
        <v>3.90625E-3</v>
      </c>
      <c r="BH33" s="160">
        <v>8.30078125E-2</v>
      </c>
      <c r="BI33" s="160">
        <v>7000</v>
      </c>
      <c r="BU33" s="160">
        <v>7.8125E-3</v>
      </c>
      <c r="BV33" s="160">
        <v>7.8125E-2</v>
      </c>
      <c r="BW33" s="160">
        <v>7.0006500000000003</v>
      </c>
    </row>
    <row r="34" spans="31:75" x14ac:dyDescent="0.2">
      <c r="AE34" s="160">
        <v>3.90625E-3</v>
      </c>
      <c r="AF34" s="160">
        <v>8.203125E-2</v>
      </c>
      <c r="AG34" s="160">
        <v>1.8935455406399999</v>
      </c>
      <c r="AS34" s="160">
        <v>1.953125E-3</v>
      </c>
      <c r="AT34" s="160">
        <v>8.0078125E-2</v>
      </c>
      <c r="AU34" s="160">
        <v>3.8349632865599994</v>
      </c>
      <c r="BG34" s="160">
        <v>1.953125E-3</v>
      </c>
      <c r="BH34" s="160">
        <v>8.49609375E-2</v>
      </c>
      <c r="BI34" s="160">
        <v>7000</v>
      </c>
      <c r="BU34" s="160">
        <v>3.90625E-3</v>
      </c>
      <c r="BV34" s="160">
        <v>8.203125E-2</v>
      </c>
      <c r="BW34" s="160">
        <v>7.1578928571428557</v>
      </c>
    </row>
    <row r="35" spans="31:75" x14ac:dyDescent="0.2">
      <c r="AE35" s="160">
        <v>9.765625E-4</v>
      </c>
      <c r="AF35" s="160">
        <v>8.30078125E-2</v>
      </c>
      <c r="AG35" s="160">
        <v>1.9174816432799999</v>
      </c>
      <c r="AS35" s="160">
        <v>9.765625E-4</v>
      </c>
      <c r="AT35" s="160">
        <v>8.10546875E-2</v>
      </c>
      <c r="AU35" s="160">
        <v>3.8465798782320002</v>
      </c>
      <c r="BG35" s="160">
        <v>3.90625E-3</v>
      </c>
      <c r="BH35" s="160">
        <v>8.88671875E-2</v>
      </c>
      <c r="BI35" s="160">
        <v>7000</v>
      </c>
      <c r="BU35" s="160">
        <v>9.765625E-4</v>
      </c>
      <c r="BV35" s="160">
        <v>8.30078125E-2</v>
      </c>
      <c r="BW35" s="160">
        <v>7.2483749999999993</v>
      </c>
    </row>
    <row r="36" spans="31:75" x14ac:dyDescent="0.2">
      <c r="AE36" s="160">
        <v>3.90625E-3</v>
      </c>
      <c r="AF36" s="160">
        <v>8.69140625E-2</v>
      </c>
      <c r="AG36" s="160">
        <v>1.9503672123600002</v>
      </c>
      <c r="AS36" s="160">
        <v>1.953125E-3</v>
      </c>
      <c r="AT36" s="160">
        <v>8.30078125E-2</v>
      </c>
      <c r="AU36" s="160">
        <v>3.8875801970879995</v>
      </c>
      <c r="BG36" s="160">
        <v>1.953125E-3</v>
      </c>
      <c r="BH36" s="160">
        <v>9.08203125E-2</v>
      </c>
      <c r="BI36" s="160">
        <v>7000</v>
      </c>
      <c r="BU36" s="160">
        <v>3.90625E-3</v>
      </c>
      <c r="BV36" s="160">
        <v>8.69140625E-2</v>
      </c>
      <c r="BW36" s="160">
        <v>7.3726874999999996</v>
      </c>
    </row>
    <row r="37" spans="31:75" x14ac:dyDescent="0.2">
      <c r="AE37" s="160">
        <v>1.953125E-3</v>
      </c>
      <c r="AF37" s="160">
        <v>8.88671875E-2</v>
      </c>
      <c r="AG37" s="160">
        <v>2.0060919898560003</v>
      </c>
      <c r="AS37" s="160">
        <v>3.90625E-3</v>
      </c>
      <c r="AT37" s="160">
        <v>8.69140625E-2</v>
      </c>
      <c r="AU37" s="160">
        <v>3.8901197764799993</v>
      </c>
      <c r="BG37" s="160">
        <v>1.953125E-3</v>
      </c>
      <c r="BH37" s="160">
        <v>9.27734375E-2</v>
      </c>
      <c r="BI37" s="160">
        <v>7000</v>
      </c>
      <c r="BU37" s="160">
        <v>1.953125E-3</v>
      </c>
      <c r="BV37" s="160">
        <v>8.88671875E-2</v>
      </c>
      <c r="BW37" s="160">
        <v>7.583335714285715</v>
      </c>
    </row>
    <row r="38" spans="31:75" x14ac:dyDescent="0.2">
      <c r="AE38" s="160">
        <v>7.8125E-3</v>
      </c>
      <c r="AF38" s="160">
        <v>9.66796875E-2</v>
      </c>
      <c r="AG38" s="160">
        <v>2.0618606998079998</v>
      </c>
      <c r="AS38" s="160">
        <v>9.765625E-4</v>
      </c>
      <c r="AT38" s="160">
        <v>8.7890625E-2</v>
      </c>
      <c r="AU38" s="160">
        <v>4.0846257653039997</v>
      </c>
      <c r="BG38" s="160">
        <v>1.953125E-3</v>
      </c>
      <c r="BH38" s="160">
        <v>9.47265625E-2</v>
      </c>
      <c r="BI38" s="160">
        <v>7000</v>
      </c>
      <c r="BU38" s="160">
        <v>7.8125E-3</v>
      </c>
      <c r="BV38" s="160">
        <v>9.66796875E-2</v>
      </c>
      <c r="BW38" s="160">
        <v>7.7941499999999984</v>
      </c>
    </row>
    <row r="39" spans="31:75" x14ac:dyDescent="0.2">
      <c r="AE39" s="160">
        <v>3.90625E-3</v>
      </c>
      <c r="AF39" s="160">
        <v>0.1005859375</v>
      </c>
      <c r="AG39" s="160">
        <v>2.0618606998079998</v>
      </c>
      <c r="AS39" s="160">
        <v>3.90625E-3</v>
      </c>
      <c r="AT39" s="160">
        <v>9.1796875E-2</v>
      </c>
      <c r="AU39" s="160">
        <v>4.1125181509439992</v>
      </c>
      <c r="BG39" s="160">
        <v>9.765625E-4</v>
      </c>
      <c r="BH39" s="160">
        <v>9.5703125E-2</v>
      </c>
      <c r="BI39" s="160">
        <v>7000</v>
      </c>
      <c r="BU39" s="160">
        <v>3.90625E-3</v>
      </c>
      <c r="BV39" s="160">
        <v>0.1005859375</v>
      </c>
      <c r="BW39" s="160">
        <v>7.7941499999999984</v>
      </c>
    </row>
    <row r="40" spans="31:75" x14ac:dyDescent="0.2">
      <c r="AE40" s="160">
        <v>1.953125E-3</v>
      </c>
      <c r="AF40" s="160">
        <v>0.1025390625</v>
      </c>
      <c r="AG40" s="160">
        <v>2.14353538704</v>
      </c>
      <c r="AS40" s="160">
        <v>1.953125E-3</v>
      </c>
      <c r="AT40" s="160">
        <v>9.375E-2</v>
      </c>
      <c r="AU40" s="160">
        <v>4.1758489120319995</v>
      </c>
      <c r="BG40" s="160">
        <v>1.953125E-3</v>
      </c>
      <c r="BH40" s="160">
        <v>9.765625E-2</v>
      </c>
      <c r="BI40" s="160">
        <v>7000</v>
      </c>
      <c r="BU40" s="160">
        <v>1.953125E-3</v>
      </c>
      <c r="BV40" s="160">
        <v>0.1025390625</v>
      </c>
      <c r="BW40" s="160">
        <v>8.1028928571428569</v>
      </c>
    </row>
    <row r="41" spans="31:75" x14ac:dyDescent="0.2">
      <c r="AE41" s="160">
        <v>3.90625E-3</v>
      </c>
      <c r="AF41" s="160">
        <v>0.1064453125</v>
      </c>
      <c r="AG41" s="160">
        <v>2.1436034114880003</v>
      </c>
      <c r="AS41" s="160">
        <v>7.8125E-3</v>
      </c>
      <c r="AT41" s="160">
        <v>0.1015625</v>
      </c>
      <c r="AU41" s="160">
        <v>4.3212133782720006</v>
      </c>
      <c r="BG41" s="160">
        <v>3.90625E-3</v>
      </c>
      <c r="BH41" s="160">
        <v>0.1015625</v>
      </c>
      <c r="BI41" s="160">
        <v>7000</v>
      </c>
      <c r="BU41" s="160">
        <v>3.90625E-3</v>
      </c>
      <c r="BV41" s="160">
        <v>0.1064453125</v>
      </c>
      <c r="BW41" s="160">
        <v>8.1031499999999994</v>
      </c>
    </row>
    <row r="42" spans="31:75" x14ac:dyDescent="0.2">
      <c r="AE42" s="160">
        <v>9.765625E-4</v>
      </c>
      <c r="AF42" s="160">
        <v>0.107421875</v>
      </c>
      <c r="AG42" s="160">
        <v>2.1618467181360002</v>
      </c>
      <c r="AS42" s="160">
        <v>3.90625E-3</v>
      </c>
      <c r="AT42" s="160">
        <v>0.10546875</v>
      </c>
      <c r="AU42" s="160">
        <v>4.4182729281599986</v>
      </c>
      <c r="BG42" s="160">
        <v>3.90625E-3</v>
      </c>
      <c r="BH42" s="160">
        <v>0.10546875</v>
      </c>
      <c r="BI42" s="160">
        <v>7000</v>
      </c>
      <c r="BU42" s="160">
        <v>9.765625E-4</v>
      </c>
      <c r="BV42" s="160">
        <v>0.107421875</v>
      </c>
      <c r="BW42" s="160">
        <v>8.172112499999999</v>
      </c>
    </row>
    <row r="43" spans="31:75" x14ac:dyDescent="0.2">
      <c r="AE43" s="160">
        <v>1.953125E-3</v>
      </c>
      <c r="AF43" s="160">
        <v>0.109375</v>
      </c>
      <c r="AG43" s="160">
        <v>2.2091364640800002</v>
      </c>
      <c r="AS43" s="160">
        <v>3.90625E-3</v>
      </c>
      <c r="AT43" s="160">
        <v>0.109375</v>
      </c>
      <c r="AU43" s="160">
        <v>4.4288016010559996</v>
      </c>
      <c r="BG43" s="160">
        <v>3.90625E-3</v>
      </c>
      <c r="BH43" s="160">
        <v>0.109375</v>
      </c>
      <c r="BI43" s="160">
        <v>7000</v>
      </c>
      <c r="BU43" s="160">
        <v>1.953125E-3</v>
      </c>
      <c r="BV43" s="160">
        <v>0.109375</v>
      </c>
      <c r="BW43" s="160">
        <v>8.3508750000000003</v>
      </c>
    </row>
    <row r="44" spans="31:75" x14ac:dyDescent="0.2">
      <c r="AE44" s="160">
        <v>3.90625E-3</v>
      </c>
      <c r="AF44" s="160">
        <v>0.11328125</v>
      </c>
      <c r="AG44" s="160">
        <v>2.2370619171599997</v>
      </c>
      <c r="AS44" s="160">
        <v>7.8125E-3</v>
      </c>
      <c r="AT44" s="160">
        <v>0.1171875</v>
      </c>
      <c r="AU44" s="160">
        <v>4.4601197734799989</v>
      </c>
      <c r="BG44" s="160">
        <v>7.8125E-3</v>
      </c>
      <c r="BH44" s="160">
        <v>0.1171875</v>
      </c>
      <c r="BI44" s="160">
        <v>7000</v>
      </c>
      <c r="BU44" s="160">
        <v>3.90625E-3</v>
      </c>
      <c r="BV44" s="160">
        <v>0.11328125</v>
      </c>
      <c r="BW44" s="160">
        <v>8.4564374999999981</v>
      </c>
    </row>
    <row r="45" spans="31:75" x14ac:dyDescent="0.2">
      <c r="AE45" s="160">
        <v>1.953125E-3</v>
      </c>
      <c r="AF45" s="160">
        <v>0.115234375</v>
      </c>
      <c r="AG45" s="160">
        <v>2.3009779719359997</v>
      </c>
      <c r="AS45" s="160">
        <v>3.90625E-3</v>
      </c>
      <c r="AT45" s="160">
        <v>0.12109375</v>
      </c>
      <c r="AU45" s="160">
        <v>4.5508568288400006</v>
      </c>
      <c r="BG45" s="160">
        <v>1.5625E-2</v>
      </c>
      <c r="BH45" s="160">
        <v>0.1328125</v>
      </c>
      <c r="BI45" s="160">
        <v>7000</v>
      </c>
      <c r="BU45" s="160">
        <v>1.953125E-3</v>
      </c>
      <c r="BV45" s="160">
        <v>0.115234375</v>
      </c>
      <c r="BW45" s="160">
        <v>8.6980499999999985</v>
      </c>
    </row>
    <row r="46" spans="31:75" x14ac:dyDescent="0.2">
      <c r="AE46" s="160">
        <v>9.765625E-4</v>
      </c>
      <c r="AF46" s="160">
        <v>0.1162109375</v>
      </c>
      <c r="AG46" s="160">
        <v>2.3009779719359997</v>
      </c>
      <c r="AS46" s="160">
        <v>3.90625E-3</v>
      </c>
      <c r="AT46" s="160">
        <v>0.125</v>
      </c>
      <c r="AU46" s="160">
        <v>4.5875517670079997</v>
      </c>
      <c r="BG46" s="160">
        <v>7.8125E-3</v>
      </c>
      <c r="BH46" s="160">
        <v>0.140625</v>
      </c>
      <c r="BI46" s="160">
        <v>7000</v>
      </c>
      <c r="BU46" s="160">
        <v>9.765625E-4</v>
      </c>
      <c r="BV46" s="160">
        <v>0.1162109375</v>
      </c>
      <c r="BW46" s="160">
        <v>8.6980499999999985</v>
      </c>
    </row>
    <row r="47" spans="31:75" x14ac:dyDescent="0.2">
      <c r="AE47" s="160">
        <v>7.8125E-3</v>
      </c>
      <c r="AF47" s="160">
        <v>0.1240234375</v>
      </c>
      <c r="AG47" s="160">
        <v>2.3149357383600004</v>
      </c>
      <c r="AS47" s="160">
        <v>1.953125E-3</v>
      </c>
      <c r="AT47" s="160">
        <v>0.126953125</v>
      </c>
      <c r="AU47" s="160">
        <v>4.6610375389199987</v>
      </c>
      <c r="BG47" s="160">
        <v>3.90625E-3</v>
      </c>
      <c r="BH47" s="160">
        <v>0.14453125</v>
      </c>
      <c r="BI47" s="160">
        <v>7000</v>
      </c>
      <c r="BU47" s="160">
        <v>7.8125E-3</v>
      </c>
      <c r="BV47" s="160">
        <v>0.1240234375</v>
      </c>
      <c r="BW47" s="160">
        <v>8.7508125000000003</v>
      </c>
    </row>
    <row r="48" spans="31:75" x14ac:dyDescent="0.2">
      <c r="AE48" s="160">
        <v>3.90625E-3</v>
      </c>
      <c r="AF48" s="160">
        <v>0.1279296875</v>
      </c>
      <c r="AG48" s="160">
        <v>2.3340718658879998</v>
      </c>
      <c r="AS48" s="160">
        <v>1.953125E-3</v>
      </c>
      <c r="AT48" s="160">
        <v>0.12890625</v>
      </c>
      <c r="AU48" s="160">
        <v>4.6808813096640005</v>
      </c>
      <c r="BG48" s="160">
        <v>3.90625E-3</v>
      </c>
      <c r="BH48" s="160">
        <v>0.1484375</v>
      </c>
      <c r="BI48" s="160">
        <v>7000</v>
      </c>
      <c r="BU48" s="160">
        <v>3.90625E-3</v>
      </c>
      <c r="BV48" s="160">
        <v>0.1279296875</v>
      </c>
      <c r="BW48" s="160">
        <v>8.8231499999999983</v>
      </c>
    </row>
    <row r="49" spans="31:75" x14ac:dyDescent="0.2">
      <c r="AE49" s="160">
        <v>1.953125E-3</v>
      </c>
      <c r="AF49" s="160">
        <v>0.1298828125</v>
      </c>
      <c r="AG49" s="160">
        <v>2.3340718658879998</v>
      </c>
      <c r="AS49" s="160">
        <v>9.765625E-4</v>
      </c>
      <c r="AT49" s="160">
        <v>0.1298828125</v>
      </c>
      <c r="AU49" s="160">
        <v>4.7942100400319996</v>
      </c>
      <c r="BG49" s="160">
        <v>3.90625E-3</v>
      </c>
      <c r="BH49" s="160">
        <v>0.15234375</v>
      </c>
      <c r="BI49" s="160">
        <v>7000</v>
      </c>
      <c r="BU49" s="160">
        <v>1.953125E-3</v>
      </c>
      <c r="BV49" s="160">
        <v>0.1298828125</v>
      </c>
      <c r="BW49" s="160">
        <v>8.8231499999999983</v>
      </c>
    </row>
    <row r="50" spans="31:75" x14ac:dyDescent="0.2">
      <c r="AE50" s="160">
        <v>3.90625E-3</v>
      </c>
      <c r="AF50" s="160">
        <v>0.1337890625</v>
      </c>
      <c r="AG50" s="160">
        <v>2.3810767594560005</v>
      </c>
      <c r="AS50" s="160">
        <v>3.90625E-3</v>
      </c>
      <c r="AT50" s="160">
        <v>0.1337890625</v>
      </c>
      <c r="AU50" s="160">
        <v>4.8110082995519994</v>
      </c>
      <c r="BG50" s="160">
        <v>1.953125E-3</v>
      </c>
      <c r="BH50" s="160">
        <v>0.154296875</v>
      </c>
      <c r="BI50" s="160">
        <v>7000</v>
      </c>
      <c r="BU50" s="160">
        <v>3.90625E-3</v>
      </c>
      <c r="BV50" s="160">
        <v>0.1337890625</v>
      </c>
      <c r="BW50" s="160">
        <v>9.0008357142857154</v>
      </c>
    </row>
    <row r="51" spans="31:75" x14ac:dyDescent="0.2">
      <c r="AE51" s="160">
        <v>9.765625E-4</v>
      </c>
      <c r="AF51" s="160">
        <v>0.134765625</v>
      </c>
      <c r="AG51" s="160">
        <v>2.50079128488</v>
      </c>
      <c r="AS51" s="160">
        <v>1.953125E-3</v>
      </c>
      <c r="AT51" s="160">
        <v>0.1357421875</v>
      </c>
      <c r="AU51" s="160">
        <v>5.0015825697599992</v>
      </c>
      <c r="BG51" s="160">
        <v>9.765625E-4</v>
      </c>
      <c r="BH51" s="160">
        <v>0.1552734375</v>
      </c>
      <c r="BI51" s="160">
        <v>7000</v>
      </c>
      <c r="BU51" s="160">
        <v>9.765625E-4</v>
      </c>
      <c r="BV51" s="160">
        <v>0.134765625</v>
      </c>
      <c r="BW51" s="160">
        <v>9.4533749999999994</v>
      </c>
    </row>
    <row r="52" spans="31:75" x14ac:dyDescent="0.2">
      <c r="AE52" s="160">
        <v>1.953125E-3</v>
      </c>
      <c r="AF52" s="160">
        <v>0.13671875</v>
      </c>
      <c r="AG52" s="160">
        <v>2.5566421910399999</v>
      </c>
      <c r="AS52" s="160">
        <v>3.90625E-3</v>
      </c>
      <c r="AT52" s="160">
        <v>0.1396484375</v>
      </c>
      <c r="AU52" s="160">
        <v>5.0017412934720005</v>
      </c>
      <c r="BG52" s="160">
        <v>1.953125E-3</v>
      </c>
      <c r="BH52" s="160">
        <v>0.1572265625</v>
      </c>
      <c r="BI52" s="160">
        <v>7000</v>
      </c>
      <c r="BU52" s="160">
        <v>1.953125E-3</v>
      </c>
      <c r="BV52" s="160">
        <v>0.13671875</v>
      </c>
      <c r="BW52" s="160">
        <v>9.6644999999999985</v>
      </c>
    </row>
    <row r="53" spans="31:75" x14ac:dyDescent="0.2">
      <c r="AE53" s="160">
        <v>7.8125E-3</v>
      </c>
      <c r="AF53" s="160">
        <v>0.14453125</v>
      </c>
      <c r="AG53" s="160">
        <v>2.5773258747599996</v>
      </c>
      <c r="AS53" s="160">
        <v>7.8125E-3</v>
      </c>
      <c r="AT53" s="160">
        <v>0.1474609375</v>
      </c>
      <c r="AU53" s="160">
        <v>5.0394558110399998</v>
      </c>
      <c r="BG53" s="160">
        <v>1.953125E-3</v>
      </c>
      <c r="BH53" s="160">
        <v>0.1591796875</v>
      </c>
      <c r="BI53" s="160">
        <v>7000</v>
      </c>
      <c r="BU53" s="160">
        <v>7.8125E-3</v>
      </c>
      <c r="BV53" s="160">
        <v>0.14453125</v>
      </c>
      <c r="BW53" s="160">
        <v>9.7426874999999971</v>
      </c>
    </row>
    <row r="54" spans="31:75" x14ac:dyDescent="0.2">
      <c r="AE54" s="160">
        <v>1.953125E-3</v>
      </c>
      <c r="AF54" s="160">
        <v>0.146484375</v>
      </c>
      <c r="AG54" s="160">
        <v>2.5993289493360003</v>
      </c>
      <c r="AS54" s="160">
        <v>3.90625E-3</v>
      </c>
      <c r="AT54" s="160">
        <v>0.1513671875</v>
      </c>
      <c r="AU54" s="160">
        <v>5.0443090089840004</v>
      </c>
      <c r="BG54" s="160">
        <v>1.953125E-3</v>
      </c>
      <c r="BH54" s="160">
        <v>0.1611328125</v>
      </c>
      <c r="BI54" s="160">
        <v>7000</v>
      </c>
      <c r="BU54" s="160">
        <v>1.953125E-3</v>
      </c>
      <c r="BV54" s="160">
        <v>0.146484375</v>
      </c>
      <c r="BW54" s="160">
        <v>9.8258624999999995</v>
      </c>
    </row>
    <row r="55" spans="31:75" x14ac:dyDescent="0.2">
      <c r="AE55" s="160">
        <v>7.8125E-3</v>
      </c>
      <c r="AF55" s="160">
        <v>0.154296875</v>
      </c>
      <c r="AG55" s="160">
        <v>2.6004896164800004</v>
      </c>
      <c r="AS55" s="160">
        <v>9.765625E-4</v>
      </c>
      <c r="AT55" s="160">
        <v>0.15234375</v>
      </c>
      <c r="AU55" s="160">
        <v>5.0443090089840004</v>
      </c>
      <c r="BG55" s="160">
        <v>3.90625E-3</v>
      </c>
      <c r="BH55" s="160">
        <v>0.1650390625</v>
      </c>
      <c r="BI55" s="160">
        <v>7000</v>
      </c>
      <c r="BU55" s="160">
        <v>7.8125E-3</v>
      </c>
      <c r="BV55" s="160">
        <v>0.154296875</v>
      </c>
      <c r="BW55" s="160">
        <v>9.8302500000000013</v>
      </c>
    </row>
    <row r="56" spans="31:75" x14ac:dyDescent="0.2">
      <c r="AE56" s="160">
        <v>1.953125E-3</v>
      </c>
      <c r="AF56" s="160">
        <v>0.15625</v>
      </c>
      <c r="AG56" s="160">
        <v>2.6509637568959996</v>
      </c>
      <c r="AS56" s="160">
        <v>1.953125E-3</v>
      </c>
      <c r="AT56" s="160">
        <v>0.154296875</v>
      </c>
      <c r="AU56" s="160">
        <v>5.1287731709759994</v>
      </c>
      <c r="BG56" s="160">
        <v>1.953125E-3</v>
      </c>
      <c r="BH56" s="160">
        <v>0.1669921875</v>
      </c>
      <c r="BI56" s="160">
        <v>7000</v>
      </c>
      <c r="BU56" s="160">
        <v>1.953125E-3</v>
      </c>
      <c r="BV56" s="160">
        <v>0.15625</v>
      </c>
      <c r="BW56" s="160">
        <v>10.021049999999997</v>
      </c>
    </row>
    <row r="57" spans="31:75" x14ac:dyDescent="0.2">
      <c r="AE57" s="160">
        <v>3.90625E-3</v>
      </c>
      <c r="AF57" s="160">
        <v>0.16015625</v>
      </c>
      <c r="AG57" s="160">
        <v>2.6509637568959996</v>
      </c>
      <c r="AS57" s="160">
        <v>3.90625E-3</v>
      </c>
      <c r="AT57" s="160">
        <v>0.158203125</v>
      </c>
      <c r="AU57" s="160">
        <v>5.1406476886799997</v>
      </c>
      <c r="BG57" s="160">
        <v>3.90625E-3</v>
      </c>
      <c r="BH57" s="160">
        <v>0.1708984375</v>
      </c>
      <c r="BI57" s="160">
        <v>7000</v>
      </c>
      <c r="BU57" s="160">
        <v>3.90625E-3</v>
      </c>
      <c r="BV57" s="160">
        <v>0.16015625</v>
      </c>
      <c r="BW57" s="160">
        <v>10.021049999999997</v>
      </c>
    </row>
    <row r="58" spans="31:75" x14ac:dyDescent="0.2">
      <c r="AE58" s="160">
        <v>3.90625E-3</v>
      </c>
      <c r="AF58" s="160">
        <v>0.1640625</v>
      </c>
      <c r="AG58" s="160">
        <v>2.6795042643600002</v>
      </c>
      <c r="AS58" s="160">
        <v>1.953125E-3</v>
      </c>
      <c r="AT58" s="160">
        <v>0.16015625</v>
      </c>
      <c r="AU58" s="160">
        <v>5.2875233369279995</v>
      </c>
      <c r="BG58" s="160">
        <v>9.765625E-4</v>
      </c>
      <c r="BH58" s="160">
        <v>0.171875</v>
      </c>
      <c r="BI58" s="160">
        <v>7000</v>
      </c>
      <c r="BU58" s="160">
        <v>3.90625E-3</v>
      </c>
      <c r="BV58" s="160">
        <v>0.1640625</v>
      </c>
      <c r="BW58" s="160">
        <v>10.128937499999999</v>
      </c>
    </row>
    <row r="59" spans="31:75" x14ac:dyDescent="0.2">
      <c r="AE59" s="160">
        <v>3.90625E-3</v>
      </c>
      <c r="AF59" s="160">
        <v>0.16796875</v>
      </c>
      <c r="AG59" s="160">
        <v>2.7305140973039999</v>
      </c>
      <c r="AS59" s="160">
        <v>1.953125E-3</v>
      </c>
      <c r="AT59" s="160">
        <v>0.162109375</v>
      </c>
      <c r="AU59" s="160">
        <v>5.2914286015919991</v>
      </c>
      <c r="BG59" s="160">
        <v>9.765625E-4</v>
      </c>
      <c r="BH59" s="160">
        <v>0.1728515625</v>
      </c>
      <c r="BI59" s="160">
        <v>7000</v>
      </c>
      <c r="BU59" s="160">
        <v>3.90625E-3</v>
      </c>
      <c r="BV59" s="160">
        <v>0.16796875</v>
      </c>
      <c r="BW59" s="160">
        <v>10.321762499999998</v>
      </c>
    </row>
    <row r="60" spans="31:75" x14ac:dyDescent="0.2">
      <c r="AE60" s="160">
        <v>1.953125E-3</v>
      </c>
      <c r="AF60" s="160">
        <v>0.169921875</v>
      </c>
      <c r="AG60" s="160">
        <v>2.7305140973040003</v>
      </c>
      <c r="AS60" s="160">
        <v>9.765625E-4</v>
      </c>
      <c r="AT60" s="160">
        <v>0.1630859375</v>
      </c>
      <c r="AU60" s="160">
        <v>5.3689486011839991</v>
      </c>
      <c r="BG60" s="160">
        <v>1.953125E-3</v>
      </c>
      <c r="BH60" s="160">
        <v>0.1748046875</v>
      </c>
      <c r="BI60" s="160">
        <v>7000</v>
      </c>
      <c r="BU60" s="160">
        <v>1.953125E-3</v>
      </c>
      <c r="BV60" s="160">
        <v>0.169921875</v>
      </c>
      <c r="BW60" s="160">
        <v>10.3217625</v>
      </c>
    </row>
    <row r="61" spans="31:75" x14ac:dyDescent="0.2">
      <c r="AE61" s="160">
        <v>1.953125E-3</v>
      </c>
      <c r="AF61" s="160">
        <v>0.171875</v>
      </c>
      <c r="AG61" s="160">
        <v>2.7560615290560002</v>
      </c>
      <c r="AS61" s="160">
        <v>7.8125E-3</v>
      </c>
      <c r="AT61" s="160">
        <v>0.1708984375</v>
      </c>
      <c r="AU61" s="160">
        <v>5.4015167228400003</v>
      </c>
      <c r="BG61" s="160">
        <v>9.765625E-4</v>
      </c>
      <c r="BH61" s="160">
        <v>0.17578125</v>
      </c>
      <c r="BI61" s="160">
        <v>7000</v>
      </c>
      <c r="BU61" s="160">
        <v>1.953125E-3</v>
      </c>
      <c r="BV61" s="160">
        <v>0.171875</v>
      </c>
      <c r="BW61" s="160">
        <v>10.418335714285714</v>
      </c>
    </row>
    <row r="62" spans="31:75" x14ac:dyDescent="0.2">
      <c r="AE62" s="160">
        <v>1.953125E-3</v>
      </c>
      <c r="AF62" s="160">
        <v>0.173828125</v>
      </c>
      <c r="AG62" s="160">
        <v>2.8824622908480007</v>
      </c>
      <c r="AS62" s="160">
        <v>1.953125E-3</v>
      </c>
      <c r="AT62" s="160">
        <v>0.1728515625</v>
      </c>
      <c r="AU62" s="160">
        <v>5.4461676870719984</v>
      </c>
      <c r="BG62" s="160">
        <v>1.953125E-3</v>
      </c>
      <c r="BH62" s="160">
        <v>0.177734375</v>
      </c>
      <c r="BI62" s="160">
        <v>7000</v>
      </c>
      <c r="BU62" s="160">
        <v>1.953125E-3</v>
      </c>
      <c r="BV62" s="160">
        <v>0.173828125</v>
      </c>
      <c r="BW62" s="160">
        <v>10.89615</v>
      </c>
    </row>
    <row r="63" spans="31:75" x14ac:dyDescent="0.2">
      <c r="AE63" s="160">
        <v>3.90625E-3</v>
      </c>
      <c r="AF63" s="160">
        <v>0.177734375</v>
      </c>
      <c r="AG63" s="160">
        <v>2.9175898323599996</v>
      </c>
      <c r="AS63" s="160">
        <v>3.90625E-3</v>
      </c>
      <c r="AT63" s="160">
        <v>0.1767578125</v>
      </c>
      <c r="AU63" s="160">
        <v>5.53600200132</v>
      </c>
      <c r="BG63" s="160">
        <v>1.953125E-3</v>
      </c>
      <c r="BH63" s="160">
        <v>0.1796875</v>
      </c>
      <c r="BI63" s="160">
        <v>7000</v>
      </c>
      <c r="BU63" s="160">
        <v>3.90625E-3</v>
      </c>
      <c r="BV63" s="160">
        <v>0.177734375</v>
      </c>
      <c r="BW63" s="160">
        <v>11.028937499999998</v>
      </c>
    </row>
    <row r="64" spans="31:75" x14ac:dyDescent="0.2">
      <c r="AE64" s="160">
        <v>3.90625E-3</v>
      </c>
      <c r="AF64" s="160">
        <v>0.181640625</v>
      </c>
      <c r="AG64" s="160">
        <v>2.94551528544</v>
      </c>
      <c r="AS64" s="160">
        <v>3.90625E-3</v>
      </c>
      <c r="AT64" s="160">
        <v>0.1806640625</v>
      </c>
      <c r="AU64" s="160">
        <v>5.5558457720640009</v>
      </c>
      <c r="BG64" s="160">
        <v>1.953125E-3</v>
      </c>
      <c r="BH64" s="160">
        <v>0.181640625</v>
      </c>
      <c r="BI64" s="160">
        <v>7000</v>
      </c>
      <c r="BU64" s="160">
        <v>3.90625E-3</v>
      </c>
      <c r="BV64" s="160">
        <v>0.181640625</v>
      </c>
      <c r="BW64" s="160">
        <v>11.134499999999999</v>
      </c>
    </row>
    <row r="65" spans="31:75" x14ac:dyDescent="0.2">
      <c r="AE65" s="160">
        <v>7.8125E-3</v>
      </c>
      <c r="AF65" s="160">
        <v>0.189453125</v>
      </c>
      <c r="AG65" s="160">
        <v>2.9827492228799999</v>
      </c>
      <c r="AS65" s="160">
        <v>1.953125E-3</v>
      </c>
      <c r="AT65" s="160">
        <v>0.1826171875</v>
      </c>
      <c r="AU65" s="160">
        <v>5.6941734870719998</v>
      </c>
      <c r="BG65" s="160">
        <v>9.765625E-4</v>
      </c>
      <c r="BH65" s="160">
        <v>0.1826171875</v>
      </c>
      <c r="BI65" s="160">
        <v>7000</v>
      </c>
      <c r="BU65" s="160">
        <v>7.8125E-3</v>
      </c>
      <c r="BV65" s="160">
        <v>0.189453125</v>
      </c>
      <c r="BW65" s="160">
        <v>11.275249999999998</v>
      </c>
    </row>
    <row r="66" spans="31:75" x14ac:dyDescent="0.2">
      <c r="AE66" s="160">
        <v>9.765625E-4</v>
      </c>
      <c r="AF66" s="160">
        <v>0.1904296875</v>
      </c>
      <c r="AG66" s="160">
        <v>3.0009495418559995</v>
      </c>
      <c r="AS66" s="160">
        <v>1.5625E-2</v>
      </c>
      <c r="AT66" s="160">
        <v>0.1982421875</v>
      </c>
      <c r="AU66" s="160">
        <v>5.9468263646399997</v>
      </c>
      <c r="BG66" s="160">
        <v>1.953125E-3</v>
      </c>
      <c r="BH66" s="160">
        <v>0.1845703125</v>
      </c>
      <c r="BI66" s="160">
        <v>7000</v>
      </c>
      <c r="BU66" s="160">
        <v>9.765625E-4</v>
      </c>
      <c r="BV66" s="160">
        <v>0.1904296875</v>
      </c>
      <c r="BW66" s="160">
        <v>11.344049999999998</v>
      </c>
    </row>
    <row r="67" spans="31:75" x14ac:dyDescent="0.2">
      <c r="AE67" s="160">
        <v>1.953125E-3</v>
      </c>
      <c r="AF67" s="160">
        <v>0.1923828125</v>
      </c>
      <c r="AG67" s="160">
        <v>3.0009495418559995</v>
      </c>
      <c r="AS67" s="160">
        <v>1.953125E-3</v>
      </c>
      <c r="AT67" s="160">
        <v>0.2001953125</v>
      </c>
      <c r="AU67" s="160">
        <v>6.0651008817840006</v>
      </c>
      <c r="BG67" s="160">
        <v>3.90625E-3</v>
      </c>
      <c r="BH67" s="160">
        <v>0.1884765625</v>
      </c>
      <c r="BI67" s="160">
        <v>7000</v>
      </c>
      <c r="BU67" s="160">
        <v>1.953125E-3</v>
      </c>
      <c r="BV67" s="160">
        <v>0.1923828125</v>
      </c>
      <c r="BW67" s="160">
        <v>11.344049999999998</v>
      </c>
    </row>
    <row r="68" spans="31:75" x14ac:dyDescent="0.2">
      <c r="AE68" s="160">
        <v>9.765625E-4</v>
      </c>
      <c r="AF68" s="160">
        <v>0.193359375</v>
      </c>
      <c r="AG68" s="160">
        <v>3.0368111805360005</v>
      </c>
      <c r="AS68" s="160">
        <v>7.8125E-3</v>
      </c>
      <c r="AT68" s="160">
        <v>0.2080078125</v>
      </c>
      <c r="AU68" s="160">
        <v>6.0651008817840006</v>
      </c>
      <c r="BG68" s="160">
        <v>3.90625E-3</v>
      </c>
      <c r="BH68" s="160">
        <v>0.1923828125</v>
      </c>
      <c r="BI68" s="160">
        <v>7000</v>
      </c>
      <c r="BU68" s="160">
        <v>9.765625E-4</v>
      </c>
      <c r="BV68" s="160">
        <v>0.193359375</v>
      </c>
      <c r="BW68" s="160">
        <v>11.4796125</v>
      </c>
    </row>
    <row r="69" spans="31:75" x14ac:dyDescent="0.2">
      <c r="AE69" s="160">
        <v>1.5625E-2</v>
      </c>
      <c r="AF69" s="160">
        <v>0.208984375</v>
      </c>
      <c r="AG69" s="160">
        <v>3.0865809844800003</v>
      </c>
      <c r="AS69" s="160">
        <v>7.8125E-3</v>
      </c>
      <c r="AT69" s="160">
        <v>0.2158203125</v>
      </c>
      <c r="AU69" s="160">
        <v>6.0678091051200003</v>
      </c>
      <c r="BG69" s="160">
        <v>3.90625E-3</v>
      </c>
      <c r="BH69" s="160">
        <v>0.1962890625</v>
      </c>
      <c r="BI69" s="160">
        <v>7000</v>
      </c>
      <c r="BU69" s="160">
        <v>1.5625E-2</v>
      </c>
      <c r="BV69" s="160">
        <v>0.208984375</v>
      </c>
      <c r="BW69" s="160">
        <v>11.66775</v>
      </c>
    </row>
    <row r="70" spans="31:75" x14ac:dyDescent="0.2">
      <c r="AE70" s="160">
        <v>1.953125E-3</v>
      </c>
      <c r="AF70" s="160">
        <v>0.2109375</v>
      </c>
      <c r="AG70" s="160">
        <v>3.1318866840239998</v>
      </c>
      <c r="AS70" s="160">
        <v>1.953125E-3</v>
      </c>
      <c r="AT70" s="160">
        <v>0.2177734375</v>
      </c>
      <c r="AU70" s="160">
        <v>6.1855820994239989</v>
      </c>
      <c r="BG70" s="160">
        <v>7.8125E-3</v>
      </c>
      <c r="BH70" s="160">
        <v>0.2041015625</v>
      </c>
      <c r="BI70" s="160">
        <v>7000</v>
      </c>
      <c r="BU70" s="160">
        <v>1.953125E-3</v>
      </c>
      <c r="BV70" s="160">
        <v>0.2109375</v>
      </c>
      <c r="BW70" s="160">
        <v>11.839012499999997</v>
      </c>
    </row>
    <row r="71" spans="31:75" x14ac:dyDescent="0.2">
      <c r="AE71" s="160">
        <v>1.953125E-3</v>
      </c>
      <c r="AF71" s="160">
        <v>0.212890625</v>
      </c>
      <c r="AG71" s="160">
        <v>3.1958027387999999</v>
      </c>
      <c r="AS71" s="160">
        <v>3.90625E-3</v>
      </c>
      <c r="AT71" s="160">
        <v>0.2216796875</v>
      </c>
      <c r="AU71" s="160">
        <v>6.2147167185599992</v>
      </c>
      <c r="BG71" s="160">
        <v>3.90625E-3</v>
      </c>
      <c r="BH71" s="160">
        <v>0.2080078125</v>
      </c>
      <c r="BI71" s="160">
        <v>7000</v>
      </c>
      <c r="BU71" s="160">
        <v>1.953125E-3</v>
      </c>
      <c r="BV71" s="160">
        <v>0.212890625</v>
      </c>
      <c r="BW71" s="160">
        <v>12.080624999999998</v>
      </c>
    </row>
    <row r="72" spans="31:75" x14ac:dyDescent="0.2">
      <c r="AE72" s="160">
        <v>7.8125E-3</v>
      </c>
      <c r="AF72" s="160">
        <v>0.220703125</v>
      </c>
      <c r="AG72" s="160">
        <v>3.240910033704</v>
      </c>
      <c r="AS72" s="160">
        <v>3.90625E-3</v>
      </c>
      <c r="AT72" s="160">
        <v>0.2255859375</v>
      </c>
      <c r="AU72" s="160">
        <v>6.244167682871999</v>
      </c>
      <c r="BG72" s="160">
        <v>7.8125E-3</v>
      </c>
      <c r="BH72" s="160">
        <v>0.2158203125</v>
      </c>
      <c r="BI72" s="160">
        <v>7000</v>
      </c>
      <c r="BU72" s="160">
        <v>7.8125E-3</v>
      </c>
      <c r="BV72" s="160">
        <v>0.220703125</v>
      </c>
      <c r="BW72" s="160">
        <v>12.251137499999999</v>
      </c>
    </row>
    <row r="73" spans="31:75" x14ac:dyDescent="0.2">
      <c r="AE73" s="160">
        <v>3.90625E-3</v>
      </c>
      <c r="AF73" s="160">
        <v>0.224609375</v>
      </c>
      <c r="AG73" s="160">
        <v>3.2409100337040004</v>
      </c>
      <c r="AS73" s="160">
        <v>3.90625E-3</v>
      </c>
      <c r="AT73" s="160">
        <v>0.2294921875</v>
      </c>
      <c r="AU73" s="160">
        <v>6.2521766168399999</v>
      </c>
      <c r="BG73" s="160">
        <v>7.8125E-3</v>
      </c>
      <c r="BH73" s="160">
        <v>0.2236328125</v>
      </c>
      <c r="BI73" s="160">
        <v>7000</v>
      </c>
      <c r="BU73" s="160">
        <v>3.90625E-3</v>
      </c>
      <c r="BV73" s="160">
        <v>0.224609375</v>
      </c>
      <c r="BW73" s="160">
        <v>12.2511375</v>
      </c>
    </row>
    <row r="74" spans="31:75" x14ac:dyDescent="0.2">
      <c r="AE74" s="160">
        <v>9.765625E-4</v>
      </c>
      <c r="AF74" s="160">
        <v>0.2255859375</v>
      </c>
      <c r="AG74" s="160">
        <v>3.2871113884800005</v>
      </c>
      <c r="AS74" s="160">
        <v>1.953125E-3</v>
      </c>
      <c r="AT74" s="160">
        <v>0.2314453125</v>
      </c>
      <c r="AU74" s="160">
        <v>6.3664775299440013</v>
      </c>
      <c r="BG74" s="160">
        <v>1.953125E-3</v>
      </c>
      <c r="BH74" s="160">
        <v>0.2255859375</v>
      </c>
      <c r="BI74" s="160">
        <v>7000</v>
      </c>
      <c r="BU74" s="160">
        <v>9.765625E-4</v>
      </c>
      <c r="BV74" s="160">
        <v>0.2255859375</v>
      </c>
      <c r="BW74" s="160">
        <v>12.425785714285714</v>
      </c>
    </row>
    <row r="75" spans="31:75" x14ac:dyDescent="0.2">
      <c r="AE75" s="160">
        <v>1.953125E-3</v>
      </c>
      <c r="AF75" s="160">
        <v>0.2275390625</v>
      </c>
      <c r="AG75" s="160">
        <v>3.33438837984</v>
      </c>
      <c r="AS75" s="160">
        <v>1.953125E-3</v>
      </c>
      <c r="AT75" s="160">
        <v>0.2333984375</v>
      </c>
      <c r="AU75" s="160">
        <v>6.3711995603759997</v>
      </c>
      <c r="BG75" s="160">
        <v>3.90625E-3</v>
      </c>
      <c r="BH75" s="160">
        <v>0.2294921875</v>
      </c>
      <c r="BI75" s="160">
        <v>7000</v>
      </c>
      <c r="BU75" s="160">
        <v>1.953125E-3</v>
      </c>
      <c r="BV75" s="160">
        <v>0.2275390625</v>
      </c>
      <c r="BW75" s="160">
        <v>12.604499999999998</v>
      </c>
    </row>
    <row r="76" spans="31:75" x14ac:dyDescent="0.2">
      <c r="AE76" s="160">
        <v>3.90625E-3</v>
      </c>
      <c r="AF76" s="160">
        <v>0.2314453125</v>
      </c>
      <c r="AG76" s="160">
        <v>3.34348664976</v>
      </c>
      <c r="AS76" s="160">
        <v>1.953125E-3</v>
      </c>
      <c r="AT76" s="160">
        <v>0.2353515625</v>
      </c>
      <c r="AU76" s="160">
        <v>6.4109664637199995</v>
      </c>
      <c r="BG76" s="160">
        <v>1.953125E-3</v>
      </c>
      <c r="BH76" s="160">
        <v>0.2314453125</v>
      </c>
      <c r="BI76" s="160">
        <v>7000</v>
      </c>
      <c r="BU76" s="160">
        <v>3.90625E-3</v>
      </c>
      <c r="BV76" s="160">
        <v>0.2314453125</v>
      </c>
      <c r="BW76" s="160">
        <v>12.638892857142856</v>
      </c>
    </row>
    <row r="77" spans="31:75" x14ac:dyDescent="0.2">
      <c r="AE77" s="160">
        <v>1.5625E-2</v>
      </c>
      <c r="AF77" s="160">
        <v>0.2470703125</v>
      </c>
      <c r="AG77" s="160">
        <v>3.4364344996799998</v>
      </c>
      <c r="AS77" s="160">
        <v>1.953125E-3</v>
      </c>
      <c r="AT77" s="160">
        <v>0.2373046875</v>
      </c>
      <c r="AU77" s="160">
        <v>6.4308102344640012</v>
      </c>
      <c r="BG77" s="160">
        <v>9.765625E-4</v>
      </c>
      <c r="BH77" s="160">
        <v>0.232421875</v>
      </c>
      <c r="BI77" s="160">
        <v>7000</v>
      </c>
      <c r="BU77" s="160">
        <v>1.5625E-2</v>
      </c>
      <c r="BV77" s="160">
        <v>0.2470703125</v>
      </c>
      <c r="BW77" s="160">
        <v>12.990249999999998</v>
      </c>
    </row>
    <row r="78" spans="31:75" x14ac:dyDescent="0.2">
      <c r="AE78" s="160">
        <v>3.90625E-3</v>
      </c>
      <c r="AF78" s="160">
        <v>0.2509765625</v>
      </c>
      <c r="AG78" s="160">
        <v>3.4657719324480003</v>
      </c>
      <c r="AS78" s="160">
        <v>3.90625E-3</v>
      </c>
      <c r="AT78" s="160">
        <v>0.2412109375</v>
      </c>
      <c r="AU78" s="160">
        <v>6.479300328479999</v>
      </c>
      <c r="BG78" s="160">
        <v>3.90625E-3</v>
      </c>
      <c r="BH78" s="160">
        <v>0.236328125</v>
      </c>
      <c r="BI78" s="160">
        <v>7000</v>
      </c>
      <c r="BU78" s="160">
        <v>3.90625E-3</v>
      </c>
      <c r="BV78" s="160">
        <v>0.2509765625</v>
      </c>
      <c r="BW78" s="160">
        <v>13.101150000000001</v>
      </c>
    </row>
    <row r="79" spans="31:75" x14ac:dyDescent="0.2">
      <c r="AE79" s="160">
        <v>7.8125E-3</v>
      </c>
      <c r="AF79" s="160">
        <v>0.2587890625</v>
      </c>
      <c r="AG79" s="160">
        <v>3.5726723524800001</v>
      </c>
      <c r="AS79" s="160">
        <v>9.765625E-4</v>
      </c>
      <c r="AT79" s="160">
        <v>0.2421875</v>
      </c>
      <c r="AU79" s="160">
        <v>6.5254525544879991</v>
      </c>
      <c r="BG79" s="160">
        <v>9.765625E-4</v>
      </c>
      <c r="BH79" s="160">
        <v>0.2373046875</v>
      </c>
      <c r="BI79" s="160">
        <v>7000</v>
      </c>
      <c r="BU79" s="160">
        <v>7.8125E-3</v>
      </c>
      <c r="BV79" s="160">
        <v>0.2587890625</v>
      </c>
      <c r="BW79" s="160">
        <v>13.505249999999998</v>
      </c>
    </row>
    <row r="80" spans="31:75" x14ac:dyDescent="0.2">
      <c r="AE80" s="160">
        <v>1.953125E-3</v>
      </c>
      <c r="AF80" s="160">
        <v>0.2607421875</v>
      </c>
      <c r="AG80" s="160">
        <v>3.6030778635600003</v>
      </c>
      <c r="AS80" s="160">
        <v>9.765625E-4</v>
      </c>
      <c r="AT80" s="160">
        <v>0.2431640625</v>
      </c>
      <c r="AU80" s="160">
        <v>6.5941369341119991</v>
      </c>
      <c r="BG80" s="160">
        <v>1.953125E-3</v>
      </c>
      <c r="BH80" s="160">
        <v>0.2392578125</v>
      </c>
      <c r="BI80" s="160">
        <v>7000</v>
      </c>
      <c r="BU80" s="160">
        <v>1.953125E-3</v>
      </c>
      <c r="BV80" s="160">
        <v>0.2607421875</v>
      </c>
      <c r="BW80" s="160">
        <v>13.6201875</v>
      </c>
    </row>
    <row r="81" spans="31:75" x14ac:dyDescent="0.2">
      <c r="AE81" s="160">
        <v>3.90625E-3</v>
      </c>
      <c r="AF81" s="160">
        <v>0.2646484375</v>
      </c>
      <c r="AG81" s="160">
        <v>3.6082562246639993</v>
      </c>
      <c r="AS81" s="160">
        <v>7.8125E-3</v>
      </c>
      <c r="AT81" s="160">
        <v>0.2509765625</v>
      </c>
      <c r="AU81" s="160">
        <v>6.7257453453120011</v>
      </c>
      <c r="BG81" s="160">
        <v>3.90625E-3</v>
      </c>
      <c r="BH81" s="160">
        <v>0.2431640625</v>
      </c>
      <c r="BI81" s="160">
        <v>7000</v>
      </c>
      <c r="BU81" s="160">
        <v>3.90625E-3</v>
      </c>
      <c r="BV81" s="160">
        <v>0.2646484375</v>
      </c>
      <c r="BW81" s="160">
        <v>13.639762499999996</v>
      </c>
    </row>
    <row r="82" spans="31:75" x14ac:dyDescent="0.2">
      <c r="AE82" s="160">
        <v>7.8125E-3</v>
      </c>
      <c r="AF82" s="160">
        <v>0.2724609375</v>
      </c>
      <c r="AG82" s="160">
        <v>3.6406854630720002</v>
      </c>
      <c r="AS82" s="160">
        <v>1.953125E-3</v>
      </c>
      <c r="AT82" s="160">
        <v>0.2529296875</v>
      </c>
      <c r="AU82" s="160">
        <v>6.7257453453120011</v>
      </c>
      <c r="BG82" s="160">
        <v>1.953125E-3</v>
      </c>
      <c r="BH82" s="160">
        <v>0.2451171875</v>
      </c>
      <c r="BI82" s="160">
        <v>7000</v>
      </c>
      <c r="BU82" s="160">
        <v>7.8125E-3</v>
      </c>
      <c r="BV82" s="160">
        <v>0.2724609375</v>
      </c>
      <c r="BW82" s="160">
        <v>13.76235</v>
      </c>
    </row>
    <row r="83" spans="31:75" x14ac:dyDescent="0.2">
      <c r="AE83" s="160">
        <v>3.90625E-3</v>
      </c>
      <c r="AF83" s="160">
        <v>0.2763671875</v>
      </c>
      <c r="AG83" s="160">
        <v>3.6406854630720007</v>
      </c>
      <c r="AS83" s="160">
        <v>7.8125E-3</v>
      </c>
      <c r="AT83" s="160">
        <v>0.2607421875</v>
      </c>
      <c r="AU83" s="160">
        <v>6.8541969182399987</v>
      </c>
      <c r="BG83" s="160">
        <v>1.953125E-3</v>
      </c>
      <c r="BH83" s="160">
        <v>0.2470703125</v>
      </c>
      <c r="BI83" s="160">
        <v>7000</v>
      </c>
      <c r="BU83" s="160">
        <v>3.90625E-3</v>
      </c>
      <c r="BV83" s="160">
        <v>0.2763671875</v>
      </c>
      <c r="BW83" s="160">
        <v>13.762350000000001</v>
      </c>
    </row>
    <row r="84" spans="31:75" x14ac:dyDescent="0.2">
      <c r="AE84" s="160">
        <v>3.90625E-3</v>
      </c>
      <c r="AF84" s="160">
        <v>0.2802734375</v>
      </c>
      <c r="AG84" s="160">
        <v>3.6818941068000002</v>
      </c>
      <c r="AS84" s="160">
        <v>9.765625E-4</v>
      </c>
      <c r="AT84" s="160">
        <v>0.26171875</v>
      </c>
      <c r="AU84" s="160">
        <v>7.0022155976639988</v>
      </c>
      <c r="BG84" s="160">
        <v>1.953125E-3</v>
      </c>
      <c r="BH84" s="160">
        <v>0.2490234375</v>
      </c>
      <c r="BI84" s="160">
        <v>7000</v>
      </c>
      <c r="BU84" s="160">
        <v>3.90625E-3</v>
      </c>
      <c r="BV84" s="160">
        <v>0.2802734375</v>
      </c>
      <c r="BW84" s="160">
        <v>13.918125</v>
      </c>
    </row>
    <row r="85" spans="31:75" x14ac:dyDescent="0.2">
      <c r="AE85" s="160">
        <v>9.765625E-4</v>
      </c>
      <c r="AF85" s="160">
        <v>0.28125</v>
      </c>
      <c r="AG85" s="160">
        <v>3.7060229453760005</v>
      </c>
      <c r="AS85" s="160">
        <v>3.90625E-3</v>
      </c>
      <c r="AT85" s="160">
        <v>0.265625</v>
      </c>
      <c r="AU85" s="160">
        <v>7.0552381354559994</v>
      </c>
      <c r="BG85" s="160">
        <v>9.765625E-4</v>
      </c>
      <c r="BH85" s="160">
        <v>0.25</v>
      </c>
      <c r="BI85" s="160">
        <v>7000</v>
      </c>
      <c r="BU85" s="160">
        <v>9.765625E-4</v>
      </c>
      <c r="BV85" s="160">
        <v>0.28125</v>
      </c>
      <c r="BW85" s="160">
        <v>14.009335714285715</v>
      </c>
    </row>
    <row r="86" spans="31:75" x14ac:dyDescent="0.2">
      <c r="AE86" s="160">
        <v>3.90625E-3</v>
      </c>
      <c r="AF86" s="160">
        <v>0.28515625</v>
      </c>
      <c r="AG86" s="160">
        <v>3.7513059701040001</v>
      </c>
      <c r="AS86" s="160">
        <v>9.765625E-4</v>
      </c>
      <c r="AT86" s="160">
        <v>0.2666015625</v>
      </c>
      <c r="AU86" s="160">
        <v>7.0858927545840009</v>
      </c>
      <c r="BG86" s="160">
        <v>1.953125E-3</v>
      </c>
      <c r="BH86" s="160">
        <v>0.251953125</v>
      </c>
      <c r="BI86" s="160">
        <v>14000</v>
      </c>
      <c r="BU86" s="160">
        <v>3.90625E-3</v>
      </c>
      <c r="BV86" s="160">
        <v>0.28515625</v>
      </c>
      <c r="BW86" s="160">
        <v>14.180512499999999</v>
      </c>
    </row>
    <row r="87" spans="31:75" x14ac:dyDescent="0.2">
      <c r="AE87" s="160">
        <v>1.953125E-3</v>
      </c>
      <c r="AF87" s="160">
        <v>0.287109375</v>
      </c>
      <c r="AG87" s="160">
        <v>3.7513059701040006</v>
      </c>
      <c r="AS87" s="160">
        <v>3.90625E-3</v>
      </c>
      <c r="AT87" s="160">
        <v>0.2705078125</v>
      </c>
      <c r="AU87" s="160">
        <v>7.0858927545840009</v>
      </c>
      <c r="BG87" s="160">
        <v>3.90625E-3</v>
      </c>
      <c r="BH87" s="160">
        <v>0.255859375</v>
      </c>
      <c r="BI87" s="160">
        <v>14000</v>
      </c>
      <c r="BU87" s="160">
        <v>1.953125E-3</v>
      </c>
      <c r="BV87" s="160">
        <v>0.287109375</v>
      </c>
      <c r="BW87" s="160">
        <v>14.180512500000001</v>
      </c>
    </row>
    <row r="88" spans="31:75" x14ac:dyDescent="0.2">
      <c r="AE88" s="160">
        <v>1.953125E-3</v>
      </c>
      <c r="AF88" s="160">
        <v>0.2890625</v>
      </c>
      <c r="AG88" s="160">
        <v>3.7870910812799998</v>
      </c>
      <c r="AS88" s="160">
        <v>1.953125E-3</v>
      </c>
      <c r="AT88" s="160">
        <v>0.2724609375</v>
      </c>
      <c r="AU88" s="160">
        <v>7.1969067641519988</v>
      </c>
      <c r="BG88" s="160">
        <v>3.90625E-3</v>
      </c>
      <c r="BH88" s="160">
        <v>0.259765625</v>
      </c>
      <c r="BI88" s="160">
        <v>14000</v>
      </c>
      <c r="BU88" s="160">
        <v>1.953125E-3</v>
      </c>
      <c r="BV88" s="160">
        <v>0.2890625</v>
      </c>
      <c r="BW88" s="160">
        <v>14.315785714285711</v>
      </c>
    </row>
    <row r="89" spans="31:75" x14ac:dyDescent="0.2">
      <c r="AE89" s="160">
        <v>3.90625E-3</v>
      </c>
      <c r="AF89" s="160">
        <v>0.29296875</v>
      </c>
      <c r="AG89" s="160">
        <v>3.8349632865599994</v>
      </c>
      <c r="AS89" s="160">
        <v>1.5625E-2</v>
      </c>
      <c r="AT89" s="160">
        <v>0.2880859375</v>
      </c>
      <c r="AU89" s="160">
        <v>7.2020222971200001</v>
      </c>
      <c r="BG89" s="160">
        <v>3.90625E-3</v>
      </c>
      <c r="BH89" s="160">
        <v>0.263671875</v>
      </c>
      <c r="BI89" s="160">
        <v>14000</v>
      </c>
      <c r="BU89" s="160">
        <v>3.90625E-3</v>
      </c>
      <c r="BV89" s="160">
        <v>0.29296875</v>
      </c>
      <c r="BW89" s="160">
        <v>14.496749999999997</v>
      </c>
    </row>
    <row r="90" spans="31:75" x14ac:dyDescent="0.2">
      <c r="AE90" s="160">
        <v>7.8125E-3</v>
      </c>
      <c r="AF90" s="160">
        <v>0.30078125</v>
      </c>
      <c r="AG90" s="160">
        <v>3.8901197764799993</v>
      </c>
      <c r="AS90" s="160">
        <v>7.8125E-3</v>
      </c>
      <c r="AT90" s="160">
        <v>0.2958984375</v>
      </c>
      <c r="AU90" s="160">
        <v>7.3813360017599985</v>
      </c>
      <c r="BG90" s="160">
        <v>7.8125E-3</v>
      </c>
      <c r="BH90" s="160">
        <v>0.271484375</v>
      </c>
      <c r="BI90" s="160">
        <v>14000</v>
      </c>
      <c r="BU90" s="160">
        <v>7.8125E-3</v>
      </c>
      <c r="BV90" s="160">
        <v>0.30078125</v>
      </c>
      <c r="BW90" s="160">
        <v>14.705249999999996</v>
      </c>
    </row>
    <row r="91" spans="31:75" x14ac:dyDescent="0.2">
      <c r="AE91" s="160">
        <v>1.953125E-3</v>
      </c>
      <c r="AF91" s="160">
        <v>0.302734375</v>
      </c>
      <c r="AG91" s="160">
        <v>3.9007344247200004</v>
      </c>
      <c r="AS91" s="160">
        <v>3.90625E-3</v>
      </c>
      <c r="AT91" s="160">
        <v>0.2998046875</v>
      </c>
      <c r="AU91" s="160">
        <v>7.5621234119759997</v>
      </c>
      <c r="BG91" s="160">
        <v>3.90625E-3</v>
      </c>
      <c r="BH91" s="160">
        <v>0.275390625</v>
      </c>
      <c r="BI91" s="160">
        <v>14000</v>
      </c>
      <c r="BU91" s="160">
        <v>1.953125E-3</v>
      </c>
      <c r="BV91" s="160">
        <v>0.302734375</v>
      </c>
      <c r="BW91" s="160">
        <v>14.745374999999999</v>
      </c>
    </row>
    <row r="92" spans="31:75" x14ac:dyDescent="0.2">
      <c r="AE92" s="160">
        <v>7.8125E-3</v>
      </c>
      <c r="AF92" s="160">
        <v>0.310546875</v>
      </c>
      <c r="AG92" s="160">
        <v>3.9684612657600002</v>
      </c>
      <c r="AS92" s="160">
        <v>7.8125E-3</v>
      </c>
      <c r="AT92" s="160">
        <v>0.3076171875</v>
      </c>
      <c r="AU92" s="160">
        <v>7.6459196116799983</v>
      </c>
      <c r="BG92" s="160">
        <v>1.953125E-3</v>
      </c>
      <c r="BH92" s="160">
        <v>0.27734375</v>
      </c>
      <c r="BI92" s="160">
        <v>14000</v>
      </c>
      <c r="BU92" s="160">
        <v>7.8125E-3</v>
      </c>
      <c r="BV92" s="160">
        <v>0.310546875</v>
      </c>
      <c r="BW92" s="160">
        <v>15.001392857142857</v>
      </c>
    </row>
    <row r="93" spans="31:75" x14ac:dyDescent="0.2">
      <c r="AE93" s="160">
        <v>1.953125E-3</v>
      </c>
      <c r="AF93" s="160">
        <v>0.3125</v>
      </c>
      <c r="AG93" s="160">
        <v>4.0490815740480004</v>
      </c>
      <c r="AS93" s="160">
        <v>3.90625E-3</v>
      </c>
      <c r="AT93" s="160">
        <v>0.3115234375</v>
      </c>
      <c r="AU93" s="160">
        <v>7.6789242235440014</v>
      </c>
      <c r="BG93" s="160">
        <v>7.8125E-3</v>
      </c>
      <c r="BH93" s="160">
        <v>0.28515625</v>
      </c>
      <c r="BI93" s="160">
        <v>14000</v>
      </c>
      <c r="BU93" s="160">
        <v>1.953125E-3</v>
      </c>
      <c r="BV93" s="160">
        <v>0.3125</v>
      </c>
      <c r="BW93" s="160">
        <v>15.306150000000001</v>
      </c>
    </row>
    <row r="94" spans="31:75" x14ac:dyDescent="0.2">
      <c r="AE94" s="160">
        <v>1.953125E-3</v>
      </c>
      <c r="AF94" s="160">
        <v>0.314453125</v>
      </c>
      <c r="AG94" s="160">
        <v>4.0846257653039997</v>
      </c>
      <c r="AS94" s="160">
        <v>1.953125E-3</v>
      </c>
      <c r="AT94" s="160">
        <v>0.3134765625</v>
      </c>
      <c r="AU94" s="160">
        <v>7.7504028018479998</v>
      </c>
      <c r="BG94" s="160">
        <v>1.953125E-3</v>
      </c>
      <c r="BH94" s="160">
        <v>0.287109375</v>
      </c>
      <c r="BI94" s="160">
        <v>14000</v>
      </c>
      <c r="BU94" s="160">
        <v>1.953125E-3</v>
      </c>
      <c r="BV94" s="160">
        <v>0.314453125</v>
      </c>
      <c r="BW94" s="160">
        <v>15.440512499999997</v>
      </c>
    </row>
    <row r="95" spans="31:75" x14ac:dyDescent="0.2">
      <c r="AE95" s="160">
        <v>1.953125E-3</v>
      </c>
      <c r="AF95" s="160">
        <v>0.31640625</v>
      </c>
      <c r="AG95" s="160">
        <v>4.1679854748</v>
      </c>
      <c r="AS95" s="160">
        <v>3.90625E-3</v>
      </c>
      <c r="AT95" s="160">
        <v>0.3173828125</v>
      </c>
      <c r="AU95" s="160">
        <v>7.80146884944</v>
      </c>
      <c r="BG95" s="160">
        <v>3.90625E-3</v>
      </c>
      <c r="BH95" s="160">
        <v>0.291015625</v>
      </c>
      <c r="BI95" s="160">
        <v>14000</v>
      </c>
      <c r="BU95" s="160">
        <v>1.953125E-3</v>
      </c>
      <c r="BV95" s="160">
        <v>0.31640625</v>
      </c>
      <c r="BW95" s="160">
        <v>15.755624999999998</v>
      </c>
    </row>
    <row r="96" spans="31:75" x14ac:dyDescent="0.2">
      <c r="AE96" s="160">
        <v>3.90625E-3</v>
      </c>
      <c r="AF96" s="160">
        <v>0.3203125</v>
      </c>
      <c r="AG96" s="160">
        <v>4.1758489120319995</v>
      </c>
      <c r="AS96" s="160">
        <v>1.953125E-3</v>
      </c>
      <c r="AT96" s="160">
        <v>0.3193359375</v>
      </c>
      <c r="AU96" s="160">
        <v>7.9903500667199987</v>
      </c>
      <c r="BG96" s="160">
        <v>7.8125E-3</v>
      </c>
      <c r="BH96" s="160">
        <v>0.298828125</v>
      </c>
      <c r="BI96" s="160">
        <v>14000</v>
      </c>
      <c r="BU96" s="160">
        <v>3.90625E-3</v>
      </c>
      <c r="BV96" s="160">
        <v>0.3203125</v>
      </c>
      <c r="BW96" s="160">
        <v>15.785349999999996</v>
      </c>
    </row>
    <row r="97" spans="31:75" x14ac:dyDescent="0.2">
      <c r="AE97" s="160">
        <v>3.90625E-3</v>
      </c>
      <c r="AF97" s="160">
        <v>0.32421875</v>
      </c>
      <c r="AG97" s="160">
        <v>4.2610703183999998</v>
      </c>
      <c r="AS97" s="160">
        <v>1.5625E-2</v>
      </c>
      <c r="AT97" s="160">
        <v>0.3349609375</v>
      </c>
      <c r="AU97" s="160">
        <v>8.0868011757120009</v>
      </c>
      <c r="BG97" s="160">
        <v>3.90625E-3</v>
      </c>
      <c r="BH97" s="160">
        <v>0.302734375</v>
      </c>
      <c r="BI97" s="160">
        <v>14000</v>
      </c>
      <c r="BU97" s="160">
        <v>3.90625E-3</v>
      </c>
      <c r="BV97" s="160">
        <v>0.32421875</v>
      </c>
      <c r="BW97" s="160">
        <v>16.107499999999998</v>
      </c>
    </row>
    <row r="98" spans="31:75" x14ac:dyDescent="0.2">
      <c r="AE98" s="160">
        <v>9.765625E-4</v>
      </c>
      <c r="AF98" s="160">
        <v>0.3251953125</v>
      </c>
      <c r="AG98" s="160">
        <v>4.28707077408</v>
      </c>
      <c r="AS98" s="160">
        <v>3.90625E-3</v>
      </c>
      <c r="AT98" s="160">
        <v>0.3388671875</v>
      </c>
      <c r="AU98" s="160">
        <v>8.0868011757120009</v>
      </c>
      <c r="BG98" s="160">
        <v>1.5625E-2</v>
      </c>
      <c r="BH98" s="160">
        <v>0.318359375</v>
      </c>
      <c r="BI98" s="160">
        <v>14000</v>
      </c>
      <c r="BU98" s="160">
        <v>9.765625E-4</v>
      </c>
      <c r="BV98" s="160">
        <v>0.3251953125</v>
      </c>
      <c r="BW98" s="160">
        <v>16.205785714285714</v>
      </c>
    </row>
    <row r="99" spans="31:75" x14ac:dyDescent="0.2">
      <c r="AE99" s="160">
        <v>7.8125E-3</v>
      </c>
      <c r="AF99" s="160">
        <v>0.3330078125</v>
      </c>
      <c r="AG99" s="160">
        <v>4.3212133782720006</v>
      </c>
      <c r="AS99" s="160">
        <v>7.8125E-3</v>
      </c>
      <c r="AT99" s="160">
        <v>0.3466796875</v>
      </c>
      <c r="AU99" s="160">
        <v>8.3255569104959992</v>
      </c>
      <c r="BG99" s="160">
        <v>1.5625E-2</v>
      </c>
      <c r="BH99" s="160">
        <v>0.333984375</v>
      </c>
      <c r="BI99" s="160">
        <v>14000</v>
      </c>
      <c r="BU99" s="160">
        <v>7.8125E-3</v>
      </c>
      <c r="BV99" s="160">
        <v>0.3330078125</v>
      </c>
      <c r="BW99" s="160">
        <v>16.334849999999999</v>
      </c>
    </row>
    <row r="100" spans="31:75" x14ac:dyDescent="0.2">
      <c r="AE100" s="160">
        <v>1.5625E-2</v>
      </c>
      <c r="AF100" s="160">
        <v>0.3486328125</v>
      </c>
      <c r="AG100" s="160">
        <v>4.3212133782720006</v>
      </c>
      <c r="AS100" s="160">
        <v>7.8125E-3</v>
      </c>
      <c r="AT100" s="160">
        <v>0.3544921875</v>
      </c>
      <c r="AU100" s="160">
        <v>8.3362354891199999</v>
      </c>
      <c r="BG100" s="160">
        <v>7.8125E-3</v>
      </c>
      <c r="BH100" s="160">
        <v>0.341796875</v>
      </c>
      <c r="BI100" s="160">
        <v>14000</v>
      </c>
      <c r="BU100" s="160">
        <v>1.5625E-2</v>
      </c>
      <c r="BV100" s="160">
        <v>0.3486328125</v>
      </c>
      <c r="BW100" s="160">
        <v>16.334849999999999</v>
      </c>
    </row>
    <row r="101" spans="31:75" x14ac:dyDescent="0.2">
      <c r="AE101" s="160">
        <v>3.90625E-3</v>
      </c>
      <c r="AF101" s="160">
        <v>0.3525390625</v>
      </c>
      <c r="AG101" s="160">
        <v>4.3322149155600007</v>
      </c>
      <c r="AS101" s="160">
        <v>1.953125E-3</v>
      </c>
      <c r="AT101" s="160">
        <v>0.3564453125</v>
      </c>
      <c r="AU101" s="160">
        <v>8.4071816816400009</v>
      </c>
      <c r="BG101" s="160">
        <v>1.5625E-2</v>
      </c>
      <c r="BH101" s="160">
        <v>0.357421875</v>
      </c>
      <c r="BI101" s="160">
        <v>14000</v>
      </c>
      <c r="BU101" s="160">
        <v>3.90625E-3</v>
      </c>
      <c r="BV101" s="160">
        <v>0.3525390625</v>
      </c>
      <c r="BW101" s="160">
        <v>16.376437500000002</v>
      </c>
    </row>
    <row r="102" spans="31:75" x14ac:dyDescent="0.2">
      <c r="AE102" s="160">
        <v>7.8125E-3</v>
      </c>
      <c r="AF102" s="160">
        <v>0.3603515625</v>
      </c>
      <c r="AG102" s="160">
        <v>4.4182729281599986</v>
      </c>
      <c r="AS102" s="160">
        <v>7.8125E-3</v>
      </c>
      <c r="AT102" s="160">
        <v>0.3642578125</v>
      </c>
      <c r="AU102" s="160">
        <v>8.4071816816400009</v>
      </c>
      <c r="BG102" s="160">
        <v>7.8125E-3</v>
      </c>
      <c r="BH102" s="160">
        <v>0.365234375</v>
      </c>
      <c r="BI102" s="160">
        <v>14000</v>
      </c>
      <c r="BU102" s="160">
        <v>7.8125E-3</v>
      </c>
      <c r="BV102" s="160">
        <v>0.3603515625</v>
      </c>
      <c r="BW102" s="160">
        <v>16.701749999999993</v>
      </c>
    </row>
    <row r="103" spans="31:75" x14ac:dyDescent="0.2">
      <c r="AE103" s="160">
        <v>1.953125E-3</v>
      </c>
      <c r="AF103" s="160">
        <v>0.3623046875</v>
      </c>
      <c r="AG103" s="160">
        <v>4.4559924845760008</v>
      </c>
      <c r="AS103" s="160">
        <v>3.90625E-3</v>
      </c>
      <c r="AT103" s="160">
        <v>0.3681640625</v>
      </c>
      <c r="AU103" s="160">
        <v>8.4886367065920005</v>
      </c>
      <c r="BG103" s="160">
        <v>7.8125E-3</v>
      </c>
      <c r="BH103" s="160">
        <v>0.373046875</v>
      </c>
      <c r="BI103" s="160">
        <v>14000</v>
      </c>
      <c r="BU103" s="160">
        <v>1.953125E-3</v>
      </c>
      <c r="BV103" s="160">
        <v>0.3623046875</v>
      </c>
      <c r="BW103" s="160">
        <v>16.844335714285716</v>
      </c>
    </row>
    <row r="104" spans="31:75" x14ac:dyDescent="0.2">
      <c r="AE104" s="160">
        <v>9.765625E-4</v>
      </c>
      <c r="AF104" s="160">
        <v>0.36328125</v>
      </c>
      <c r="AG104" s="160">
        <v>4.4741238343200003</v>
      </c>
      <c r="AS104" s="160">
        <v>3.90625E-3</v>
      </c>
      <c r="AT104" s="160">
        <v>0.3720703125</v>
      </c>
      <c r="AU104" s="160">
        <v>8.4949327471680007</v>
      </c>
      <c r="BG104" s="160">
        <v>7.8125E-3</v>
      </c>
      <c r="BH104" s="160">
        <v>0.380859375</v>
      </c>
      <c r="BI104" s="160">
        <v>14000</v>
      </c>
      <c r="BU104" s="160">
        <v>9.765625E-4</v>
      </c>
      <c r="BV104" s="160">
        <v>0.36328125</v>
      </c>
      <c r="BW104" s="160">
        <v>16.912875</v>
      </c>
    </row>
    <row r="105" spans="31:75" x14ac:dyDescent="0.2">
      <c r="AE105" s="160">
        <v>7.8125E-3</v>
      </c>
      <c r="AF105" s="160">
        <v>0.37109375</v>
      </c>
      <c r="AG105" s="160">
        <v>4.5508568288400006</v>
      </c>
      <c r="AS105" s="160">
        <v>3.90625E-3</v>
      </c>
      <c r="AT105" s="160">
        <v>0.3759765625</v>
      </c>
      <c r="AU105" s="160">
        <v>8.5479552849599987</v>
      </c>
      <c r="BG105" s="160">
        <v>3.90625E-3</v>
      </c>
      <c r="BH105" s="160">
        <v>0.384765625</v>
      </c>
      <c r="BI105" s="160">
        <v>14000</v>
      </c>
      <c r="BU105" s="160">
        <v>7.8125E-3</v>
      </c>
      <c r="BV105" s="160">
        <v>0.37109375</v>
      </c>
      <c r="BW105" s="160">
        <v>17.202937500000001</v>
      </c>
    </row>
    <row r="106" spans="31:75" x14ac:dyDescent="0.2">
      <c r="AE106" s="160">
        <v>3.90625E-3</v>
      </c>
      <c r="AF106" s="160">
        <v>0.375</v>
      </c>
      <c r="AG106" s="160">
        <v>4.5934358817600005</v>
      </c>
      <c r="AS106" s="160">
        <v>3.90625E-3</v>
      </c>
      <c r="AT106" s="160">
        <v>0.3798828125</v>
      </c>
      <c r="AU106" s="160">
        <v>8.6473868725440006</v>
      </c>
      <c r="BG106" s="160">
        <v>1.953125E-3</v>
      </c>
      <c r="BH106" s="160">
        <v>0.38671875</v>
      </c>
      <c r="BI106" s="160">
        <v>14000</v>
      </c>
      <c r="BU106" s="160">
        <v>3.90625E-3</v>
      </c>
      <c r="BV106" s="160">
        <v>0.375</v>
      </c>
      <c r="BW106" s="160">
        <v>17.363892857142858</v>
      </c>
    </row>
    <row r="107" spans="31:75" x14ac:dyDescent="0.2">
      <c r="AE107" s="160">
        <v>3.90625E-3</v>
      </c>
      <c r="AF107" s="160">
        <v>0.37890625</v>
      </c>
      <c r="AG107" s="160">
        <v>4.6298714767200009</v>
      </c>
      <c r="AS107" s="160">
        <v>9.765625E-4</v>
      </c>
      <c r="AT107" s="160">
        <v>0.380859375</v>
      </c>
      <c r="AU107" s="160">
        <v>8.6473868725440006</v>
      </c>
      <c r="BG107" s="160">
        <v>3.90625E-3</v>
      </c>
      <c r="BH107" s="160">
        <v>0.390625</v>
      </c>
      <c r="BI107" s="160">
        <v>14000</v>
      </c>
      <c r="BU107" s="160">
        <v>3.90625E-3</v>
      </c>
      <c r="BV107" s="160">
        <v>0.37890625</v>
      </c>
      <c r="BW107" s="160">
        <v>17.501625000000001</v>
      </c>
    </row>
    <row r="108" spans="31:75" x14ac:dyDescent="0.2">
      <c r="AE108" s="160">
        <v>1.953125E-3</v>
      </c>
      <c r="AF108" s="160">
        <v>0.380859375</v>
      </c>
      <c r="AG108" s="160">
        <v>4.6808813096640005</v>
      </c>
      <c r="AS108" s="160">
        <v>1.953125E-3</v>
      </c>
      <c r="AT108" s="160">
        <v>0.3828125</v>
      </c>
      <c r="AU108" s="160">
        <v>8.7006034059839976</v>
      </c>
      <c r="BG108" s="160">
        <v>3.90625E-3</v>
      </c>
      <c r="BH108" s="160">
        <v>0.39453125</v>
      </c>
      <c r="BI108" s="160">
        <v>14000</v>
      </c>
      <c r="BU108" s="160">
        <v>1.953125E-3</v>
      </c>
      <c r="BV108" s="160">
        <v>0.380859375</v>
      </c>
      <c r="BW108" s="160">
        <v>17.69445</v>
      </c>
    </row>
    <row r="109" spans="31:75" x14ac:dyDescent="0.2">
      <c r="AE109" s="160">
        <v>3.90625E-3</v>
      </c>
      <c r="AF109" s="160">
        <v>0.384765625</v>
      </c>
      <c r="AG109" s="160">
        <v>4.6808813096640005</v>
      </c>
      <c r="AS109" s="160">
        <v>1.953125E-3</v>
      </c>
      <c r="AT109" s="160">
        <v>0.384765625</v>
      </c>
      <c r="AU109" s="160">
        <v>8.7530472635760006</v>
      </c>
      <c r="BG109" s="160">
        <v>3.90625E-3</v>
      </c>
      <c r="BH109" s="160">
        <v>0.3984375</v>
      </c>
      <c r="BI109" s="160">
        <v>14000</v>
      </c>
      <c r="BU109" s="160">
        <v>3.90625E-3</v>
      </c>
      <c r="BV109" s="160">
        <v>0.384765625</v>
      </c>
      <c r="BW109" s="160">
        <v>17.69445</v>
      </c>
    </row>
    <row r="110" spans="31:75" x14ac:dyDescent="0.2">
      <c r="AE110" s="160">
        <v>3.90625E-3</v>
      </c>
      <c r="AF110" s="160">
        <v>0.388671875</v>
      </c>
      <c r="AG110" s="160">
        <v>4.8041038180800006</v>
      </c>
      <c r="AS110" s="160">
        <v>3.90625E-3</v>
      </c>
      <c r="AT110" s="160">
        <v>0.388671875</v>
      </c>
      <c r="AU110" s="160">
        <v>8.8125388948799994</v>
      </c>
      <c r="BG110" s="160">
        <v>1.953125E-3</v>
      </c>
      <c r="BH110" s="160">
        <v>0.400390625</v>
      </c>
      <c r="BI110" s="160">
        <v>14000</v>
      </c>
      <c r="BU110" s="160">
        <v>3.90625E-3</v>
      </c>
      <c r="BV110" s="160">
        <v>0.388671875</v>
      </c>
      <c r="BW110" s="160">
        <v>18.160250000000001</v>
      </c>
    </row>
    <row r="111" spans="31:75" x14ac:dyDescent="0.2">
      <c r="AE111" s="160">
        <v>7.8125E-3</v>
      </c>
      <c r="AF111" s="160">
        <v>0.396484375</v>
      </c>
      <c r="AG111" s="160">
        <v>4.8110082995519994</v>
      </c>
      <c r="AS111" s="160">
        <v>9.765625E-4</v>
      </c>
      <c r="AT111" s="160">
        <v>0.3896484375</v>
      </c>
      <c r="AU111" s="160">
        <v>8.9753530492079996</v>
      </c>
      <c r="BG111" s="160">
        <v>3.90625E-3</v>
      </c>
      <c r="BH111" s="160">
        <v>0.404296875</v>
      </c>
      <c r="BI111" s="160">
        <v>14000</v>
      </c>
      <c r="BU111" s="160">
        <v>7.8125E-3</v>
      </c>
      <c r="BV111" s="160">
        <v>0.396484375</v>
      </c>
      <c r="BW111" s="160">
        <v>18.186349999999997</v>
      </c>
    </row>
    <row r="112" spans="31:75" x14ac:dyDescent="0.2">
      <c r="AE112" s="160">
        <v>7.8125E-3</v>
      </c>
      <c r="AF112" s="160">
        <v>0.404296875</v>
      </c>
      <c r="AG112" s="160">
        <v>4.9091921423999993</v>
      </c>
      <c r="AS112" s="160">
        <v>1.953125E-3</v>
      </c>
      <c r="AT112" s="160">
        <v>0.3916015625</v>
      </c>
      <c r="AU112" s="160">
        <v>8.9913709171440015</v>
      </c>
      <c r="BG112" s="160">
        <v>1.953125E-3</v>
      </c>
      <c r="BH112" s="160">
        <v>0.40625</v>
      </c>
      <c r="BI112" s="160">
        <v>14000</v>
      </c>
      <c r="BU112" s="160">
        <v>7.8125E-3</v>
      </c>
      <c r="BV112" s="160">
        <v>0.404296875</v>
      </c>
      <c r="BW112" s="160">
        <v>18.557499999999994</v>
      </c>
    </row>
    <row r="113" spans="31:75" x14ac:dyDescent="0.2">
      <c r="AE113" s="160">
        <v>3.90625E-3</v>
      </c>
      <c r="AF113" s="160">
        <v>0.408203125</v>
      </c>
      <c r="AG113" s="160">
        <v>5.0015825697599992</v>
      </c>
      <c r="AS113" s="160">
        <v>1.953125E-3</v>
      </c>
      <c r="AT113" s="160">
        <v>0.3935546875</v>
      </c>
      <c r="AU113" s="160">
        <v>9.071020459871999</v>
      </c>
      <c r="BG113" s="160">
        <v>1.953125E-3</v>
      </c>
      <c r="BH113" s="160">
        <v>0.408203125</v>
      </c>
      <c r="BI113" s="160">
        <v>14000</v>
      </c>
      <c r="BU113" s="160">
        <v>3.90625E-3</v>
      </c>
      <c r="BV113" s="160">
        <v>0.408203125</v>
      </c>
      <c r="BW113" s="160">
        <v>18.906749999999995</v>
      </c>
    </row>
    <row r="114" spans="31:75" x14ac:dyDescent="0.2">
      <c r="AE114" s="160">
        <v>3.90625E-3</v>
      </c>
      <c r="AF114" s="160">
        <v>0.412109375</v>
      </c>
      <c r="AG114" s="160">
        <v>5.0017412934720005</v>
      </c>
      <c r="AS114" s="160">
        <v>7.8125E-3</v>
      </c>
      <c r="AT114" s="160">
        <v>0.4013671875</v>
      </c>
      <c r="AU114" s="160">
        <v>9.25974295344</v>
      </c>
      <c r="BG114" s="160">
        <v>7.8125E-3</v>
      </c>
      <c r="BH114" s="160">
        <v>0.416015625</v>
      </c>
      <c r="BI114" s="160">
        <v>14000</v>
      </c>
      <c r="BU114" s="160">
        <v>3.90625E-3</v>
      </c>
      <c r="BV114" s="160">
        <v>0.412109375</v>
      </c>
      <c r="BW114" s="160">
        <v>18.907350000000001</v>
      </c>
    </row>
    <row r="115" spans="31:75" x14ac:dyDescent="0.2">
      <c r="AE115" s="160">
        <v>7.8125E-3</v>
      </c>
      <c r="AF115" s="160">
        <v>0.419921875</v>
      </c>
      <c r="AG115" s="160">
        <v>5.0017412934720005</v>
      </c>
      <c r="AS115" s="160">
        <v>1.953125E-3</v>
      </c>
      <c r="AT115" s="160">
        <v>0.4033203125</v>
      </c>
      <c r="AU115" s="160">
        <v>9.4478570061120006</v>
      </c>
      <c r="BG115" s="160">
        <v>3.90625E-3</v>
      </c>
      <c r="BH115" s="160">
        <v>0.419921875</v>
      </c>
      <c r="BI115" s="160">
        <v>14000</v>
      </c>
      <c r="BU115" s="160">
        <v>7.8125E-3</v>
      </c>
      <c r="BV115" s="160">
        <v>0.419921875</v>
      </c>
      <c r="BW115" s="160">
        <v>18.907350000000001</v>
      </c>
    </row>
    <row r="116" spans="31:75" x14ac:dyDescent="0.2">
      <c r="AE116" s="160">
        <v>9.765625E-4</v>
      </c>
      <c r="AF116" s="160">
        <v>0.4208984375</v>
      </c>
      <c r="AG116" s="160">
        <v>5.0443090089840004</v>
      </c>
      <c r="AS116" s="160">
        <v>7.8125E-3</v>
      </c>
      <c r="AT116" s="160">
        <v>0.4111328125</v>
      </c>
      <c r="AU116" s="160">
        <v>9.4478570061120006</v>
      </c>
      <c r="BG116" s="160">
        <v>7.8125E-3</v>
      </c>
      <c r="BH116" s="160">
        <v>0.427734375</v>
      </c>
      <c r="BI116" s="160">
        <v>14000</v>
      </c>
      <c r="BU116" s="160">
        <v>9.765625E-4</v>
      </c>
      <c r="BV116" s="160">
        <v>0.4208984375</v>
      </c>
      <c r="BW116" s="160">
        <v>19.068262499999999</v>
      </c>
    </row>
    <row r="117" spans="31:75" x14ac:dyDescent="0.2">
      <c r="AE117" s="160">
        <v>1.953125E-3</v>
      </c>
      <c r="AF117" s="160">
        <v>0.4228515625</v>
      </c>
      <c r="AG117" s="160">
        <v>5.0443090089840004</v>
      </c>
      <c r="AS117" s="160">
        <v>3.90625E-3</v>
      </c>
      <c r="AT117" s="160">
        <v>0.4150390625</v>
      </c>
      <c r="AU117" s="160">
        <v>9.4902891451199984</v>
      </c>
      <c r="BG117" s="160">
        <v>3.90625E-3</v>
      </c>
      <c r="BH117" s="160">
        <v>0.431640625</v>
      </c>
      <c r="BI117" s="160">
        <v>14000</v>
      </c>
      <c r="BU117" s="160">
        <v>1.953125E-3</v>
      </c>
      <c r="BV117" s="160">
        <v>0.4228515625</v>
      </c>
      <c r="BW117" s="160">
        <v>19.068262499999999</v>
      </c>
    </row>
    <row r="118" spans="31:75" x14ac:dyDescent="0.2">
      <c r="AE118" s="160">
        <v>1.953125E-3</v>
      </c>
      <c r="AF118" s="160">
        <v>0.4248046875</v>
      </c>
      <c r="AG118" s="160">
        <v>5.0613519675600003</v>
      </c>
      <c r="AS118" s="160">
        <v>3.90625E-3</v>
      </c>
      <c r="AT118" s="160">
        <v>0.4189453125</v>
      </c>
      <c r="AU118" s="160">
        <v>9.5958756855359972</v>
      </c>
      <c r="BG118" s="160">
        <v>3.90625E-3</v>
      </c>
      <c r="BH118" s="160">
        <v>0.435546875</v>
      </c>
      <c r="BI118" s="160">
        <v>14000</v>
      </c>
      <c r="BU118" s="160">
        <v>1.953125E-3</v>
      </c>
      <c r="BV118" s="160">
        <v>0.4248046875</v>
      </c>
      <c r="BW118" s="160">
        <v>19.132687499999999</v>
      </c>
    </row>
    <row r="119" spans="31:75" x14ac:dyDescent="0.2">
      <c r="AE119" s="160">
        <v>1.953125E-3</v>
      </c>
      <c r="AF119" s="160">
        <v>0.4267578125</v>
      </c>
      <c r="AG119" s="160">
        <v>5.1546517495199993</v>
      </c>
      <c r="AS119" s="160">
        <v>1.953125E-3</v>
      </c>
      <c r="AT119" s="160">
        <v>0.4208984375</v>
      </c>
      <c r="AU119" s="160">
        <v>9.6718988323440005</v>
      </c>
      <c r="BG119" s="160">
        <v>3.90625E-3</v>
      </c>
      <c r="BH119" s="160">
        <v>0.439453125</v>
      </c>
      <c r="BI119" s="160">
        <v>14000</v>
      </c>
      <c r="BU119" s="160">
        <v>1.953125E-3</v>
      </c>
      <c r="BV119" s="160">
        <v>0.4267578125</v>
      </c>
      <c r="BW119" s="160">
        <v>19.485374999999994</v>
      </c>
    </row>
    <row r="120" spans="31:75" x14ac:dyDescent="0.2">
      <c r="AE120" s="160">
        <v>3.90625E-3</v>
      </c>
      <c r="AF120" s="160">
        <v>0.4306640625</v>
      </c>
      <c r="AG120" s="160">
        <v>5.2009792329600009</v>
      </c>
      <c r="AS120" s="160">
        <v>7.8125E-3</v>
      </c>
      <c r="AT120" s="160">
        <v>0.4287109375</v>
      </c>
      <c r="AU120" s="160">
        <v>10.082831215968</v>
      </c>
      <c r="BG120" s="160">
        <v>1.953125E-3</v>
      </c>
      <c r="BH120" s="160">
        <v>0.44140625</v>
      </c>
      <c r="BI120" s="160">
        <v>14000</v>
      </c>
      <c r="BU120" s="160">
        <v>3.90625E-3</v>
      </c>
      <c r="BV120" s="160">
        <v>0.4306640625</v>
      </c>
      <c r="BW120" s="160">
        <v>19.660500000000003</v>
      </c>
    </row>
    <row r="121" spans="31:75" x14ac:dyDescent="0.2">
      <c r="AE121" s="160">
        <v>9.765625E-4</v>
      </c>
      <c r="AF121" s="160">
        <v>0.431640625</v>
      </c>
      <c r="AG121" s="160">
        <v>5.2059620237760003</v>
      </c>
      <c r="AS121" s="160">
        <v>1.5625E-2</v>
      </c>
      <c r="AT121" s="160">
        <v>0.4443359375</v>
      </c>
      <c r="AU121" s="160">
        <v>10.10850146964</v>
      </c>
      <c r="BG121" s="160">
        <v>3.90625E-3</v>
      </c>
      <c r="BH121" s="160">
        <v>0.4453125</v>
      </c>
      <c r="BI121" s="160">
        <v>14000</v>
      </c>
      <c r="BU121" s="160">
        <v>9.765625E-4</v>
      </c>
      <c r="BV121" s="160">
        <v>0.431640625</v>
      </c>
      <c r="BW121" s="160">
        <v>19.679335714285713</v>
      </c>
    </row>
    <row r="122" spans="31:75" x14ac:dyDescent="0.2">
      <c r="AE122" s="160">
        <v>1.953125E-3</v>
      </c>
      <c r="AF122" s="160">
        <v>0.43359375</v>
      </c>
      <c r="AG122" s="160">
        <v>5.3590085287200004</v>
      </c>
      <c r="AS122" s="160">
        <v>3.90625E-3</v>
      </c>
      <c r="AT122" s="160">
        <v>0.4482421875</v>
      </c>
      <c r="AU122" s="160">
        <v>10.10850146964</v>
      </c>
      <c r="BG122" s="160">
        <v>7.8125E-3</v>
      </c>
      <c r="BH122" s="160">
        <v>0.453125</v>
      </c>
      <c r="BI122" s="160">
        <v>14000</v>
      </c>
      <c r="BU122" s="160">
        <v>1.953125E-3</v>
      </c>
      <c r="BV122" s="160">
        <v>0.43359375</v>
      </c>
      <c r="BW122" s="160">
        <v>20.257874999999999</v>
      </c>
    </row>
    <row r="123" spans="31:75" x14ac:dyDescent="0.2">
      <c r="AE123" s="160">
        <v>1.953125E-3</v>
      </c>
      <c r="AF123" s="160">
        <v>0.435546875</v>
      </c>
      <c r="AG123" s="160">
        <v>5.3689486011839991</v>
      </c>
      <c r="AS123" s="160">
        <v>7.8125E-3</v>
      </c>
      <c r="AT123" s="160">
        <v>0.4560546875</v>
      </c>
      <c r="AU123" s="160">
        <v>10.238565631392001</v>
      </c>
      <c r="BG123" s="160">
        <v>7.8125E-3</v>
      </c>
      <c r="BH123" s="160">
        <v>0.4609375</v>
      </c>
      <c r="BI123" s="160">
        <v>14000</v>
      </c>
      <c r="BU123" s="160">
        <v>1.953125E-3</v>
      </c>
      <c r="BV123" s="160">
        <v>0.435546875</v>
      </c>
      <c r="BW123" s="160">
        <v>20.295449999999995</v>
      </c>
    </row>
    <row r="124" spans="31:75" x14ac:dyDescent="0.2">
      <c r="AE124" s="160">
        <v>1.5625E-2</v>
      </c>
      <c r="AF124" s="160">
        <v>0.451171875</v>
      </c>
      <c r="AG124" s="160">
        <v>5.4015167228400003</v>
      </c>
      <c r="AS124" s="160">
        <v>3.90625E-3</v>
      </c>
      <c r="AT124" s="160">
        <v>0.4599609375</v>
      </c>
      <c r="AU124" s="160">
        <v>10.333870402463997</v>
      </c>
      <c r="BG124" s="160">
        <v>7.8125E-3</v>
      </c>
      <c r="BH124" s="160">
        <v>0.46875</v>
      </c>
      <c r="BI124" s="160">
        <v>14000</v>
      </c>
      <c r="BU124" s="160">
        <v>1.5625E-2</v>
      </c>
      <c r="BV124" s="160">
        <v>0.451171875</v>
      </c>
      <c r="BW124" s="160">
        <v>20.4185625</v>
      </c>
    </row>
    <row r="125" spans="31:75" x14ac:dyDescent="0.2">
      <c r="AE125" s="160">
        <v>3.90625E-3</v>
      </c>
      <c r="AF125" s="160">
        <v>0.455078125</v>
      </c>
      <c r="AG125" s="160">
        <v>5.4461676870719984</v>
      </c>
      <c r="AS125" s="160">
        <v>1.953125E-3</v>
      </c>
      <c r="AT125" s="160">
        <v>0.4619140625</v>
      </c>
      <c r="AU125" s="160">
        <v>10.397315797344001</v>
      </c>
      <c r="BG125" s="160">
        <v>1.5625E-2</v>
      </c>
      <c r="BH125" s="160">
        <v>0.484375</v>
      </c>
      <c r="BI125" s="160">
        <v>14000</v>
      </c>
      <c r="BU125" s="160">
        <v>3.90625E-3</v>
      </c>
      <c r="BV125" s="160">
        <v>0.455078125</v>
      </c>
      <c r="BW125" s="160">
        <v>20.58734999999999</v>
      </c>
    </row>
    <row r="126" spans="31:75" x14ac:dyDescent="0.2">
      <c r="AE126" s="160">
        <v>1.953125E-3</v>
      </c>
      <c r="AF126" s="160">
        <v>0.45703125</v>
      </c>
      <c r="AG126" s="160">
        <v>5.4785189807999997</v>
      </c>
      <c r="AS126" s="160">
        <v>7.8125E-3</v>
      </c>
      <c r="AT126" s="160">
        <v>0.4697265625</v>
      </c>
      <c r="AU126" s="160">
        <v>10.397315797344001</v>
      </c>
      <c r="BG126" s="160">
        <v>3.125E-2</v>
      </c>
      <c r="BH126" s="160">
        <v>0.515625</v>
      </c>
      <c r="BI126" s="160">
        <v>14000</v>
      </c>
      <c r="BU126" s="160">
        <v>1.953125E-3</v>
      </c>
      <c r="BV126" s="160">
        <v>0.45703125</v>
      </c>
      <c r="BW126" s="160">
        <v>20.709642857142853</v>
      </c>
    </row>
    <row r="127" spans="31:75" x14ac:dyDescent="0.2">
      <c r="AE127" s="160">
        <v>7.8125E-3</v>
      </c>
      <c r="AF127" s="160">
        <v>0.46484375</v>
      </c>
      <c r="AG127" s="160">
        <v>5.5558457720640009</v>
      </c>
      <c r="AS127" s="160">
        <v>3.90625E-3</v>
      </c>
      <c r="AT127" s="160">
        <v>0.4736328125</v>
      </c>
      <c r="AU127" s="160">
        <v>10.610795883240002</v>
      </c>
      <c r="BG127" s="160">
        <v>1.5625E-2</v>
      </c>
      <c r="BH127" s="160">
        <v>0.53125</v>
      </c>
      <c r="BI127" s="160">
        <v>14000</v>
      </c>
      <c r="BU127" s="160">
        <v>7.8125E-3</v>
      </c>
      <c r="BV127" s="160">
        <v>0.46484375</v>
      </c>
      <c r="BW127" s="160">
        <v>21.001950000000001</v>
      </c>
    </row>
    <row r="128" spans="31:75" x14ac:dyDescent="0.2">
      <c r="AE128" s="160">
        <v>3.90625E-3</v>
      </c>
      <c r="AF128" s="160">
        <v>0.46875</v>
      </c>
      <c r="AG128" s="160">
        <v>5.5558457720640009</v>
      </c>
      <c r="AS128" s="160">
        <v>3.90625E-3</v>
      </c>
      <c r="AT128" s="160">
        <v>0.4775390625</v>
      </c>
      <c r="AU128" s="160">
        <v>10.704287456351999</v>
      </c>
      <c r="BG128" s="160">
        <v>7.8125E-3</v>
      </c>
      <c r="BH128" s="160">
        <v>0.5390625</v>
      </c>
      <c r="BI128" s="160">
        <v>14000</v>
      </c>
      <c r="BU128" s="160">
        <v>3.90625E-3</v>
      </c>
      <c r="BV128" s="160">
        <v>0.46875</v>
      </c>
      <c r="BW128" s="160">
        <v>21.001950000000001</v>
      </c>
    </row>
    <row r="129" spans="31:75" x14ac:dyDescent="0.2">
      <c r="AE129" s="160">
        <v>3.90625E-3</v>
      </c>
      <c r="AF129" s="160">
        <v>0.47265625</v>
      </c>
      <c r="AG129" s="160">
        <v>5.5573139663999997</v>
      </c>
      <c r="AS129" s="160">
        <v>3.90625E-3</v>
      </c>
      <c r="AT129" s="160">
        <v>0.4814453125</v>
      </c>
      <c r="AU129" s="160">
        <v>10.718017057440001</v>
      </c>
      <c r="BG129" s="160">
        <v>7.8125E-3</v>
      </c>
      <c r="BH129" s="160">
        <v>0.546875</v>
      </c>
      <c r="BI129" s="160">
        <v>14000</v>
      </c>
      <c r="BU129" s="160">
        <v>3.90625E-3</v>
      </c>
      <c r="BV129" s="160">
        <v>0.47265625</v>
      </c>
      <c r="BW129" s="160">
        <v>21.007499999999997</v>
      </c>
    </row>
    <row r="130" spans="31:75" x14ac:dyDescent="0.2">
      <c r="AE130" s="160">
        <v>7.8125E-3</v>
      </c>
      <c r="AF130" s="160">
        <v>0.48046875</v>
      </c>
      <c r="AG130" s="160">
        <v>5.7762865540800004</v>
      </c>
      <c r="AS130" s="160">
        <v>1.953125E-3</v>
      </c>
      <c r="AT130" s="160">
        <v>0.4833984375</v>
      </c>
      <c r="AU130" s="160">
        <v>10.913961479904001</v>
      </c>
      <c r="BG130" s="160">
        <v>7.8125E-3</v>
      </c>
      <c r="BH130" s="160">
        <v>0.5546875</v>
      </c>
      <c r="BI130" s="160">
        <v>14000</v>
      </c>
      <c r="BU130" s="160">
        <v>7.8125E-3</v>
      </c>
      <c r="BV130" s="160">
        <v>0.48046875</v>
      </c>
      <c r="BW130" s="160">
        <v>21.835249999999998</v>
      </c>
    </row>
    <row r="131" spans="31:75" x14ac:dyDescent="0.2">
      <c r="AE131" s="160">
        <v>9.765625E-4</v>
      </c>
      <c r="AF131" s="160">
        <v>0.4814453125</v>
      </c>
      <c r="AG131" s="160">
        <v>5.83517966472</v>
      </c>
      <c r="AS131" s="160">
        <v>1.953125E-3</v>
      </c>
      <c r="AT131" s="160">
        <v>0.4853515625</v>
      </c>
      <c r="AU131" s="160">
        <v>10.922056389215999</v>
      </c>
      <c r="BG131" s="160">
        <v>3.90625E-3</v>
      </c>
      <c r="BH131" s="160">
        <v>0.55859375</v>
      </c>
      <c r="BI131" s="160">
        <v>14000</v>
      </c>
      <c r="BU131" s="160">
        <v>9.765625E-4</v>
      </c>
      <c r="BV131" s="160">
        <v>0.4814453125</v>
      </c>
      <c r="BW131" s="160">
        <v>22.057874999999999</v>
      </c>
    </row>
    <row r="132" spans="31:75" x14ac:dyDescent="0.2">
      <c r="AE132" s="160">
        <v>1.953125E-3</v>
      </c>
      <c r="AF132" s="160">
        <v>0.4833984375</v>
      </c>
      <c r="AG132" s="160">
        <v>5.9654984457600007</v>
      </c>
      <c r="AS132" s="160">
        <v>1.953125E-3</v>
      </c>
      <c r="AT132" s="160">
        <v>0.4873046875</v>
      </c>
      <c r="AU132" s="160">
        <v>10.990228223519999</v>
      </c>
      <c r="BG132" s="160">
        <v>1.953125E-3</v>
      </c>
      <c r="BH132" s="160">
        <v>0.560546875</v>
      </c>
      <c r="BI132" s="160">
        <v>14000</v>
      </c>
      <c r="BU132" s="160">
        <v>1.953125E-3</v>
      </c>
      <c r="BV132" s="160">
        <v>0.4833984375</v>
      </c>
      <c r="BW132" s="160">
        <v>22.5505</v>
      </c>
    </row>
    <row r="133" spans="31:75" x14ac:dyDescent="0.2">
      <c r="AE133" s="160">
        <v>1.953125E-3</v>
      </c>
      <c r="AF133" s="160">
        <v>0.4853515625</v>
      </c>
      <c r="AG133" s="160">
        <v>6.0651008817840006</v>
      </c>
      <c r="AS133" s="160">
        <v>9.765625E-4</v>
      </c>
      <c r="AT133" s="160">
        <v>0.48828125</v>
      </c>
      <c r="AU133" s="160">
        <v>11.186490093407997</v>
      </c>
      <c r="BG133" s="160">
        <v>3.90625E-3</v>
      </c>
      <c r="BH133" s="160">
        <v>0.564453125</v>
      </c>
      <c r="BI133" s="160">
        <v>14000</v>
      </c>
      <c r="BU133" s="160">
        <v>1.953125E-3</v>
      </c>
      <c r="BV133" s="160">
        <v>0.4853515625</v>
      </c>
      <c r="BW133" s="160">
        <v>22.9270125</v>
      </c>
    </row>
    <row r="134" spans="31:75" x14ac:dyDescent="0.2">
      <c r="AE134" s="160">
        <v>3.90625E-3</v>
      </c>
      <c r="AF134" s="160">
        <v>0.4892578125</v>
      </c>
      <c r="AG134" s="160">
        <v>6.0651008817840006</v>
      </c>
      <c r="AS134" s="160">
        <v>1.5625E-2</v>
      </c>
      <c r="AT134" s="160">
        <v>0.50390625</v>
      </c>
      <c r="AU134" s="160">
        <v>11.209575575520001</v>
      </c>
      <c r="BG134" s="160">
        <v>3.90625E-3</v>
      </c>
      <c r="BH134" s="160">
        <v>0.568359375</v>
      </c>
      <c r="BI134" s="160">
        <v>14000</v>
      </c>
      <c r="BU134" s="160">
        <v>3.90625E-3</v>
      </c>
      <c r="BV134" s="160">
        <v>0.4892578125</v>
      </c>
      <c r="BW134" s="160">
        <v>22.9270125</v>
      </c>
    </row>
    <row r="135" spans="31:75" x14ac:dyDescent="0.2">
      <c r="AE135" s="160">
        <v>1.5625E-2</v>
      </c>
      <c r="AF135" s="160">
        <v>0.5048828125</v>
      </c>
      <c r="AG135" s="160">
        <v>6.0678091051200003</v>
      </c>
      <c r="AS135" s="160">
        <v>3.90625E-3</v>
      </c>
      <c r="AT135" s="160">
        <v>0.5078125</v>
      </c>
      <c r="AU135" s="160">
        <v>11.209575575520001</v>
      </c>
      <c r="BG135" s="160">
        <v>3.90625E-3</v>
      </c>
      <c r="BH135" s="160">
        <v>0.572265625</v>
      </c>
      <c r="BI135" s="160">
        <v>14000</v>
      </c>
      <c r="BU135" s="160">
        <v>1.5625E-2</v>
      </c>
      <c r="BV135" s="160">
        <v>0.5048828125</v>
      </c>
      <c r="BW135" s="160">
        <v>22.937249999999999</v>
      </c>
    </row>
    <row r="136" spans="31:75" x14ac:dyDescent="0.2">
      <c r="AE136" s="160">
        <v>7.8125E-3</v>
      </c>
      <c r="AF136" s="160">
        <v>0.5126953125</v>
      </c>
      <c r="AG136" s="160">
        <v>6.1731619689600006</v>
      </c>
      <c r="AS136" s="160">
        <v>3.90625E-3</v>
      </c>
      <c r="AT136" s="160">
        <v>0.51171875</v>
      </c>
      <c r="AU136" s="160">
        <v>11.670729684768</v>
      </c>
      <c r="BG136" s="160">
        <v>7.8125E-3</v>
      </c>
      <c r="BH136" s="160">
        <v>0.580078125</v>
      </c>
      <c r="BI136" s="160">
        <v>14000</v>
      </c>
      <c r="BU136" s="160">
        <v>7.8125E-3</v>
      </c>
      <c r="BV136" s="160">
        <v>0.5126953125</v>
      </c>
      <c r="BW136" s="160">
        <v>23.3355</v>
      </c>
    </row>
    <row r="137" spans="31:75" x14ac:dyDescent="0.2">
      <c r="AE137" s="160">
        <v>1.953125E-3</v>
      </c>
      <c r="AF137" s="160">
        <v>0.5146484375</v>
      </c>
      <c r="AG137" s="160">
        <v>6.1767049089600006</v>
      </c>
      <c r="AS137" s="160">
        <v>3.90625E-3</v>
      </c>
      <c r="AT137" s="160">
        <v>0.515625</v>
      </c>
      <c r="AU137" s="160">
        <v>11.713482577944001</v>
      </c>
      <c r="BG137" s="160">
        <v>3.90625E-3</v>
      </c>
      <c r="BH137" s="160">
        <v>0.583984375</v>
      </c>
      <c r="BI137" s="160">
        <v>14000</v>
      </c>
      <c r="BU137" s="160">
        <v>1.953125E-3</v>
      </c>
      <c r="BV137" s="160">
        <v>0.5146484375</v>
      </c>
      <c r="BW137" s="160">
        <v>23.348892857142857</v>
      </c>
    </row>
    <row r="138" spans="31:75" x14ac:dyDescent="0.2">
      <c r="AE138" s="160">
        <v>3.90625E-3</v>
      </c>
      <c r="AF138" s="160">
        <v>0.5185546875</v>
      </c>
      <c r="AG138" s="160">
        <v>6.1855820994239989</v>
      </c>
      <c r="AS138" s="160">
        <v>3.90625E-3</v>
      </c>
      <c r="AT138" s="160">
        <v>0.51953125</v>
      </c>
      <c r="AU138" s="160">
        <v>11.770054354296001</v>
      </c>
      <c r="BG138" s="160">
        <v>7.8125E-3</v>
      </c>
      <c r="BH138" s="160">
        <v>0.591796875</v>
      </c>
      <c r="BI138" s="160">
        <v>14000</v>
      </c>
      <c r="BU138" s="160">
        <v>3.90625E-3</v>
      </c>
      <c r="BV138" s="160">
        <v>0.5185546875</v>
      </c>
      <c r="BW138" s="160">
        <v>23.382449999999995</v>
      </c>
    </row>
    <row r="139" spans="31:75" x14ac:dyDescent="0.2">
      <c r="AE139" s="160">
        <v>7.8125E-3</v>
      </c>
      <c r="AF139" s="160">
        <v>0.5263671875</v>
      </c>
      <c r="AG139" s="160">
        <v>6.2521766168399999</v>
      </c>
      <c r="AS139" s="160">
        <v>9.765625E-4</v>
      </c>
      <c r="AT139" s="160">
        <v>0.5205078125</v>
      </c>
      <c r="AU139" s="160">
        <v>11.770054354296001</v>
      </c>
      <c r="BG139" s="160">
        <v>1.953125E-3</v>
      </c>
      <c r="BH139" s="160">
        <v>0.59375</v>
      </c>
      <c r="BI139" s="160">
        <v>14000</v>
      </c>
      <c r="BU139" s="160">
        <v>7.8125E-3</v>
      </c>
      <c r="BV139" s="160">
        <v>0.5263671875</v>
      </c>
      <c r="BW139" s="160">
        <v>23.634187499999996</v>
      </c>
    </row>
    <row r="140" spans="31:75" x14ac:dyDescent="0.2">
      <c r="AE140" s="160">
        <v>3.90625E-3</v>
      </c>
      <c r="AF140" s="160">
        <v>0.5302734375</v>
      </c>
      <c r="AG140" s="160">
        <v>6.3118184687999994</v>
      </c>
      <c r="AS140" s="160">
        <v>1.953125E-3</v>
      </c>
      <c r="AT140" s="160">
        <v>0.5224609375</v>
      </c>
      <c r="AU140" s="160">
        <v>11.809821257640001</v>
      </c>
      <c r="BG140" s="160">
        <v>1.953125E-3</v>
      </c>
      <c r="BH140" s="160">
        <v>0.595703125</v>
      </c>
      <c r="BI140" s="160">
        <v>14000</v>
      </c>
      <c r="BU140" s="160">
        <v>3.90625E-3</v>
      </c>
      <c r="BV140" s="160">
        <v>0.5302734375</v>
      </c>
      <c r="BW140" s="160">
        <v>23.859642857142852</v>
      </c>
    </row>
    <row r="141" spans="31:75" x14ac:dyDescent="0.2">
      <c r="AE141" s="160">
        <v>3.90625E-3</v>
      </c>
      <c r="AF141" s="160">
        <v>0.5341796875</v>
      </c>
      <c r="AG141" s="160">
        <v>6.3711995603759997</v>
      </c>
      <c r="AS141" s="160">
        <v>7.8125E-3</v>
      </c>
      <c r="AT141" s="160">
        <v>0.5302734375</v>
      </c>
      <c r="AU141" s="160">
        <v>11.809821257640001</v>
      </c>
      <c r="BG141" s="160">
        <v>3.90625E-3</v>
      </c>
      <c r="BH141" s="160">
        <v>0.599609375</v>
      </c>
      <c r="BI141" s="160">
        <v>14000</v>
      </c>
      <c r="BU141" s="160">
        <v>3.90625E-3</v>
      </c>
      <c r="BV141" s="160">
        <v>0.5341796875</v>
      </c>
      <c r="BW141" s="160">
        <v>24.084112499999996</v>
      </c>
    </row>
    <row r="142" spans="31:75" x14ac:dyDescent="0.2">
      <c r="AE142" s="160">
        <v>1.953125E-3</v>
      </c>
      <c r="AF142" s="160">
        <v>0.5361328125</v>
      </c>
      <c r="AG142" s="160">
        <v>6.4308102344640012</v>
      </c>
      <c r="AS142" s="160">
        <v>1.953125E-3</v>
      </c>
      <c r="AT142" s="160">
        <v>0.5322265625</v>
      </c>
      <c r="AU142" s="160">
        <v>11.967137398943997</v>
      </c>
      <c r="BG142" s="160">
        <v>1.953125E-3</v>
      </c>
      <c r="BH142" s="160">
        <v>0.6015625</v>
      </c>
      <c r="BI142" s="160">
        <v>14000</v>
      </c>
      <c r="BU142" s="160">
        <v>1.953125E-3</v>
      </c>
      <c r="BV142" s="160">
        <v>0.5361328125</v>
      </c>
      <c r="BW142" s="160">
        <v>24.309450000000002</v>
      </c>
    </row>
    <row r="143" spans="31:75" x14ac:dyDescent="0.2">
      <c r="AE143" s="160">
        <v>3.90625E-3</v>
      </c>
      <c r="AF143" s="160">
        <v>0.5400390625</v>
      </c>
      <c r="AG143" s="160">
        <v>6.4308102344640012</v>
      </c>
      <c r="AS143" s="160">
        <v>3.90625E-3</v>
      </c>
      <c r="AT143" s="160">
        <v>0.5361328125</v>
      </c>
      <c r="AU143" s="160">
        <v>11.988494556192002</v>
      </c>
      <c r="BG143" s="160">
        <v>3.90625E-3</v>
      </c>
      <c r="BH143" s="160">
        <v>0.60546875</v>
      </c>
      <c r="BI143" s="160">
        <v>14000</v>
      </c>
      <c r="BU143" s="160">
        <v>3.90625E-3</v>
      </c>
      <c r="BV143" s="160">
        <v>0.5400390625</v>
      </c>
      <c r="BW143" s="160">
        <v>24.309450000000002</v>
      </c>
    </row>
    <row r="144" spans="31:75" x14ac:dyDescent="0.2">
      <c r="AE144" s="160">
        <v>3.90625E-3</v>
      </c>
      <c r="AF144" s="160">
        <v>0.5439453125</v>
      </c>
      <c r="AG144" s="160">
        <v>6.5012240412000004</v>
      </c>
      <c r="AS144" s="160">
        <v>9.765625E-4</v>
      </c>
      <c r="AT144" s="160">
        <v>0.537109375</v>
      </c>
      <c r="AU144" s="160">
        <v>12.147244722144002</v>
      </c>
      <c r="BG144" s="160">
        <v>3.90625E-3</v>
      </c>
      <c r="BH144" s="160">
        <v>0.609375</v>
      </c>
      <c r="BI144" s="160">
        <v>14000</v>
      </c>
      <c r="BU144" s="160">
        <v>3.90625E-3</v>
      </c>
      <c r="BV144" s="160">
        <v>0.5439453125</v>
      </c>
      <c r="BW144" s="160">
        <v>24.575624999999999</v>
      </c>
    </row>
    <row r="145" spans="31:75" x14ac:dyDescent="0.2">
      <c r="AE145" s="160">
        <v>1.953125E-3</v>
      </c>
      <c r="AF145" s="160">
        <v>0.5458984375</v>
      </c>
      <c r="AG145" s="160">
        <v>6.6869732995200009</v>
      </c>
      <c r="AS145" s="160">
        <v>3.90625E-3</v>
      </c>
      <c r="AT145" s="160">
        <v>0.541015625</v>
      </c>
      <c r="AU145" s="160">
        <v>12.147244722144002</v>
      </c>
      <c r="BG145" s="160">
        <v>3.90625E-3</v>
      </c>
      <c r="BH145" s="160">
        <v>0.61328125</v>
      </c>
      <c r="BI145" s="160">
        <v>14000</v>
      </c>
      <c r="BU145" s="160">
        <v>1.953125E-3</v>
      </c>
      <c r="BV145" s="160">
        <v>0.5458984375</v>
      </c>
      <c r="BW145" s="160">
        <v>25.277785714285717</v>
      </c>
    </row>
    <row r="146" spans="31:75" x14ac:dyDescent="0.2">
      <c r="AE146" s="160">
        <v>3.90625E-3</v>
      </c>
      <c r="AF146" s="160">
        <v>0.5498046875</v>
      </c>
      <c r="AG146" s="160">
        <v>6.7257453453120011</v>
      </c>
      <c r="AS146" s="160">
        <v>9.765625E-4</v>
      </c>
      <c r="AT146" s="160">
        <v>0.5419921875</v>
      </c>
      <c r="AU146" s="160">
        <v>12.316235874264002</v>
      </c>
      <c r="BG146" s="160">
        <v>1.953125E-3</v>
      </c>
      <c r="BH146" s="160">
        <v>0.615234375</v>
      </c>
      <c r="BI146" s="160">
        <v>14000</v>
      </c>
      <c r="BU146" s="160">
        <v>3.90625E-3</v>
      </c>
      <c r="BV146" s="160">
        <v>0.5498046875</v>
      </c>
      <c r="BW146" s="160">
        <v>25.42435</v>
      </c>
    </row>
    <row r="147" spans="31:75" x14ac:dyDescent="0.2">
      <c r="AE147" s="160">
        <v>1.953125E-3</v>
      </c>
      <c r="AF147" s="160">
        <v>0.5517578125</v>
      </c>
      <c r="AG147" s="160">
        <v>6.7257453453120011</v>
      </c>
      <c r="AS147" s="160">
        <v>1.953125E-3</v>
      </c>
      <c r="AT147" s="160">
        <v>0.5439453125</v>
      </c>
      <c r="AU147" s="160">
        <v>12.337554452831998</v>
      </c>
      <c r="BG147" s="160">
        <v>3.90625E-3</v>
      </c>
      <c r="BH147" s="160">
        <v>0.619140625</v>
      </c>
      <c r="BI147" s="160">
        <v>14000</v>
      </c>
      <c r="BU147" s="160">
        <v>1.953125E-3</v>
      </c>
      <c r="BV147" s="160">
        <v>0.5517578125</v>
      </c>
      <c r="BW147" s="160">
        <v>25.42435</v>
      </c>
    </row>
    <row r="148" spans="31:75" x14ac:dyDescent="0.2">
      <c r="AE148" s="160">
        <v>3.90625E-3</v>
      </c>
      <c r="AF148" s="160">
        <v>0.5556640625</v>
      </c>
      <c r="AG148" s="160">
        <v>6.7484692900800001</v>
      </c>
      <c r="AS148" s="160">
        <v>7.8125E-3</v>
      </c>
      <c r="AT148" s="160">
        <v>0.5517578125</v>
      </c>
      <c r="AU148" s="160">
        <v>12.798207039240001</v>
      </c>
      <c r="BG148" s="160">
        <v>7.8125E-3</v>
      </c>
      <c r="BH148" s="160">
        <v>0.626953125</v>
      </c>
      <c r="BI148" s="160">
        <v>14000</v>
      </c>
      <c r="BU148" s="160">
        <v>3.90625E-3</v>
      </c>
      <c r="BV148" s="160">
        <v>0.5556640625</v>
      </c>
      <c r="BW148" s="160">
        <v>25.510249999999999</v>
      </c>
    </row>
    <row r="149" spans="31:75" x14ac:dyDescent="0.2">
      <c r="AE149" s="160">
        <v>3.90625E-3</v>
      </c>
      <c r="AF149" s="160">
        <v>0.5595703125</v>
      </c>
      <c r="AG149" s="160">
        <v>6.8728689993600005</v>
      </c>
      <c r="AS149" s="160">
        <v>3.90625E-3</v>
      </c>
      <c r="AT149" s="160">
        <v>0.5556640625</v>
      </c>
      <c r="AU149" s="160">
        <v>12.895865109792002</v>
      </c>
      <c r="BG149" s="160">
        <v>7.8125E-3</v>
      </c>
      <c r="BH149" s="160">
        <v>0.634765625</v>
      </c>
      <c r="BI149" s="160">
        <v>14000</v>
      </c>
      <c r="BU149" s="160">
        <v>3.90625E-3</v>
      </c>
      <c r="BV149" s="160">
        <v>0.5595703125</v>
      </c>
      <c r="BW149" s="160">
        <v>25.980499999999999</v>
      </c>
    </row>
    <row r="150" spans="31:75" x14ac:dyDescent="0.2">
      <c r="AE150" s="160">
        <v>1.953125E-3</v>
      </c>
      <c r="AF150" s="160">
        <v>0.5615234375</v>
      </c>
      <c r="AG150" s="160">
        <v>7.0022155976639988</v>
      </c>
      <c r="AS150" s="160">
        <v>3.90625E-3</v>
      </c>
      <c r="AT150" s="160">
        <v>0.5595703125</v>
      </c>
      <c r="AU150" s="160">
        <v>12.963640134816</v>
      </c>
      <c r="BG150" s="160">
        <v>7.8125E-3</v>
      </c>
      <c r="BH150" s="160">
        <v>0.642578125</v>
      </c>
      <c r="BI150" s="160">
        <v>14000</v>
      </c>
      <c r="BU150" s="160">
        <v>1.953125E-3</v>
      </c>
      <c r="BV150" s="160">
        <v>0.5615234375</v>
      </c>
      <c r="BW150" s="160">
        <v>26.469449999999991</v>
      </c>
    </row>
    <row r="151" spans="31:75" x14ac:dyDescent="0.2">
      <c r="AE151" s="160">
        <v>9.765625E-4</v>
      </c>
      <c r="AF151" s="160">
        <v>0.5625</v>
      </c>
      <c r="AG151" s="160">
        <v>7.0858927545840009</v>
      </c>
      <c r="AS151" s="160">
        <v>3.90625E-3</v>
      </c>
      <c r="AT151" s="160">
        <v>0.5634765625</v>
      </c>
      <c r="AU151" s="160">
        <v>13.163870097504001</v>
      </c>
      <c r="BG151" s="160">
        <v>1.5625E-2</v>
      </c>
      <c r="BH151" s="160">
        <v>0.658203125</v>
      </c>
      <c r="BI151" s="160">
        <v>14000</v>
      </c>
      <c r="BU151" s="160">
        <v>9.765625E-4</v>
      </c>
      <c r="BV151" s="160">
        <v>0.5625</v>
      </c>
      <c r="BW151" s="160">
        <v>26.785762500000001</v>
      </c>
    </row>
    <row r="152" spans="31:75" x14ac:dyDescent="0.2">
      <c r="AE152" s="160">
        <v>1.953125E-3</v>
      </c>
      <c r="AF152" s="160">
        <v>0.564453125</v>
      </c>
      <c r="AG152" s="160">
        <v>7.0858927545840009</v>
      </c>
      <c r="AS152" s="160">
        <v>1.953125E-3</v>
      </c>
      <c r="AT152" s="160">
        <v>0.5654296875</v>
      </c>
      <c r="AU152" s="160">
        <v>13.286404803167997</v>
      </c>
      <c r="BG152" s="160">
        <v>7.8125E-3</v>
      </c>
      <c r="BH152" s="160">
        <v>0.666015625</v>
      </c>
      <c r="BI152" s="160">
        <v>14000</v>
      </c>
      <c r="BU152" s="160">
        <v>1.953125E-3</v>
      </c>
      <c r="BV152" s="160">
        <v>0.564453125</v>
      </c>
      <c r="BW152" s="160">
        <v>26.785762500000001</v>
      </c>
    </row>
    <row r="153" spans="31:75" x14ac:dyDescent="0.2">
      <c r="AE153" s="160">
        <v>1.953125E-3</v>
      </c>
      <c r="AF153" s="160">
        <v>0.56640625</v>
      </c>
      <c r="AG153" s="160">
        <v>7.1451179567999983</v>
      </c>
      <c r="AS153" s="160">
        <v>3.125E-2</v>
      </c>
      <c r="AT153" s="160">
        <v>0.5966796875</v>
      </c>
      <c r="AU153" s="160">
        <v>13.47800195952</v>
      </c>
      <c r="BG153" s="160">
        <v>1.5625E-2</v>
      </c>
      <c r="BH153" s="160">
        <v>0.681640625</v>
      </c>
      <c r="BI153" s="160">
        <v>14000</v>
      </c>
      <c r="BU153" s="160">
        <v>1.953125E-3</v>
      </c>
      <c r="BV153" s="160">
        <v>0.56640625</v>
      </c>
      <c r="BW153" s="160">
        <v>27.009642857142847</v>
      </c>
    </row>
    <row r="154" spans="31:75" x14ac:dyDescent="0.2">
      <c r="AE154" s="160">
        <v>3.90625E-3</v>
      </c>
      <c r="AF154" s="160">
        <v>0.5703125</v>
      </c>
      <c r="AG154" s="160">
        <v>7.1453447049600003</v>
      </c>
      <c r="AS154" s="160">
        <v>7.8125E-3</v>
      </c>
      <c r="AT154" s="160">
        <v>0.6044921875</v>
      </c>
      <c r="AU154" s="160">
        <v>13.47800195952</v>
      </c>
      <c r="BG154" s="160">
        <v>1.5625E-2</v>
      </c>
      <c r="BH154" s="160">
        <v>0.697265625</v>
      </c>
      <c r="BI154" s="160">
        <v>14000</v>
      </c>
      <c r="BU154" s="160">
        <v>3.90625E-3</v>
      </c>
      <c r="BV154" s="160">
        <v>0.5703125</v>
      </c>
      <c r="BW154" s="160">
        <v>27.010499999999997</v>
      </c>
    </row>
    <row r="155" spans="31:75" x14ac:dyDescent="0.2">
      <c r="AE155" s="160">
        <v>3.125E-2</v>
      </c>
      <c r="AF155" s="160">
        <v>0.6015625</v>
      </c>
      <c r="AG155" s="160">
        <v>7.2020222971200001</v>
      </c>
      <c r="AS155" s="160">
        <v>1.953125E-3</v>
      </c>
      <c r="AT155" s="160">
        <v>0.6064453125</v>
      </c>
      <c r="AU155" s="160">
        <v>13.755066323544002</v>
      </c>
      <c r="BG155" s="160">
        <v>3.90625E-3</v>
      </c>
      <c r="BH155" s="160">
        <v>0.701171875</v>
      </c>
      <c r="BI155" s="160">
        <v>14000</v>
      </c>
      <c r="BU155" s="160">
        <v>3.125E-2</v>
      </c>
      <c r="BV155" s="160">
        <v>0.6015625</v>
      </c>
      <c r="BW155" s="160">
        <v>27.224749999999997</v>
      </c>
    </row>
    <row r="156" spans="31:75" x14ac:dyDescent="0.2">
      <c r="AE156" s="160">
        <v>9.765625E-4</v>
      </c>
      <c r="AF156" s="160">
        <v>0.6025390625</v>
      </c>
      <c r="AG156" s="160">
        <v>7.2061557271200005</v>
      </c>
      <c r="AS156" s="160">
        <v>7.8125E-3</v>
      </c>
      <c r="AT156" s="160">
        <v>0.6142578125</v>
      </c>
      <c r="AU156" s="160">
        <v>14.14772784432</v>
      </c>
      <c r="BG156" s="160">
        <v>7.8125E-3</v>
      </c>
      <c r="BH156" s="160">
        <v>0.708984375</v>
      </c>
      <c r="BI156" s="160">
        <v>14000</v>
      </c>
      <c r="BU156" s="160">
        <v>9.765625E-4</v>
      </c>
      <c r="BV156" s="160">
        <v>0.6025390625</v>
      </c>
      <c r="BW156" s="160">
        <v>27.240375</v>
      </c>
    </row>
    <row r="157" spans="31:75" x14ac:dyDescent="0.2">
      <c r="AE157" s="160">
        <v>3.90625E-3</v>
      </c>
      <c r="AF157" s="160">
        <v>0.6064453125</v>
      </c>
      <c r="AG157" s="160">
        <v>7.4266541409600011</v>
      </c>
      <c r="AS157" s="160">
        <v>1.953125E-3</v>
      </c>
      <c r="AT157" s="160">
        <v>0.6162109375</v>
      </c>
      <c r="AU157" s="160">
        <v>14.151902057496001</v>
      </c>
      <c r="BG157" s="160">
        <v>3.90625E-3</v>
      </c>
      <c r="BH157" s="160">
        <v>0.712890625</v>
      </c>
      <c r="BI157" s="160">
        <v>14000</v>
      </c>
      <c r="BU157" s="160">
        <v>3.90625E-3</v>
      </c>
      <c r="BV157" s="160">
        <v>0.6064453125</v>
      </c>
      <c r="BW157" s="160">
        <v>28.073892857142859</v>
      </c>
    </row>
    <row r="158" spans="31:75" x14ac:dyDescent="0.2">
      <c r="AE158" s="160">
        <v>7.8125E-3</v>
      </c>
      <c r="AF158" s="160">
        <v>0.6142578125</v>
      </c>
      <c r="AG158" s="160">
        <v>7.5621234119759997</v>
      </c>
      <c r="AS158" s="160">
        <v>7.8125E-3</v>
      </c>
      <c r="AT158" s="160">
        <v>0.6240234375</v>
      </c>
      <c r="AU158" s="160">
        <v>14.151902057496001</v>
      </c>
      <c r="BG158" s="160">
        <v>1.953125E-3</v>
      </c>
      <c r="BH158" s="160">
        <v>0.71484375</v>
      </c>
      <c r="BI158" s="160">
        <v>14000</v>
      </c>
      <c r="BU158" s="160">
        <v>7.8125E-3</v>
      </c>
      <c r="BV158" s="160">
        <v>0.6142578125</v>
      </c>
      <c r="BW158" s="160">
        <v>28.585987499999995</v>
      </c>
    </row>
    <row r="159" spans="31:75" x14ac:dyDescent="0.2">
      <c r="AE159" s="160">
        <v>9.765625E-4</v>
      </c>
      <c r="AF159" s="160">
        <v>0.615234375</v>
      </c>
      <c r="AG159" s="160">
        <v>7.6699265731199997</v>
      </c>
      <c r="AS159" s="160">
        <v>1.953125E-3</v>
      </c>
      <c r="AT159" s="160">
        <v>0.6259765625</v>
      </c>
      <c r="AU159" s="160">
        <v>14.412311454240001</v>
      </c>
      <c r="BG159" s="160">
        <v>7.8125E-3</v>
      </c>
      <c r="BH159" s="160">
        <v>0.72265625</v>
      </c>
      <c r="BI159" s="160">
        <v>14000</v>
      </c>
      <c r="BU159" s="160">
        <v>9.765625E-4</v>
      </c>
      <c r="BV159" s="160">
        <v>0.615234375</v>
      </c>
      <c r="BW159" s="160">
        <v>28.993499999999997</v>
      </c>
    </row>
    <row r="160" spans="31:75" x14ac:dyDescent="0.2">
      <c r="AE160" s="160">
        <v>7.8125E-3</v>
      </c>
      <c r="AF160" s="160">
        <v>0.623046875</v>
      </c>
      <c r="AG160" s="160">
        <v>7.7164524611999994</v>
      </c>
      <c r="AS160" s="160">
        <v>7.8125E-3</v>
      </c>
      <c r="AT160" s="160">
        <v>0.6337890625</v>
      </c>
      <c r="AU160" s="160">
        <v>14.412311454240001</v>
      </c>
      <c r="BG160" s="160">
        <v>1.953125E-3</v>
      </c>
      <c r="BH160" s="160">
        <v>0.724609375</v>
      </c>
      <c r="BI160" s="160">
        <v>14000</v>
      </c>
      <c r="BU160" s="160">
        <v>7.8125E-3</v>
      </c>
      <c r="BV160" s="160">
        <v>0.623046875</v>
      </c>
      <c r="BW160" s="160">
        <v>29.169374999999995</v>
      </c>
    </row>
    <row r="161" spans="31:75" x14ac:dyDescent="0.2">
      <c r="AE161" s="160">
        <v>1.953125E-3</v>
      </c>
      <c r="AF161" s="160">
        <v>0.625</v>
      </c>
      <c r="AG161" s="160">
        <v>7.7802395529599995</v>
      </c>
      <c r="AS161" s="160">
        <v>1.953125E-3</v>
      </c>
      <c r="AT161" s="160">
        <v>0.6357421875</v>
      </c>
      <c r="AU161" s="160">
        <v>14.855114236536002</v>
      </c>
      <c r="BG161" s="160">
        <v>3.90625E-3</v>
      </c>
      <c r="BH161" s="160">
        <v>0.728515625</v>
      </c>
      <c r="BI161" s="160">
        <v>14000</v>
      </c>
      <c r="BU161" s="160">
        <v>1.953125E-3</v>
      </c>
      <c r="BV161" s="160">
        <v>0.625</v>
      </c>
      <c r="BW161" s="160">
        <v>29.410499999999995</v>
      </c>
    </row>
    <row r="162" spans="31:75" x14ac:dyDescent="0.2">
      <c r="AE162" s="160">
        <v>7.8125E-3</v>
      </c>
      <c r="AF162" s="160">
        <v>0.6328125</v>
      </c>
      <c r="AG162" s="160">
        <v>7.80146884944</v>
      </c>
      <c r="AS162" s="160">
        <v>1.953125E-3</v>
      </c>
      <c r="AT162" s="160">
        <v>0.6376953125</v>
      </c>
      <c r="AU162" s="160">
        <v>14.941129261464003</v>
      </c>
      <c r="BG162" s="160">
        <v>7.8125E-3</v>
      </c>
      <c r="BH162" s="160">
        <v>0.736328125</v>
      </c>
      <c r="BI162" s="160">
        <v>14000</v>
      </c>
      <c r="BU162" s="160">
        <v>7.8125E-3</v>
      </c>
      <c r="BV162" s="160">
        <v>0.6328125</v>
      </c>
      <c r="BW162" s="160">
        <v>29.490749999999998</v>
      </c>
    </row>
    <row r="163" spans="31:75" x14ac:dyDescent="0.2">
      <c r="AE163" s="160">
        <v>3.90625E-3</v>
      </c>
      <c r="AF163" s="160">
        <v>0.63671875</v>
      </c>
      <c r="AG163" s="160">
        <v>7.9369225315200014</v>
      </c>
      <c r="AS163" s="160">
        <v>3.90625E-3</v>
      </c>
      <c r="AT163" s="160">
        <v>0.6416015625</v>
      </c>
      <c r="AU163" s="160">
        <v>14.985618195240001</v>
      </c>
      <c r="BG163" s="160">
        <v>3.90625E-3</v>
      </c>
      <c r="BH163" s="160">
        <v>0.740234375</v>
      </c>
      <c r="BI163" s="160">
        <v>14000</v>
      </c>
      <c r="BU163" s="160">
        <v>3.90625E-3</v>
      </c>
      <c r="BV163" s="160">
        <v>0.63671875</v>
      </c>
      <c r="BW163" s="160">
        <v>30.002785714285718</v>
      </c>
    </row>
    <row r="164" spans="31:75" x14ac:dyDescent="0.2">
      <c r="AE164" s="160">
        <v>7.8125E-3</v>
      </c>
      <c r="AF164" s="160">
        <v>0.64453125</v>
      </c>
      <c r="AG164" s="160">
        <v>8.0868011757120009</v>
      </c>
      <c r="AS164" s="160">
        <v>1.953125E-3</v>
      </c>
      <c r="AT164" s="160">
        <v>0.6435546875</v>
      </c>
      <c r="AU164" s="160">
        <v>15.005223880416001</v>
      </c>
      <c r="BG164" s="160">
        <v>3.90625E-3</v>
      </c>
      <c r="BH164" s="160">
        <v>0.744140625</v>
      </c>
      <c r="BI164" s="160">
        <v>14000</v>
      </c>
      <c r="BU164" s="160">
        <v>7.8125E-3</v>
      </c>
      <c r="BV164" s="160">
        <v>0.64453125</v>
      </c>
      <c r="BW164" s="160">
        <v>30.56935</v>
      </c>
    </row>
    <row r="165" spans="31:75" x14ac:dyDescent="0.2">
      <c r="AE165" s="160">
        <v>3.90625E-3</v>
      </c>
      <c r="AF165" s="160">
        <v>0.6484375</v>
      </c>
      <c r="AG165" s="160">
        <v>8.0868011757120009</v>
      </c>
      <c r="AS165" s="160">
        <v>9.765625E-4</v>
      </c>
      <c r="AT165" s="160">
        <v>0.64453125</v>
      </c>
      <c r="AU165" s="160">
        <v>15.386319512927997</v>
      </c>
      <c r="BG165" s="160">
        <v>3.90625E-3</v>
      </c>
      <c r="BH165" s="160">
        <v>0.748046875</v>
      </c>
      <c r="BI165" s="160">
        <v>14000</v>
      </c>
      <c r="BU165" s="160">
        <v>3.90625E-3</v>
      </c>
      <c r="BV165" s="160">
        <v>0.6484375</v>
      </c>
      <c r="BW165" s="160">
        <v>30.56935</v>
      </c>
    </row>
    <row r="166" spans="31:75" x14ac:dyDescent="0.2">
      <c r="AE166" s="160">
        <v>1.5625E-2</v>
      </c>
      <c r="AF166" s="160">
        <v>0.6640625</v>
      </c>
      <c r="AG166" s="160">
        <v>8.3362354891199999</v>
      </c>
      <c r="AS166" s="160">
        <v>1.953125E-3</v>
      </c>
      <c r="AT166" s="160">
        <v>0.646484375</v>
      </c>
      <c r="AU166" s="160">
        <v>15.413778715104002</v>
      </c>
      <c r="BG166" s="160">
        <v>1.953125E-3</v>
      </c>
      <c r="BH166" s="160">
        <v>0.75</v>
      </c>
      <c r="BI166" s="160">
        <v>14000</v>
      </c>
      <c r="BU166" s="160">
        <v>1.5625E-2</v>
      </c>
      <c r="BV166" s="160">
        <v>0.6640625</v>
      </c>
      <c r="BW166" s="160">
        <v>31.512249999999995</v>
      </c>
    </row>
    <row r="167" spans="31:75" x14ac:dyDescent="0.2">
      <c r="AE167" s="160">
        <v>3.90625E-3</v>
      </c>
      <c r="AF167" s="160">
        <v>0.66796875</v>
      </c>
      <c r="AG167" s="160">
        <v>8.4071816816400009</v>
      </c>
      <c r="AS167" s="160">
        <v>7.8125E-3</v>
      </c>
      <c r="AT167" s="160">
        <v>0.654296875</v>
      </c>
      <c r="AU167" s="160">
        <v>15.617976770592001</v>
      </c>
      <c r="BG167" s="160">
        <v>9.765625E-4</v>
      </c>
      <c r="BH167" s="160">
        <v>0.7509765625</v>
      </c>
      <c r="BI167" s="160">
        <v>18000</v>
      </c>
      <c r="BU167" s="160">
        <v>3.90625E-3</v>
      </c>
      <c r="BV167" s="160">
        <v>0.66796875</v>
      </c>
      <c r="BW167" s="160">
        <v>31.780437500000001</v>
      </c>
    </row>
    <row r="168" spans="31:75" x14ac:dyDescent="0.2">
      <c r="AE168" s="160">
        <v>7.8125E-3</v>
      </c>
      <c r="AF168" s="160">
        <v>0.67578125</v>
      </c>
      <c r="AG168" s="160">
        <v>8.4949327471680007</v>
      </c>
      <c r="AS168" s="160">
        <v>1.953125E-3</v>
      </c>
      <c r="AT168" s="160">
        <v>0.65625</v>
      </c>
      <c r="AU168" s="160">
        <v>15.693405805728</v>
      </c>
      <c r="BG168" s="160">
        <v>1.953125E-3</v>
      </c>
      <c r="BH168" s="160">
        <v>0.7529296875</v>
      </c>
      <c r="BI168" s="160">
        <v>18000</v>
      </c>
      <c r="BU168" s="160">
        <v>7.8125E-3</v>
      </c>
      <c r="BV168" s="160">
        <v>0.67578125</v>
      </c>
      <c r="BW168" s="160">
        <v>32.11215</v>
      </c>
    </row>
    <row r="169" spans="31:75" x14ac:dyDescent="0.2">
      <c r="AE169" s="160">
        <v>9.765625E-4</v>
      </c>
      <c r="AF169" s="160">
        <v>0.6767578125</v>
      </c>
      <c r="AG169" s="160">
        <v>8.6473868725440006</v>
      </c>
      <c r="AS169" s="160">
        <v>7.8125E-3</v>
      </c>
      <c r="AT169" s="160">
        <v>0.6640625</v>
      </c>
      <c r="AU169" s="160">
        <v>15.693405805728</v>
      </c>
      <c r="BG169" s="160">
        <v>1.953125E-3</v>
      </c>
      <c r="BH169" s="160">
        <v>0.7548828125</v>
      </c>
      <c r="BI169" s="160">
        <v>18000</v>
      </c>
      <c r="BU169" s="160">
        <v>9.765625E-4</v>
      </c>
      <c r="BV169" s="160">
        <v>0.6767578125</v>
      </c>
      <c r="BW169" s="160">
        <v>32.688449999999996</v>
      </c>
    </row>
    <row r="170" spans="31:75" x14ac:dyDescent="0.2">
      <c r="AE170" s="160">
        <v>1.953125E-3</v>
      </c>
      <c r="AF170" s="160">
        <v>0.6787109375</v>
      </c>
      <c r="AG170" s="160">
        <v>8.6473868725440006</v>
      </c>
      <c r="AS170" s="160">
        <v>3.90625E-3</v>
      </c>
      <c r="AT170" s="160">
        <v>0.66796875</v>
      </c>
      <c r="AU170" s="160">
        <v>15.74642834352</v>
      </c>
      <c r="BG170" s="160">
        <v>1.953125E-3</v>
      </c>
      <c r="BH170" s="160">
        <v>0.7568359375</v>
      </c>
      <c r="BI170" s="160">
        <v>18000</v>
      </c>
      <c r="BU170" s="160">
        <v>1.953125E-3</v>
      </c>
      <c r="BV170" s="160">
        <v>0.6787109375</v>
      </c>
      <c r="BW170" s="160">
        <v>32.688449999999996</v>
      </c>
    </row>
    <row r="171" spans="31:75" x14ac:dyDescent="0.2">
      <c r="AE171" s="160">
        <v>1.953125E-3</v>
      </c>
      <c r="AF171" s="160">
        <v>0.6806640625</v>
      </c>
      <c r="AG171" s="160">
        <v>8.6644298311200014</v>
      </c>
      <c r="AS171" s="160">
        <v>1.5625E-2</v>
      </c>
      <c r="AT171" s="160">
        <v>0.68359375</v>
      </c>
      <c r="AU171" s="160">
        <v>15.74642834352</v>
      </c>
      <c r="BG171" s="160">
        <v>3.90625E-3</v>
      </c>
      <c r="BH171" s="160">
        <v>0.7607421875</v>
      </c>
      <c r="BI171" s="160">
        <v>18000</v>
      </c>
      <c r="BU171" s="160">
        <v>1.953125E-3</v>
      </c>
      <c r="BV171" s="160">
        <v>0.6806640625</v>
      </c>
      <c r="BW171" s="160">
        <v>32.752875000000003</v>
      </c>
    </row>
    <row r="172" spans="31:75" x14ac:dyDescent="0.2">
      <c r="AE172" s="160">
        <v>7.8125E-3</v>
      </c>
      <c r="AF172" s="160">
        <v>0.6884765625</v>
      </c>
      <c r="AG172" s="160">
        <v>8.6682987216000011</v>
      </c>
      <c r="AS172" s="160">
        <v>3.90625E-3</v>
      </c>
      <c r="AT172" s="160">
        <v>0.6875</v>
      </c>
      <c r="AU172" s="160">
        <v>16.119831387240001</v>
      </c>
      <c r="BG172" s="160">
        <v>1.953125E-3</v>
      </c>
      <c r="BH172" s="160">
        <v>0.7626953125</v>
      </c>
      <c r="BI172" s="160">
        <v>18000</v>
      </c>
      <c r="BU172" s="160">
        <v>7.8125E-3</v>
      </c>
      <c r="BV172" s="160">
        <v>0.6884765625</v>
      </c>
      <c r="BW172" s="160">
        <v>32.767499999999998</v>
      </c>
    </row>
    <row r="173" spans="31:75" x14ac:dyDescent="0.2">
      <c r="AE173" s="160">
        <v>1.953125E-3</v>
      </c>
      <c r="AF173" s="160">
        <v>0.6904296875</v>
      </c>
      <c r="AG173" s="160">
        <v>8.6766033729600007</v>
      </c>
      <c r="AS173" s="160">
        <v>1.953125E-3</v>
      </c>
      <c r="AT173" s="160">
        <v>0.689453125</v>
      </c>
      <c r="AU173" s="160">
        <v>16.421647832352001</v>
      </c>
      <c r="BG173" s="160">
        <v>9.765625E-4</v>
      </c>
      <c r="BH173" s="160">
        <v>0.763671875</v>
      </c>
      <c r="BI173" s="160">
        <v>18000</v>
      </c>
      <c r="BU173" s="160">
        <v>1.953125E-3</v>
      </c>
      <c r="BV173" s="160">
        <v>0.6904296875</v>
      </c>
      <c r="BW173" s="160">
        <v>32.798892857142853</v>
      </c>
    </row>
    <row r="174" spans="31:75" x14ac:dyDescent="0.2">
      <c r="AE174" s="160">
        <v>3.90625E-3</v>
      </c>
      <c r="AF174" s="160">
        <v>0.6943359375</v>
      </c>
      <c r="AG174" s="160">
        <v>8.7530472635760006</v>
      </c>
      <c r="AS174" s="160">
        <v>9.765625E-4</v>
      </c>
      <c r="AT174" s="160">
        <v>0.6904296875</v>
      </c>
      <c r="AU174" s="160">
        <v>16.533749760696001</v>
      </c>
      <c r="BG174" s="160">
        <v>3.90625E-3</v>
      </c>
      <c r="BH174" s="160">
        <v>0.767578125</v>
      </c>
      <c r="BI174" s="160">
        <v>18000</v>
      </c>
      <c r="BU174" s="160">
        <v>3.90625E-3</v>
      </c>
      <c r="BV174" s="160">
        <v>0.6943359375</v>
      </c>
      <c r="BW174" s="160">
        <v>33.0878625</v>
      </c>
    </row>
    <row r="175" spans="31:75" x14ac:dyDescent="0.2">
      <c r="AE175" s="160">
        <v>1.953125E-3</v>
      </c>
      <c r="AF175" s="160">
        <v>0.6962890625</v>
      </c>
      <c r="AG175" s="160">
        <v>8.836545856319999</v>
      </c>
      <c r="AS175" s="160">
        <v>3.90625E-3</v>
      </c>
      <c r="AT175" s="160">
        <v>0.6943359375</v>
      </c>
      <c r="AU175" s="160">
        <v>16.533749760696001</v>
      </c>
      <c r="BG175" s="160">
        <v>9.765625E-4</v>
      </c>
      <c r="BH175" s="160">
        <v>0.7685546875</v>
      </c>
      <c r="BI175" s="160">
        <v>18000</v>
      </c>
      <c r="BU175" s="160">
        <v>1.953125E-3</v>
      </c>
      <c r="BV175" s="160">
        <v>0.6962890625</v>
      </c>
      <c r="BW175" s="160">
        <v>33.403499999999994</v>
      </c>
    </row>
    <row r="176" spans="31:75" x14ac:dyDescent="0.2">
      <c r="AE176" s="160">
        <v>3.90625E-3</v>
      </c>
      <c r="AF176" s="160">
        <v>0.7001953125</v>
      </c>
      <c r="AG176" s="160">
        <v>8.9316808812000001</v>
      </c>
      <c r="AS176" s="160">
        <v>1.953125E-3</v>
      </c>
      <c r="AT176" s="160">
        <v>0.6962890625</v>
      </c>
      <c r="AU176" s="160">
        <v>16.580397998304001</v>
      </c>
      <c r="BG176" s="160">
        <v>1.953125E-3</v>
      </c>
      <c r="BH176" s="160">
        <v>0.7705078125</v>
      </c>
      <c r="BI176" s="160">
        <v>18000</v>
      </c>
      <c r="BU176" s="160">
        <v>3.90625E-3</v>
      </c>
      <c r="BV176" s="160">
        <v>0.7001953125</v>
      </c>
      <c r="BW176" s="160">
        <v>33.763124999999995</v>
      </c>
    </row>
    <row r="177" spans="31:75" x14ac:dyDescent="0.2">
      <c r="AE177" s="160">
        <v>1.953125E-3</v>
      </c>
      <c r="AF177" s="160">
        <v>0.7021484375</v>
      </c>
      <c r="AG177" s="160">
        <v>9.1017136576800013</v>
      </c>
      <c r="AS177" s="160">
        <v>1.5625E-2</v>
      </c>
      <c r="AT177" s="160">
        <v>0.7119140625</v>
      </c>
      <c r="AU177" s="160">
        <v>17.064276052320004</v>
      </c>
      <c r="BG177" s="160">
        <v>3.90625E-3</v>
      </c>
      <c r="BH177" s="160">
        <v>0.7744140625</v>
      </c>
      <c r="BI177" s="160">
        <v>18000</v>
      </c>
      <c r="BU177" s="160">
        <v>1.953125E-3</v>
      </c>
      <c r="BV177" s="160">
        <v>0.7021484375</v>
      </c>
      <c r="BW177" s="160">
        <v>34.405875000000002</v>
      </c>
    </row>
    <row r="178" spans="31:75" x14ac:dyDescent="0.2">
      <c r="AE178" s="160">
        <v>1.953125E-3</v>
      </c>
      <c r="AF178" s="160">
        <v>0.7041015625</v>
      </c>
      <c r="AG178" s="160">
        <v>9.186871763520001</v>
      </c>
      <c r="AS178" s="160">
        <v>1.5625E-2</v>
      </c>
      <c r="AT178" s="160">
        <v>0.7275390625</v>
      </c>
      <c r="AU178" s="160">
        <v>17.328859662240003</v>
      </c>
      <c r="BG178" s="160">
        <v>1.953125E-3</v>
      </c>
      <c r="BH178" s="160">
        <v>0.7763671875</v>
      </c>
      <c r="BI178" s="160">
        <v>18000</v>
      </c>
      <c r="BU178" s="160">
        <v>1.953125E-3</v>
      </c>
      <c r="BV178" s="160">
        <v>0.7041015625</v>
      </c>
      <c r="BW178" s="160">
        <v>34.727785714285716</v>
      </c>
    </row>
    <row r="179" spans="31:75" x14ac:dyDescent="0.2">
      <c r="AE179" s="160">
        <v>1.5625E-2</v>
      </c>
      <c r="AF179" s="160">
        <v>0.7197265625</v>
      </c>
      <c r="AG179" s="160">
        <v>9.25974295344</v>
      </c>
      <c r="AS179" s="160">
        <v>3.90625E-3</v>
      </c>
      <c r="AT179" s="160">
        <v>0.7314453125</v>
      </c>
      <c r="AU179" s="160">
        <v>17.328859662240003</v>
      </c>
      <c r="BG179" s="160">
        <v>7.8125E-3</v>
      </c>
      <c r="BH179" s="160">
        <v>0.7841796875</v>
      </c>
      <c r="BI179" s="160">
        <v>18000</v>
      </c>
      <c r="BU179" s="160">
        <v>1.5625E-2</v>
      </c>
      <c r="BV179" s="160">
        <v>0.7197265625</v>
      </c>
      <c r="BW179" s="160">
        <v>35.003249999999994</v>
      </c>
    </row>
    <row r="180" spans="31:75" x14ac:dyDescent="0.2">
      <c r="AE180" s="160">
        <v>3.90625E-3</v>
      </c>
      <c r="AF180" s="160">
        <v>0.7236328125</v>
      </c>
      <c r="AG180" s="160">
        <v>9.4478570061120006</v>
      </c>
      <c r="AS180" s="160">
        <v>9.765625E-4</v>
      </c>
      <c r="AT180" s="160">
        <v>0.732421875</v>
      </c>
      <c r="AU180" s="160">
        <v>17.566022648664003</v>
      </c>
      <c r="BG180" s="160">
        <v>7.8125E-3</v>
      </c>
      <c r="BH180" s="160">
        <v>0.7919921875</v>
      </c>
      <c r="BI180" s="160">
        <v>18000</v>
      </c>
      <c r="BU180" s="160">
        <v>3.90625E-3</v>
      </c>
      <c r="BV180" s="160">
        <v>0.7236328125</v>
      </c>
      <c r="BW180" s="160">
        <v>35.714349999999996</v>
      </c>
    </row>
    <row r="181" spans="31:75" x14ac:dyDescent="0.2">
      <c r="AE181" s="160">
        <v>1.953125E-3</v>
      </c>
      <c r="AF181" s="160">
        <v>0.7255859375</v>
      </c>
      <c r="AG181" s="160">
        <v>9.4478570061120006</v>
      </c>
      <c r="AS181" s="160">
        <v>3.90625E-3</v>
      </c>
      <c r="AT181" s="160">
        <v>0.736328125</v>
      </c>
      <c r="AU181" s="160">
        <v>17.917489854936004</v>
      </c>
      <c r="BG181" s="160">
        <v>3.90625E-3</v>
      </c>
      <c r="BH181" s="160">
        <v>0.7958984375</v>
      </c>
      <c r="BI181" s="160">
        <v>18000</v>
      </c>
      <c r="BU181" s="160">
        <v>1.953125E-3</v>
      </c>
      <c r="BV181" s="160">
        <v>0.7255859375</v>
      </c>
      <c r="BW181" s="160">
        <v>35.714349999999996</v>
      </c>
    </row>
    <row r="182" spans="31:75" x14ac:dyDescent="0.2">
      <c r="AE182" s="160">
        <v>1.953125E-3</v>
      </c>
      <c r="AF182" s="160">
        <v>0.7275390625</v>
      </c>
      <c r="AG182" s="160">
        <v>9.6082076361600013</v>
      </c>
      <c r="AS182" s="160">
        <v>3.90625E-3</v>
      </c>
      <c r="AT182" s="160">
        <v>0.740234375</v>
      </c>
      <c r="AU182" s="160">
        <v>18.189935799840001</v>
      </c>
      <c r="BG182" s="160">
        <v>7.8125E-3</v>
      </c>
      <c r="BH182" s="160">
        <v>0.8037109375</v>
      </c>
      <c r="BI182" s="160">
        <v>18000</v>
      </c>
      <c r="BU182" s="160">
        <v>1.953125E-3</v>
      </c>
      <c r="BV182" s="160">
        <v>0.7275390625</v>
      </c>
      <c r="BW182" s="160">
        <v>36.320500000000003</v>
      </c>
    </row>
    <row r="183" spans="31:75" x14ac:dyDescent="0.2">
      <c r="AE183" s="160">
        <v>9.765625E-4</v>
      </c>
      <c r="AF183" s="160">
        <v>0.728515625</v>
      </c>
      <c r="AG183" s="160">
        <v>10.00316513952</v>
      </c>
      <c r="AS183" s="160">
        <v>3.90625E-3</v>
      </c>
      <c r="AT183" s="160">
        <v>0.744140625</v>
      </c>
      <c r="AU183" s="160">
        <v>18.340088431392001</v>
      </c>
      <c r="BG183" s="160">
        <v>3.90625E-3</v>
      </c>
      <c r="BH183" s="160">
        <v>0.8076171875</v>
      </c>
      <c r="BI183" s="160">
        <v>18000</v>
      </c>
      <c r="BU183" s="160">
        <v>9.765625E-4</v>
      </c>
      <c r="BV183" s="160">
        <v>0.728515625</v>
      </c>
      <c r="BW183" s="160">
        <v>37.813499999999998</v>
      </c>
    </row>
    <row r="184" spans="31:75" x14ac:dyDescent="0.2">
      <c r="AE184" s="160">
        <v>1.5625E-2</v>
      </c>
      <c r="AF184" s="160">
        <v>0.744140625</v>
      </c>
      <c r="AG184" s="160">
        <v>10.082831215968</v>
      </c>
      <c r="AS184" s="160">
        <v>3.90625E-3</v>
      </c>
      <c r="AT184" s="160">
        <v>0.748046875</v>
      </c>
      <c r="AU184" s="160">
        <v>18.869202743328</v>
      </c>
      <c r="BG184" s="160">
        <v>3.90625E-3</v>
      </c>
      <c r="BH184" s="160">
        <v>0.8115234375</v>
      </c>
      <c r="BI184" s="160">
        <v>18000</v>
      </c>
      <c r="BU184" s="160">
        <v>1.5625E-2</v>
      </c>
      <c r="BV184" s="160">
        <v>0.744140625</v>
      </c>
      <c r="BW184" s="160">
        <v>38.114649999999997</v>
      </c>
    </row>
    <row r="185" spans="31:75" x14ac:dyDescent="0.2">
      <c r="AE185" s="160">
        <v>7.8125E-3</v>
      </c>
      <c r="AF185" s="160">
        <v>0.751953125</v>
      </c>
      <c r="AG185" s="160">
        <v>10.10850146964</v>
      </c>
      <c r="AS185" s="160">
        <v>1.5625E-2</v>
      </c>
      <c r="AT185" s="160">
        <v>0.763671875</v>
      </c>
      <c r="AU185" s="160">
        <v>18.869202743328</v>
      </c>
      <c r="BG185" s="160">
        <v>3.90625E-3</v>
      </c>
      <c r="BH185" s="160">
        <v>0.8154296875</v>
      </c>
      <c r="BI185" s="160">
        <v>18000</v>
      </c>
      <c r="BU185" s="160">
        <v>7.8125E-3</v>
      </c>
      <c r="BV185" s="160">
        <v>0.751953125</v>
      </c>
      <c r="BW185" s="160">
        <v>38.211687499999996</v>
      </c>
    </row>
    <row r="186" spans="31:75" x14ac:dyDescent="0.2">
      <c r="AE186" s="160">
        <v>9.765625E-4</v>
      </c>
      <c r="AF186" s="160">
        <v>0.7529296875</v>
      </c>
      <c r="AG186" s="160">
        <v>10.122703935120001</v>
      </c>
      <c r="AS186" s="160">
        <v>7.8125E-3</v>
      </c>
      <c r="AT186" s="160">
        <v>0.771484375</v>
      </c>
      <c r="AU186" s="160">
        <v>19.52247096324</v>
      </c>
      <c r="BG186" s="160">
        <v>1.953125E-3</v>
      </c>
      <c r="BH186" s="160">
        <v>0.8173828125</v>
      </c>
      <c r="BI186" s="160">
        <v>18000</v>
      </c>
      <c r="BU186" s="160">
        <v>9.765625E-4</v>
      </c>
      <c r="BV186" s="160">
        <v>0.7529296875</v>
      </c>
      <c r="BW186" s="160">
        <v>38.265374999999999</v>
      </c>
    </row>
    <row r="187" spans="31:75" x14ac:dyDescent="0.2">
      <c r="AE187" s="160">
        <v>1.5625E-2</v>
      </c>
      <c r="AF187" s="160">
        <v>0.7685546875</v>
      </c>
      <c r="AG187" s="160">
        <v>10.2886032816</v>
      </c>
      <c r="AS187" s="160">
        <v>3.90625E-3</v>
      </c>
      <c r="AT187" s="160">
        <v>0.775390625</v>
      </c>
      <c r="AU187" s="160">
        <v>19.806818982048</v>
      </c>
      <c r="BG187" s="160">
        <v>9.765625E-4</v>
      </c>
      <c r="BH187" s="160">
        <v>0.818359375</v>
      </c>
      <c r="BI187" s="160">
        <v>18000</v>
      </c>
      <c r="BU187" s="160">
        <v>1.5625E-2</v>
      </c>
      <c r="BV187" s="160">
        <v>0.7685546875</v>
      </c>
      <c r="BW187" s="160">
        <v>38.892499999999998</v>
      </c>
    </row>
    <row r="188" spans="31:75" x14ac:dyDescent="0.2">
      <c r="AE188" s="160">
        <v>3.90625E-3</v>
      </c>
      <c r="AF188" s="160">
        <v>0.7724609375</v>
      </c>
      <c r="AG188" s="160">
        <v>10.397315797344001</v>
      </c>
      <c r="AS188" s="160">
        <v>3.90625E-3</v>
      </c>
      <c r="AT188" s="160">
        <v>0.779296875</v>
      </c>
      <c r="AU188" s="160">
        <v>19.921505681952002</v>
      </c>
      <c r="BG188" s="160">
        <v>1.953125E-3</v>
      </c>
      <c r="BH188" s="160">
        <v>0.8203125</v>
      </c>
      <c r="BI188" s="160">
        <v>18000</v>
      </c>
      <c r="BU188" s="160">
        <v>3.90625E-3</v>
      </c>
      <c r="BV188" s="160">
        <v>0.7724609375</v>
      </c>
      <c r="BW188" s="160">
        <v>39.303449999999998</v>
      </c>
    </row>
    <row r="189" spans="31:75" x14ac:dyDescent="0.2">
      <c r="AE189" s="160">
        <v>1.953125E-3</v>
      </c>
      <c r="AF189" s="160">
        <v>0.7744140625</v>
      </c>
      <c r="AG189" s="160">
        <v>10.397315797344001</v>
      </c>
      <c r="AS189" s="160">
        <v>7.8125E-3</v>
      </c>
      <c r="AT189" s="160">
        <v>0.787109375</v>
      </c>
      <c r="AU189" s="160">
        <v>19.980824260319999</v>
      </c>
      <c r="BG189" s="160">
        <v>1.953125E-3</v>
      </c>
      <c r="BH189" s="160">
        <v>0.822265625</v>
      </c>
      <c r="BI189" s="160">
        <v>18000</v>
      </c>
      <c r="BU189" s="160">
        <v>1.953125E-3</v>
      </c>
      <c r="BV189" s="160">
        <v>0.7744140625</v>
      </c>
      <c r="BW189" s="160">
        <v>39.303449999999998</v>
      </c>
    </row>
    <row r="190" spans="31:75" x14ac:dyDescent="0.2">
      <c r="AE190" s="160">
        <v>7.8125E-3</v>
      </c>
      <c r="AF190" s="160">
        <v>0.7822265625</v>
      </c>
      <c r="AG190" s="160">
        <v>10.718017057440001</v>
      </c>
      <c r="AS190" s="160">
        <v>3.90625E-3</v>
      </c>
      <c r="AT190" s="160">
        <v>0.791015625</v>
      </c>
      <c r="AU190" s="160">
        <v>20.080255847904002</v>
      </c>
      <c r="BG190" s="160">
        <v>1.953125E-3</v>
      </c>
      <c r="BH190" s="160">
        <v>0.82421875</v>
      </c>
      <c r="BI190" s="160">
        <v>18000</v>
      </c>
      <c r="BU190" s="160">
        <v>7.8125E-3</v>
      </c>
      <c r="BV190" s="160">
        <v>0.7822265625</v>
      </c>
      <c r="BW190" s="160">
        <v>40.515749999999997</v>
      </c>
    </row>
    <row r="191" spans="31:75" x14ac:dyDescent="0.2">
      <c r="AE191" s="160">
        <v>3.90625E-3</v>
      </c>
      <c r="AF191" s="160">
        <v>0.7861328125</v>
      </c>
      <c r="AG191" s="160">
        <v>10.803033445680001</v>
      </c>
      <c r="AS191" s="160">
        <v>9.765625E-4</v>
      </c>
      <c r="AT191" s="160">
        <v>0.7919921875</v>
      </c>
      <c r="AU191" s="160">
        <v>20.177236035936001</v>
      </c>
      <c r="BG191" s="160">
        <v>9.765625E-4</v>
      </c>
      <c r="BH191" s="160">
        <v>0.8251953125</v>
      </c>
      <c r="BI191" s="160">
        <v>18000</v>
      </c>
      <c r="BU191" s="160">
        <v>3.90625E-3</v>
      </c>
      <c r="BV191" s="160">
        <v>0.7861328125</v>
      </c>
      <c r="BW191" s="160">
        <v>40.837125</v>
      </c>
    </row>
    <row r="192" spans="31:75" x14ac:dyDescent="0.2">
      <c r="AE192" s="160">
        <v>3.90625E-3</v>
      </c>
      <c r="AF192" s="160">
        <v>0.7900390625</v>
      </c>
      <c r="AG192" s="160">
        <v>10.922056389215999</v>
      </c>
      <c r="AS192" s="160">
        <v>3.90625E-3</v>
      </c>
      <c r="AT192" s="160">
        <v>0.7958984375</v>
      </c>
      <c r="AU192" s="160">
        <v>20.177236035936001</v>
      </c>
      <c r="BG192" s="160">
        <v>1.953125E-3</v>
      </c>
      <c r="BH192" s="160">
        <v>0.8271484375</v>
      </c>
      <c r="BI192" s="160">
        <v>18000</v>
      </c>
      <c r="BU192" s="160">
        <v>3.90625E-3</v>
      </c>
      <c r="BV192" s="160">
        <v>0.7900390625</v>
      </c>
      <c r="BW192" s="160">
        <v>41.287049999999994</v>
      </c>
    </row>
    <row r="193" spans="31:75" x14ac:dyDescent="0.2">
      <c r="AE193" s="160">
        <v>3.90625E-3</v>
      </c>
      <c r="AF193" s="160">
        <v>0.7939453125</v>
      </c>
      <c r="AG193" s="160">
        <v>11.144955499200002</v>
      </c>
      <c r="AS193" s="160">
        <v>1.953125E-3</v>
      </c>
      <c r="AT193" s="160">
        <v>0.7978515625</v>
      </c>
      <c r="AU193" s="160">
        <v>20.245407870240001</v>
      </c>
      <c r="BG193" s="160">
        <v>9.765625E-4</v>
      </c>
      <c r="BH193" s="160">
        <v>0.828125</v>
      </c>
      <c r="BI193" s="160">
        <v>18000</v>
      </c>
      <c r="BU193" s="160">
        <v>3.90625E-3</v>
      </c>
      <c r="BV193" s="160">
        <v>0.7939453125</v>
      </c>
      <c r="BW193" s="160">
        <v>42.129642857142862</v>
      </c>
    </row>
    <row r="194" spans="31:75" x14ac:dyDescent="0.2">
      <c r="AE194" s="160">
        <v>7.8125E-3</v>
      </c>
      <c r="AF194" s="160">
        <v>0.8017578125</v>
      </c>
      <c r="AG194" s="160">
        <v>11.209575575520001</v>
      </c>
      <c r="AS194" s="160">
        <v>7.8125E-3</v>
      </c>
      <c r="AT194" s="160">
        <v>0.8056640625</v>
      </c>
      <c r="AU194" s="160">
        <v>20.245407870240001</v>
      </c>
      <c r="BG194" s="160">
        <v>9.765625E-4</v>
      </c>
      <c r="BH194" s="160">
        <v>0.8291015625</v>
      </c>
      <c r="BI194" s="160">
        <v>18000</v>
      </c>
      <c r="BU194" s="160">
        <v>7.8125E-3</v>
      </c>
      <c r="BV194" s="160">
        <v>0.8017578125</v>
      </c>
      <c r="BW194" s="160">
        <v>42.373916666666666</v>
      </c>
    </row>
    <row r="195" spans="31:75" x14ac:dyDescent="0.2">
      <c r="AE195" s="160">
        <v>3.90625E-3</v>
      </c>
      <c r="AF195" s="160">
        <v>0.8056640625</v>
      </c>
      <c r="AG195" s="160">
        <v>11.552573108160001</v>
      </c>
      <c r="AS195" s="160">
        <v>1.953125E-3</v>
      </c>
      <c r="AT195" s="160">
        <v>0.8076171875</v>
      </c>
      <c r="AU195" s="160">
        <v>20.527059790440003</v>
      </c>
      <c r="BG195" s="160">
        <v>3.90625E-3</v>
      </c>
      <c r="BH195" s="160">
        <v>0.8330078125</v>
      </c>
      <c r="BI195" s="160">
        <v>18000</v>
      </c>
      <c r="BU195" s="160">
        <v>3.90625E-3</v>
      </c>
      <c r="BV195" s="160">
        <v>0.8056640625</v>
      </c>
      <c r="BW195" s="160">
        <v>43.670499999999997</v>
      </c>
    </row>
    <row r="196" spans="31:75" x14ac:dyDescent="0.2">
      <c r="AE196" s="160">
        <v>7.8125E-3</v>
      </c>
      <c r="AF196" s="160">
        <v>0.8134765625</v>
      </c>
      <c r="AG196" s="160">
        <v>11.670729684768</v>
      </c>
      <c r="AS196" s="160">
        <v>1.953125E-3</v>
      </c>
      <c r="AT196" s="160">
        <v>0.8095703125</v>
      </c>
      <c r="AU196" s="160">
        <v>20.979865473336002</v>
      </c>
      <c r="BG196" s="160">
        <v>1.953125E-3</v>
      </c>
      <c r="BH196" s="160">
        <v>0.8349609375</v>
      </c>
      <c r="BI196" s="160">
        <v>18000</v>
      </c>
      <c r="BU196" s="160">
        <v>7.8125E-3</v>
      </c>
      <c r="BV196" s="160">
        <v>0.8134765625</v>
      </c>
      <c r="BW196" s="160">
        <v>44.117149999999995</v>
      </c>
    </row>
    <row r="197" spans="31:75" x14ac:dyDescent="0.2">
      <c r="AE197" s="160">
        <v>1.953125E-3</v>
      </c>
      <c r="AF197" s="160">
        <v>0.8154296875</v>
      </c>
      <c r="AG197" s="160">
        <v>11.770054354296001</v>
      </c>
      <c r="AS197" s="160">
        <v>9.765625E-4</v>
      </c>
      <c r="AT197" s="160">
        <v>0.810546875</v>
      </c>
      <c r="AU197" s="160">
        <v>21.113547213024003</v>
      </c>
      <c r="BG197" s="160">
        <v>3.90625E-3</v>
      </c>
      <c r="BH197" s="160">
        <v>0.8388671875</v>
      </c>
      <c r="BI197" s="160">
        <v>18000</v>
      </c>
      <c r="BU197" s="160">
        <v>1.953125E-3</v>
      </c>
      <c r="BV197" s="160">
        <v>0.8154296875</v>
      </c>
      <c r="BW197" s="160">
        <v>44.4926125</v>
      </c>
    </row>
    <row r="198" spans="31:75" x14ac:dyDescent="0.2">
      <c r="AE198" s="160">
        <v>3.90625E-3</v>
      </c>
      <c r="AF198" s="160">
        <v>0.8193359375</v>
      </c>
      <c r="AG198" s="160">
        <v>11.809821257640001</v>
      </c>
      <c r="AS198" s="160">
        <v>7.8125E-3</v>
      </c>
      <c r="AT198" s="160">
        <v>0.818359375</v>
      </c>
      <c r="AU198" s="160">
        <v>21.49310851632</v>
      </c>
      <c r="BG198" s="160">
        <v>1.953125E-3</v>
      </c>
      <c r="BH198" s="160">
        <v>0.8408203125</v>
      </c>
      <c r="BI198" s="160">
        <v>18000</v>
      </c>
      <c r="BU198" s="160">
        <v>3.90625E-3</v>
      </c>
      <c r="BV198" s="160">
        <v>0.8193359375</v>
      </c>
      <c r="BW198" s="160">
        <v>44.642937500000002</v>
      </c>
    </row>
    <row r="199" spans="31:75" x14ac:dyDescent="0.2">
      <c r="AE199" s="160">
        <v>7.8125E-3</v>
      </c>
      <c r="AF199" s="160">
        <v>0.8271484375</v>
      </c>
      <c r="AG199" s="160">
        <v>11.9089078416</v>
      </c>
      <c r="AS199" s="160">
        <v>7.8125E-3</v>
      </c>
      <c r="AT199" s="160">
        <v>0.826171875</v>
      </c>
      <c r="AU199" s="160">
        <v>21.939783495840004</v>
      </c>
      <c r="BG199" s="160">
        <v>1.953125E-3</v>
      </c>
      <c r="BH199" s="160">
        <v>0.8427734375</v>
      </c>
      <c r="BI199" s="160">
        <v>18000</v>
      </c>
      <c r="BU199" s="160">
        <v>7.8125E-3</v>
      </c>
      <c r="BV199" s="160">
        <v>0.8271484375</v>
      </c>
      <c r="BW199" s="160">
        <v>45.017499999999991</v>
      </c>
    </row>
    <row r="200" spans="31:75" x14ac:dyDescent="0.2">
      <c r="AE200" s="160">
        <v>1.953125E-3</v>
      </c>
      <c r="AF200" s="160">
        <v>0.8291015625</v>
      </c>
      <c r="AG200" s="160">
        <v>12.010259545200002</v>
      </c>
      <c r="AS200" s="160">
        <v>7.8125E-3</v>
      </c>
      <c r="AT200" s="160">
        <v>0.833984375</v>
      </c>
      <c r="AU200" s="160">
        <v>22.044999680928001</v>
      </c>
      <c r="BG200" s="160">
        <v>1.953125E-3</v>
      </c>
      <c r="BH200" s="160">
        <v>0.8447265625</v>
      </c>
      <c r="BI200" s="160">
        <v>18000</v>
      </c>
      <c r="BU200" s="160">
        <v>1.953125E-3</v>
      </c>
      <c r="BV200" s="160">
        <v>0.8291015625</v>
      </c>
      <c r="BW200" s="160">
        <v>45.400625000000005</v>
      </c>
    </row>
    <row r="201" spans="31:75" x14ac:dyDescent="0.2">
      <c r="AE201" s="160">
        <v>3.90625E-3</v>
      </c>
      <c r="AF201" s="160">
        <v>0.8330078125</v>
      </c>
      <c r="AG201" s="160">
        <v>12.135618210240001</v>
      </c>
      <c r="AS201" s="160">
        <v>1.953125E-3</v>
      </c>
      <c r="AT201" s="160">
        <v>0.8359375</v>
      </c>
      <c r="AU201" s="160">
        <v>22.044999680928001</v>
      </c>
      <c r="BG201" s="160">
        <v>9.765625E-4</v>
      </c>
      <c r="BH201" s="160">
        <v>0.845703125</v>
      </c>
      <c r="BI201" s="160">
        <v>18000</v>
      </c>
      <c r="BU201" s="160">
        <v>3.90625E-3</v>
      </c>
      <c r="BV201" s="160">
        <v>0.8330078125</v>
      </c>
      <c r="BW201" s="160">
        <v>45.874499999999998</v>
      </c>
    </row>
    <row r="202" spans="31:75" x14ac:dyDescent="0.2">
      <c r="AE202" s="160">
        <v>9.765625E-4</v>
      </c>
      <c r="AF202" s="160">
        <v>0.833984375</v>
      </c>
      <c r="AG202" s="160">
        <v>12.147244722144002</v>
      </c>
      <c r="AS202" s="160">
        <v>1.953125E-3</v>
      </c>
      <c r="AT202" s="160">
        <v>0.837890625</v>
      </c>
      <c r="AU202" s="160">
        <v>22.567763942136001</v>
      </c>
      <c r="BG202" s="160">
        <v>1.953125E-3</v>
      </c>
      <c r="BH202" s="160">
        <v>0.84765625</v>
      </c>
      <c r="BI202" s="160">
        <v>18000</v>
      </c>
      <c r="BU202" s="160">
        <v>9.765625E-4</v>
      </c>
      <c r="BV202" s="160">
        <v>0.833984375</v>
      </c>
      <c r="BW202" s="160">
        <v>45.91845</v>
      </c>
    </row>
    <row r="203" spans="31:75" x14ac:dyDescent="0.2">
      <c r="AE203" s="160">
        <v>1.953125E-3</v>
      </c>
      <c r="AF203" s="160">
        <v>0.8359375</v>
      </c>
      <c r="AG203" s="160">
        <v>12.147244722144002</v>
      </c>
      <c r="AS203" s="160">
        <v>3.90625E-3</v>
      </c>
      <c r="AT203" s="160">
        <v>0.841796875</v>
      </c>
      <c r="AU203" s="160">
        <v>22.925110539240002</v>
      </c>
      <c r="BG203" s="160">
        <v>3.90625E-3</v>
      </c>
      <c r="BH203" s="160">
        <v>0.8515625</v>
      </c>
      <c r="BI203" s="160">
        <v>18000</v>
      </c>
      <c r="BU203" s="160">
        <v>1.953125E-3</v>
      </c>
      <c r="BV203" s="160">
        <v>0.8359375</v>
      </c>
      <c r="BW203" s="160">
        <v>45.91845</v>
      </c>
    </row>
    <row r="204" spans="31:75" x14ac:dyDescent="0.2">
      <c r="AE204" s="160">
        <v>9.765625E-4</v>
      </c>
      <c r="AF204" s="160">
        <v>0.8369140625</v>
      </c>
      <c r="AG204" s="160">
        <v>12.353409817920001</v>
      </c>
      <c r="AS204" s="160">
        <v>1.953125E-3</v>
      </c>
      <c r="AT204" s="160">
        <v>0.84375</v>
      </c>
      <c r="AU204" s="160">
        <v>23.421363531552004</v>
      </c>
      <c r="BG204" s="160">
        <v>3.90625E-3</v>
      </c>
      <c r="BH204" s="160">
        <v>0.85546875</v>
      </c>
      <c r="BI204" s="160">
        <v>18000</v>
      </c>
      <c r="BU204" s="160">
        <v>9.765625E-4</v>
      </c>
      <c r="BV204" s="160">
        <v>0.8369140625</v>
      </c>
      <c r="BW204" s="160">
        <v>46.697785714285715</v>
      </c>
    </row>
    <row r="205" spans="31:75" x14ac:dyDescent="0.2">
      <c r="AE205" s="160">
        <v>1.953125E-3</v>
      </c>
      <c r="AF205" s="160">
        <v>0.8388671875</v>
      </c>
      <c r="AG205" s="160">
        <v>12.504353233680002</v>
      </c>
      <c r="AS205" s="160">
        <v>1.953125E-3</v>
      </c>
      <c r="AT205" s="160">
        <v>0.845703125</v>
      </c>
      <c r="AU205" s="160">
        <v>23.580113697504004</v>
      </c>
      <c r="BG205" s="160">
        <v>3.90625E-3</v>
      </c>
      <c r="BH205" s="160">
        <v>0.859375</v>
      </c>
      <c r="BI205" s="160">
        <v>18000</v>
      </c>
      <c r="BU205" s="160">
        <v>1.953125E-3</v>
      </c>
      <c r="BV205" s="160">
        <v>0.8388671875</v>
      </c>
      <c r="BW205" s="160">
        <v>47.268374999999999</v>
      </c>
    </row>
    <row r="206" spans="31:75" x14ac:dyDescent="0.2">
      <c r="AE206" s="160">
        <v>7.8125E-3</v>
      </c>
      <c r="AF206" s="160">
        <v>0.8466796875</v>
      </c>
      <c r="AG206" s="160">
        <v>12.963640134816</v>
      </c>
      <c r="AS206" s="160">
        <v>7.8125E-3</v>
      </c>
      <c r="AT206" s="160">
        <v>0.853515625</v>
      </c>
      <c r="AU206" s="160">
        <v>23.889986473248001</v>
      </c>
      <c r="BG206" s="160">
        <v>7.8125E-3</v>
      </c>
      <c r="BH206" s="160">
        <v>0.8671875</v>
      </c>
      <c r="BI206" s="160">
        <v>18000</v>
      </c>
      <c r="BU206" s="160">
        <v>7.8125E-3</v>
      </c>
      <c r="BV206" s="160">
        <v>0.8466796875</v>
      </c>
      <c r="BW206" s="160">
        <v>49.004549999999995</v>
      </c>
    </row>
    <row r="207" spans="31:75" x14ac:dyDescent="0.2">
      <c r="AE207" s="160">
        <v>7.8125E-3</v>
      </c>
      <c r="AF207" s="160">
        <v>0.8544921875</v>
      </c>
      <c r="AG207" s="160">
        <v>13.228204219200002</v>
      </c>
      <c r="AS207" s="160">
        <v>1.953125E-3</v>
      </c>
      <c r="AT207" s="160">
        <v>0.85546875</v>
      </c>
      <c r="AU207" s="160">
        <v>24.260403527136003</v>
      </c>
      <c r="BG207" s="160">
        <v>1.5625E-2</v>
      </c>
      <c r="BH207" s="160">
        <v>0.8828125</v>
      </c>
      <c r="BI207" s="160">
        <v>18000</v>
      </c>
      <c r="BU207" s="160">
        <v>7.8125E-3</v>
      </c>
      <c r="BV207" s="160">
        <v>0.8544921875</v>
      </c>
      <c r="BW207" s="160">
        <v>50.004642857142862</v>
      </c>
    </row>
    <row r="208" spans="31:75" x14ac:dyDescent="0.2">
      <c r="AE208" s="160">
        <v>1.5625E-2</v>
      </c>
      <c r="AF208" s="160">
        <v>0.8701171875</v>
      </c>
      <c r="AG208" s="160">
        <v>13.47800195952</v>
      </c>
      <c r="AS208" s="160">
        <v>7.8125E-3</v>
      </c>
      <c r="AT208" s="160">
        <v>0.86328125</v>
      </c>
      <c r="AU208" s="160">
        <v>24.260403527136003</v>
      </c>
      <c r="BG208" s="160">
        <v>7.8125E-3</v>
      </c>
      <c r="BH208" s="160">
        <v>0.890625</v>
      </c>
      <c r="BI208" s="160">
        <v>18000</v>
      </c>
      <c r="BU208" s="160">
        <v>1.5625E-2</v>
      </c>
      <c r="BV208" s="160">
        <v>0.8701171875</v>
      </c>
      <c r="BW208" s="160">
        <v>50.948916666666662</v>
      </c>
    </row>
    <row r="209" spans="31:75" x14ac:dyDescent="0.2">
      <c r="AE209" s="160">
        <v>1.953125E-3</v>
      </c>
      <c r="AF209" s="160">
        <v>0.8720703125</v>
      </c>
      <c r="AG209" s="160">
        <v>13.49693858016</v>
      </c>
      <c r="AS209" s="160">
        <v>3.90625E-3</v>
      </c>
      <c r="AT209" s="160">
        <v>0.8671875</v>
      </c>
      <c r="AU209" s="160">
        <v>24.901882102440002</v>
      </c>
      <c r="BG209" s="160">
        <v>3.90625E-3</v>
      </c>
      <c r="BH209" s="160">
        <v>0.89453125</v>
      </c>
      <c r="BI209" s="160">
        <v>18000</v>
      </c>
      <c r="BU209" s="160">
        <v>1.953125E-3</v>
      </c>
      <c r="BV209" s="160">
        <v>0.8720703125</v>
      </c>
      <c r="BW209" s="160">
        <v>51.020499999999998</v>
      </c>
    </row>
    <row r="210" spans="31:75" x14ac:dyDescent="0.2">
      <c r="AE210" s="160">
        <v>3.90625E-3</v>
      </c>
      <c r="AF210" s="160">
        <v>0.8759765625</v>
      </c>
      <c r="AG210" s="160">
        <v>14.151902057496001</v>
      </c>
      <c r="AS210" s="160">
        <v>1.953125E-3</v>
      </c>
      <c r="AT210" s="160">
        <v>0.869140625</v>
      </c>
      <c r="AU210" s="160">
        <v>25.465910119776005</v>
      </c>
      <c r="BG210" s="160">
        <v>3.90625E-3</v>
      </c>
      <c r="BH210" s="160">
        <v>0.8984375</v>
      </c>
      <c r="BI210" s="160">
        <v>18000</v>
      </c>
      <c r="BU210" s="160">
        <v>3.90625E-3</v>
      </c>
      <c r="BV210" s="160">
        <v>0.8759765625</v>
      </c>
      <c r="BW210" s="160">
        <v>53.496362499999996</v>
      </c>
    </row>
    <row r="211" spans="31:75" x14ac:dyDescent="0.2">
      <c r="AE211" s="160">
        <v>7.8125E-3</v>
      </c>
      <c r="AF211" s="160">
        <v>0.8837890625</v>
      </c>
      <c r="AG211" s="160">
        <v>14.40404459424</v>
      </c>
      <c r="AS211" s="160">
        <v>1.953125E-3</v>
      </c>
      <c r="AT211" s="160">
        <v>0.87109375</v>
      </c>
      <c r="AU211" s="160">
        <v>25.613364448224001</v>
      </c>
      <c r="BG211" s="160">
        <v>3.90625E-3</v>
      </c>
      <c r="BH211" s="160">
        <v>0.90234375</v>
      </c>
      <c r="BI211" s="160">
        <v>18000</v>
      </c>
      <c r="BU211" s="160">
        <v>7.8125E-3</v>
      </c>
      <c r="BV211" s="160">
        <v>0.8837890625</v>
      </c>
      <c r="BW211" s="160">
        <v>54.449499999999993</v>
      </c>
    </row>
    <row r="212" spans="31:75" x14ac:dyDescent="0.2">
      <c r="AE212" s="160">
        <v>3.90625E-3</v>
      </c>
      <c r="AF212" s="160">
        <v>0.8876953125</v>
      </c>
      <c r="AG212" s="160">
        <v>14.412311454240001</v>
      </c>
      <c r="AS212" s="160">
        <v>3.90625E-3</v>
      </c>
      <c r="AT212" s="160">
        <v>0.875</v>
      </c>
      <c r="AU212" s="160">
        <v>25.68963119184</v>
      </c>
      <c r="BG212" s="160">
        <v>1.953125E-3</v>
      </c>
      <c r="BH212" s="160">
        <v>0.904296875</v>
      </c>
      <c r="BI212" s="160">
        <v>18000</v>
      </c>
      <c r="BU212" s="160">
        <v>3.90625E-3</v>
      </c>
      <c r="BV212" s="160">
        <v>0.8876953125</v>
      </c>
      <c r="BW212" s="160">
        <v>54.48075</v>
      </c>
    </row>
    <row r="213" spans="31:75" x14ac:dyDescent="0.2">
      <c r="AE213" s="160">
        <v>3.90625E-3</v>
      </c>
      <c r="AF213" s="160">
        <v>0.8916015625</v>
      </c>
      <c r="AG213" s="160">
        <v>14.4407163852</v>
      </c>
      <c r="AS213" s="160">
        <v>1.5625E-2</v>
      </c>
      <c r="AT213" s="160">
        <v>0.890625</v>
      </c>
      <c r="AU213" s="160">
        <v>26.029961284320002</v>
      </c>
      <c r="BG213" s="160">
        <v>9.765625E-4</v>
      </c>
      <c r="BH213" s="160">
        <v>0.9052734375</v>
      </c>
      <c r="BI213" s="160">
        <v>18000</v>
      </c>
      <c r="BU213" s="160">
        <v>3.90625E-3</v>
      </c>
      <c r="BV213" s="160">
        <v>0.8916015625</v>
      </c>
      <c r="BW213" s="160">
        <v>54.588124999999991</v>
      </c>
    </row>
    <row r="214" spans="31:75" x14ac:dyDescent="0.2">
      <c r="AE214" s="160">
        <v>1.953125E-3</v>
      </c>
      <c r="AF214" s="160">
        <v>0.8935546875</v>
      </c>
      <c r="AG214" s="160">
        <v>14.853308281920002</v>
      </c>
      <c r="AS214" s="160">
        <v>3.90625E-3</v>
      </c>
      <c r="AT214" s="160">
        <v>0.89453125</v>
      </c>
      <c r="AU214" s="160">
        <v>27.331459348536001</v>
      </c>
      <c r="BG214" s="160">
        <v>1.953125E-3</v>
      </c>
      <c r="BH214" s="160">
        <v>0.9072265625</v>
      </c>
      <c r="BI214" s="160">
        <v>18000</v>
      </c>
      <c r="BU214" s="160">
        <v>1.953125E-3</v>
      </c>
      <c r="BV214" s="160">
        <v>0.8935546875</v>
      </c>
      <c r="BW214" s="160">
        <v>56.147785714285718</v>
      </c>
    </row>
    <row r="215" spans="31:75" x14ac:dyDescent="0.2">
      <c r="AE215" s="160">
        <v>3.90625E-3</v>
      </c>
      <c r="AF215" s="160">
        <v>0.8974609375</v>
      </c>
      <c r="AG215" s="160">
        <v>15.005223880416001</v>
      </c>
      <c r="AS215" s="160">
        <v>3.90625E-3</v>
      </c>
      <c r="AT215" s="160">
        <v>0.8984375</v>
      </c>
      <c r="AU215" s="160">
        <v>27.369413053919999</v>
      </c>
      <c r="BG215" s="160">
        <v>1.953125E-3</v>
      </c>
      <c r="BH215" s="160">
        <v>0.9091796875</v>
      </c>
      <c r="BI215" s="160">
        <v>18000</v>
      </c>
      <c r="BU215" s="160">
        <v>3.90625E-3</v>
      </c>
      <c r="BV215" s="160">
        <v>0.8974609375</v>
      </c>
      <c r="BW215" s="160">
        <v>56.722049999999996</v>
      </c>
    </row>
    <row r="216" spans="31:75" x14ac:dyDescent="0.2">
      <c r="AE216" s="160">
        <v>3.90625E-3</v>
      </c>
      <c r="AF216" s="160">
        <v>0.9013671875</v>
      </c>
      <c r="AG216" s="160">
        <v>15.311452939200002</v>
      </c>
      <c r="AS216" s="160">
        <v>3.90625E-3</v>
      </c>
      <c r="AT216" s="160">
        <v>0.90234375</v>
      </c>
      <c r="AU216" s="160">
        <v>27.633996663840001</v>
      </c>
      <c r="BG216" s="160">
        <v>1.953125E-3</v>
      </c>
      <c r="BH216" s="160">
        <v>0.9111328125</v>
      </c>
      <c r="BI216" s="160">
        <v>18000</v>
      </c>
      <c r="BU216" s="160">
        <v>3.90625E-3</v>
      </c>
      <c r="BV216" s="160">
        <v>0.9013671875</v>
      </c>
      <c r="BW216" s="160">
        <v>57.879642857142862</v>
      </c>
    </row>
    <row r="217" spans="31:75" x14ac:dyDescent="0.2">
      <c r="AE217" s="160">
        <v>1.953125E-3</v>
      </c>
      <c r="AF217" s="160">
        <v>0.9033203125</v>
      </c>
      <c r="AG217" s="160">
        <v>15.602937698880002</v>
      </c>
      <c r="AS217" s="160">
        <v>3.90625E-3</v>
      </c>
      <c r="AT217" s="160">
        <v>0.90625</v>
      </c>
      <c r="AU217" s="160">
        <v>27.973153964448002</v>
      </c>
      <c r="BG217" s="160">
        <v>3.90625E-3</v>
      </c>
      <c r="BH217" s="160">
        <v>0.9150390625</v>
      </c>
      <c r="BI217" s="160">
        <v>18000</v>
      </c>
      <c r="BU217" s="160">
        <v>1.953125E-3</v>
      </c>
      <c r="BV217" s="160">
        <v>0.9033203125</v>
      </c>
      <c r="BW217" s="160">
        <v>58.981499999999997</v>
      </c>
    </row>
    <row r="218" spans="31:75" x14ac:dyDescent="0.2">
      <c r="AE218" s="160">
        <v>3.90625E-3</v>
      </c>
      <c r="AF218" s="160">
        <v>0.9072265625</v>
      </c>
      <c r="AG218" s="160">
        <v>15.693405805728</v>
      </c>
      <c r="AS218" s="160">
        <v>3.90625E-3</v>
      </c>
      <c r="AT218" s="160">
        <v>0.91015625</v>
      </c>
      <c r="AU218" s="160">
        <v>28.343571018336004</v>
      </c>
      <c r="BG218" s="160">
        <v>1.953125E-3</v>
      </c>
      <c r="BH218" s="160">
        <v>0.9169921875</v>
      </c>
      <c r="BI218" s="160">
        <v>18000</v>
      </c>
      <c r="BU218" s="160">
        <v>3.90625E-3</v>
      </c>
      <c r="BV218" s="160">
        <v>0.9072265625</v>
      </c>
      <c r="BW218" s="160">
        <v>59.323483333333328</v>
      </c>
    </row>
    <row r="219" spans="31:75" x14ac:dyDescent="0.2">
      <c r="AE219" s="160">
        <v>7.8125E-3</v>
      </c>
      <c r="AF219" s="160">
        <v>0.9150390625</v>
      </c>
      <c r="AG219" s="160">
        <v>15.74642834352</v>
      </c>
      <c r="AS219" s="160">
        <v>9.765625E-4</v>
      </c>
      <c r="AT219" s="160">
        <v>0.9111328125</v>
      </c>
      <c r="AU219" s="160">
        <v>28.343571018336004</v>
      </c>
      <c r="BG219" s="160">
        <v>3.90625E-3</v>
      </c>
      <c r="BH219" s="160">
        <v>0.9208984375</v>
      </c>
      <c r="BI219" s="160">
        <v>18000</v>
      </c>
      <c r="BU219" s="160">
        <v>7.8125E-3</v>
      </c>
      <c r="BV219" s="160">
        <v>0.9150390625</v>
      </c>
      <c r="BW219" s="160">
        <v>59.523916666666658</v>
      </c>
    </row>
    <row r="220" spans="31:75" x14ac:dyDescent="0.2">
      <c r="AE220" s="160">
        <v>3.90625E-3</v>
      </c>
      <c r="AF220" s="160">
        <v>0.9189453125</v>
      </c>
      <c r="AG220" s="160">
        <v>16.0136793936</v>
      </c>
      <c r="AS220" s="160">
        <v>9.765625E-4</v>
      </c>
      <c r="AT220" s="160">
        <v>0.912109375</v>
      </c>
      <c r="AU220" s="160">
        <v>28.737883706616003</v>
      </c>
      <c r="BG220" s="160">
        <v>9.765625E-4</v>
      </c>
      <c r="BH220" s="160">
        <v>0.921875</v>
      </c>
      <c r="BI220" s="160">
        <v>18000</v>
      </c>
      <c r="BU220" s="160">
        <v>3.90625E-3</v>
      </c>
      <c r="BV220" s="160">
        <v>0.9189453125</v>
      </c>
      <c r="BW220" s="160">
        <v>60.534166666666664</v>
      </c>
    </row>
    <row r="221" spans="31:75" x14ac:dyDescent="0.2">
      <c r="AE221" s="160">
        <v>1.953125E-3</v>
      </c>
      <c r="AF221" s="160">
        <v>0.9208984375</v>
      </c>
      <c r="AG221" s="160">
        <v>16.533749760696001</v>
      </c>
      <c r="AS221" s="160">
        <v>1.953125E-3</v>
      </c>
      <c r="AT221" s="160">
        <v>0.9140625</v>
      </c>
      <c r="AU221" s="160">
        <v>29.276704414440001</v>
      </c>
      <c r="BG221" s="160">
        <v>9.765625E-4</v>
      </c>
      <c r="BH221" s="160">
        <v>0.9228515625</v>
      </c>
      <c r="BI221" s="160">
        <v>18000</v>
      </c>
      <c r="BU221" s="160">
        <v>1.953125E-3</v>
      </c>
      <c r="BV221" s="160">
        <v>0.9208984375</v>
      </c>
      <c r="BW221" s="160">
        <v>62.500112499999993</v>
      </c>
    </row>
    <row r="222" spans="31:75" x14ac:dyDescent="0.2">
      <c r="AE222" s="160">
        <v>3.90625E-3</v>
      </c>
      <c r="AF222" s="160">
        <v>0.9248046875</v>
      </c>
      <c r="AG222" s="160">
        <v>16.67247097824</v>
      </c>
      <c r="AS222" s="160">
        <v>3.90625E-3</v>
      </c>
      <c r="AT222" s="160">
        <v>0.91796875</v>
      </c>
      <c r="AU222" s="160">
        <v>30.090351922848001</v>
      </c>
      <c r="BG222" s="160">
        <v>1.953125E-3</v>
      </c>
      <c r="BH222" s="160">
        <v>0.9248046875</v>
      </c>
      <c r="BI222" s="160">
        <v>18000</v>
      </c>
      <c r="BU222" s="160">
        <v>3.90625E-3</v>
      </c>
      <c r="BV222" s="160">
        <v>0.9248046875</v>
      </c>
      <c r="BW222" s="160">
        <v>63.024499999999989</v>
      </c>
    </row>
    <row r="223" spans="31:75" x14ac:dyDescent="0.2">
      <c r="AE223" s="160">
        <v>9.765625E-4</v>
      </c>
      <c r="AF223" s="160">
        <v>0.92578125</v>
      </c>
      <c r="AG223" s="160">
        <v>16.814363363280002</v>
      </c>
      <c r="AS223" s="160">
        <v>9.765625E-4</v>
      </c>
      <c r="AT223" s="160">
        <v>0.9189453125</v>
      </c>
      <c r="AU223" s="160">
        <v>30.113181683424003</v>
      </c>
      <c r="BG223" s="160">
        <v>9.765625E-4</v>
      </c>
      <c r="BH223" s="160">
        <v>0.92578125</v>
      </c>
      <c r="BI223" s="160">
        <v>18000</v>
      </c>
      <c r="BU223" s="160">
        <v>9.765625E-4</v>
      </c>
      <c r="BV223" s="160">
        <v>0.92578125</v>
      </c>
      <c r="BW223" s="160">
        <v>63.560875000000003</v>
      </c>
    </row>
    <row r="224" spans="31:75" x14ac:dyDescent="0.2">
      <c r="AE224" s="160">
        <v>1.953125E-3</v>
      </c>
      <c r="AF224" s="160">
        <v>0.927734375</v>
      </c>
      <c r="AG224" s="160">
        <v>16.8711732252</v>
      </c>
      <c r="AS224" s="160">
        <v>7.8125E-3</v>
      </c>
      <c r="AT224" s="160">
        <v>0.9267578125</v>
      </c>
      <c r="AU224" s="160">
        <v>30.566814052319998</v>
      </c>
      <c r="BG224" s="160">
        <v>1.953125E-3</v>
      </c>
      <c r="BH224" s="160">
        <v>0.927734375</v>
      </c>
      <c r="BI224" s="160">
        <v>18000</v>
      </c>
      <c r="BU224" s="160">
        <v>1.953125E-3</v>
      </c>
      <c r="BV224" s="160">
        <v>0.927734375</v>
      </c>
      <c r="BW224" s="160">
        <v>63.775624999999991</v>
      </c>
    </row>
    <row r="225" spans="31:75" x14ac:dyDescent="0.2">
      <c r="AE225" s="160">
        <v>7.8125E-3</v>
      </c>
      <c r="AF225" s="160">
        <v>0.935546875</v>
      </c>
      <c r="AG225" s="160">
        <v>17.328859662240003</v>
      </c>
      <c r="AS225" s="160">
        <v>3.90625E-3</v>
      </c>
      <c r="AT225" s="160">
        <v>0.9306640625</v>
      </c>
      <c r="AU225" s="160">
        <v>30.715696894176006</v>
      </c>
      <c r="BG225" s="160">
        <v>1.953125E-3</v>
      </c>
      <c r="BH225" s="160">
        <v>0.9296875</v>
      </c>
      <c r="BI225" s="160">
        <v>18000</v>
      </c>
      <c r="BU225" s="160">
        <v>7.8125E-3</v>
      </c>
      <c r="BV225" s="160">
        <v>0.935546875</v>
      </c>
      <c r="BW225" s="160">
        <v>65.505750000000006</v>
      </c>
    </row>
    <row r="226" spans="31:75" x14ac:dyDescent="0.2">
      <c r="AE226" s="160">
        <v>9.765625E-4</v>
      </c>
      <c r="AF226" s="160">
        <v>0.9365234375</v>
      </c>
      <c r="AG226" s="160">
        <v>17.353206745920001</v>
      </c>
      <c r="AS226" s="160">
        <v>1.953125E-3</v>
      </c>
      <c r="AT226" s="160">
        <v>0.9326171875</v>
      </c>
      <c r="AU226" s="160">
        <v>32.095154754936004</v>
      </c>
      <c r="BG226" s="160">
        <v>1.953125E-3</v>
      </c>
      <c r="BH226" s="160">
        <v>0.931640625</v>
      </c>
      <c r="BI226" s="160">
        <v>18000</v>
      </c>
      <c r="BU226" s="160">
        <v>9.765625E-4</v>
      </c>
      <c r="BV226" s="160">
        <v>0.9365234375</v>
      </c>
      <c r="BW226" s="160">
        <v>65.597785714285706</v>
      </c>
    </row>
    <row r="227" spans="31:75" x14ac:dyDescent="0.2">
      <c r="AE227" s="160">
        <v>3.90625E-3</v>
      </c>
      <c r="AF227" s="160">
        <v>0.9404296875</v>
      </c>
      <c r="AG227" s="160">
        <v>18.519485906880004</v>
      </c>
      <c r="AS227" s="160">
        <v>7.8125E-3</v>
      </c>
      <c r="AT227" s="160">
        <v>0.9404296875</v>
      </c>
      <c r="AU227" s="160">
        <v>33.202509469920003</v>
      </c>
      <c r="BG227" s="160">
        <v>9.765625E-4</v>
      </c>
      <c r="BH227" s="160">
        <v>0.9326171875</v>
      </c>
      <c r="BI227" s="160">
        <v>18000</v>
      </c>
      <c r="BU227" s="160">
        <v>3.90625E-3</v>
      </c>
      <c r="BV227" s="160">
        <v>0.9404296875</v>
      </c>
      <c r="BW227" s="160">
        <v>70.006500000000003</v>
      </c>
    </row>
    <row r="228" spans="31:75" x14ac:dyDescent="0.2">
      <c r="AE228" s="160">
        <v>7.8125E-3</v>
      </c>
      <c r="AF228" s="160">
        <v>0.9482421875</v>
      </c>
      <c r="AG228" s="160">
        <v>18.869202743328</v>
      </c>
      <c r="AS228" s="160">
        <v>7.8125E-3</v>
      </c>
      <c r="AT228" s="160">
        <v>0.9482421875</v>
      </c>
      <c r="AU228" s="160">
        <v>33.467093079840005</v>
      </c>
      <c r="BG228" s="160">
        <v>1.953125E-3</v>
      </c>
      <c r="BH228" s="160">
        <v>0.9345703125</v>
      </c>
      <c r="BI228" s="160">
        <v>18000</v>
      </c>
      <c r="BU228" s="160">
        <v>7.8125E-3</v>
      </c>
      <c r="BV228" s="160">
        <v>0.9482421875</v>
      </c>
      <c r="BW228" s="160">
        <v>71.328483333333324</v>
      </c>
    </row>
    <row r="229" spans="31:75" x14ac:dyDescent="0.2">
      <c r="AE229" s="160">
        <v>7.8125E-3</v>
      </c>
      <c r="AF229" s="160">
        <v>0.9560546875</v>
      </c>
      <c r="AG229" s="160">
        <v>19.254288513600002</v>
      </c>
      <c r="AS229" s="160">
        <v>1.953125E-3</v>
      </c>
      <c r="AT229" s="160">
        <v>0.9501953125</v>
      </c>
      <c r="AU229" s="160">
        <v>34.862634943416005</v>
      </c>
      <c r="BG229" s="160">
        <v>3.90625E-3</v>
      </c>
      <c r="BH229" s="160">
        <v>0.9384765625</v>
      </c>
      <c r="BI229" s="160">
        <v>18000</v>
      </c>
      <c r="BU229" s="160">
        <v>7.8125E-3</v>
      </c>
      <c r="BV229" s="160">
        <v>0.9560546875</v>
      </c>
      <c r="BW229" s="160">
        <v>72.784166666666664</v>
      </c>
    </row>
    <row r="230" spans="31:75" x14ac:dyDescent="0.2">
      <c r="AE230" s="160">
        <v>1.953125E-3</v>
      </c>
      <c r="AF230" s="160">
        <v>0.9580078125</v>
      </c>
      <c r="AG230" s="160">
        <v>20.177236035936001</v>
      </c>
      <c r="AS230" s="160">
        <v>1.953125E-3</v>
      </c>
      <c r="AT230" s="160">
        <v>0.9521484375</v>
      </c>
      <c r="AU230" s="160">
        <v>35.189245355040001</v>
      </c>
      <c r="BG230" s="160">
        <v>3.90625E-3</v>
      </c>
      <c r="BH230" s="160">
        <v>0.9423828125</v>
      </c>
      <c r="BI230" s="160">
        <v>18000</v>
      </c>
      <c r="BU230" s="160">
        <v>1.953125E-3</v>
      </c>
      <c r="BV230" s="160">
        <v>0.9580078125</v>
      </c>
      <c r="BW230" s="160">
        <v>76.273049999999998</v>
      </c>
    </row>
    <row r="231" spans="31:75" x14ac:dyDescent="0.2">
      <c r="AE231" s="160">
        <v>1.953125E-3</v>
      </c>
      <c r="AF231" s="160">
        <v>0.9599609375</v>
      </c>
      <c r="AG231" s="160">
        <v>20.21700293928</v>
      </c>
      <c r="AS231" s="160">
        <v>1.953125E-3</v>
      </c>
      <c r="AT231" s="160">
        <v>0.9541015625</v>
      </c>
      <c r="AU231" s="160">
        <v>35.965483668576006</v>
      </c>
      <c r="BG231" s="160">
        <v>3.90625E-3</v>
      </c>
      <c r="BH231" s="160">
        <v>0.9462890625</v>
      </c>
      <c r="BI231" s="160">
        <v>18000</v>
      </c>
      <c r="BU231" s="160">
        <v>1.953125E-3</v>
      </c>
      <c r="BV231" s="160">
        <v>0.9599609375</v>
      </c>
      <c r="BW231" s="160">
        <v>76.423374999999993</v>
      </c>
    </row>
    <row r="232" spans="31:75" x14ac:dyDescent="0.2">
      <c r="AE232" s="160">
        <v>3.90625E-3</v>
      </c>
      <c r="AF232" s="160">
        <v>0.9638671875</v>
      </c>
      <c r="AG232" s="160">
        <v>20.245407870240001</v>
      </c>
      <c r="AS232" s="160">
        <v>7.8125E-3</v>
      </c>
      <c r="AT232" s="160">
        <v>0.9619140625</v>
      </c>
      <c r="AU232" s="160">
        <v>36.441945798048003</v>
      </c>
      <c r="BG232" s="160">
        <v>7.8125E-3</v>
      </c>
      <c r="BH232" s="160">
        <v>0.9541015625</v>
      </c>
      <c r="BI232" s="160">
        <v>18000</v>
      </c>
      <c r="BU232" s="160">
        <v>3.90625E-3</v>
      </c>
      <c r="BV232" s="160">
        <v>0.9638671875</v>
      </c>
      <c r="BW232" s="160">
        <v>76.530749999999998</v>
      </c>
    </row>
    <row r="233" spans="31:75" x14ac:dyDescent="0.2">
      <c r="AE233" s="160">
        <v>1.953125E-3</v>
      </c>
      <c r="AF233" s="160">
        <v>0.9658203125</v>
      </c>
      <c r="AG233" s="160">
        <v>20.589016363200003</v>
      </c>
      <c r="AS233" s="160">
        <v>1.953125E-3</v>
      </c>
      <c r="AT233" s="160">
        <v>0.9638671875</v>
      </c>
      <c r="AU233" s="160">
        <v>38.317178275488004</v>
      </c>
      <c r="BG233" s="160">
        <v>3.90625E-3</v>
      </c>
      <c r="BH233" s="160">
        <v>0.9580078125</v>
      </c>
      <c r="BI233" s="160">
        <v>18000</v>
      </c>
      <c r="BU233" s="160">
        <v>1.953125E-3</v>
      </c>
      <c r="BV233" s="160">
        <v>0.9658203125</v>
      </c>
      <c r="BW233" s="160">
        <v>77.829642857142858</v>
      </c>
    </row>
    <row r="234" spans="31:75" x14ac:dyDescent="0.2">
      <c r="AE234" s="160">
        <v>1.953125E-3</v>
      </c>
      <c r="AF234" s="160">
        <v>0.9677734375</v>
      </c>
      <c r="AG234" s="160">
        <v>21.436034114880002</v>
      </c>
      <c r="AS234" s="160">
        <v>1.953125E-3</v>
      </c>
      <c r="AT234" s="160">
        <v>0.9658203125</v>
      </c>
      <c r="AU234" s="160">
        <v>38.687595329376002</v>
      </c>
      <c r="BG234" s="160">
        <v>7.8125E-3</v>
      </c>
      <c r="BH234" s="160">
        <v>0.9658203125</v>
      </c>
      <c r="BI234" s="160">
        <v>18000</v>
      </c>
      <c r="BU234" s="160">
        <v>1.953125E-3</v>
      </c>
      <c r="BV234" s="160">
        <v>0.9677734375</v>
      </c>
      <c r="BW234" s="160">
        <v>81.031499999999994</v>
      </c>
    </row>
    <row r="235" spans="31:75" x14ac:dyDescent="0.2">
      <c r="AE235" s="160">
        <v>3.90625E-3</v>
      </c>
      <c r="AF235" s="160">
        <v>0.9716796875</v>
      </c>
      <c r="AG235" s="160">
        <v>22.044999680928001</v>
      </c>
      <c r="AS235" s="160">
        <v>3.90625E-3</v>
      </c>
      <c r="AT235" s="160">
        <v>0.9697265625</v>
      </c>
      <c r="AU235" s="160">
        <v>39.035605885919999</v>
      </c>
      <c r="BG235" s="160">
        <v>7.8125E-3</v>
      </c>
      <c r="BH235" s="160">
        <v>0.9736328125</v>
      </c>
      <c r="BI235" s="160">
        <v>18000</v>
      </c>
      <c r="BU235" s="160">
        <v>3.90625E-3</v>
      </c>
      <c r="BV235" s="160">
        <v>0.9716796875</v>
      </c>
      <c r="BW235" s="160">
        <v>83.333483333333334</v>
      </c>
    </row>
    <row r="236" spans="31:75" x14ac:dyDescent="0.2">
      <c r="AE236" s="160">
        <v>1.953125E-3</v>
      </c>
      <c r="AF236" s="160">
        <v>0.9736328125</v>
      </c>
      <c r="AG236" s="160">
        <v>22.419151151040001</v>
      </c>
      <c r="AS236" s="160">
        <v>3.90625E-3</v>
      </c>
      <c r="AT236" s="160">
        <v>0.9736328125</v>
      </c>
      <c r="AU236" s="160">
        <v>39.300189495840002</v>
      </c>
      <c r="BG236" s="160">
        <v>1.953125E-3</v>
      </c>
      <c r="BH236" s="160">
        <v>0.9755859375</v>
      </c>
      <c r="BI236" s="160">
        <v>18000</v>
      </c>
      <c r="BU236" s="160">
        <v>1.953125E-3</v>
      </c>
      <c r="BV236" s="160">
        <v>0.9736328125</v>
      </c>
      <c r="BW236" s="160">
        <v>84.747833333333332</v>
      </c>
    </row>
    <row r="237" spans="31:75" x14ac:dyDescent="0.2">
      <c r="AE237" s="160">
        <v>3.90625E-3</v>
      </c>
      <c r="AF237" s="160">
        <v>0.9775390625</v>
      </c>
      <c r="AG237" s="160">
        <v>22.494897633600001</v>
      </c>
      <c r="AS237" s="160">
        <v>9.765625E-4</v>
      </c>
      <c r="AT237" s="160">
        <v>0.974609375</v>
      </c>
      <c r="AU237" s="160">
        <v>40.987386180215999</v>
      </c>
      <c r="BG237" s="160">
        <v>3.90625E-3</v>
      </c>
      <c r="BH237" s="160">
        <v>0.9794921875</v>
      </c>
      <c r="BI237" s="160">
        <v>18000</v>
      </c>
      <c r="BU237" s="160">
        <v>3.90625E-3</v>
      </c>
      <c r="BV237" s="160">
        <v>0.9775390625</v>
      </c>
      <c r="BW237" s="160">
        <v>85.034166666666664</v>
      </c>
    </row>
    <row r="238" spans="31:75" x14ac:dyDescent="0.2">
      <c r="AE238" s="160">
        <v>9.765625E-4</v>
      </c>
      <c r="AF238" s="160">
        <v>0.978515625</v>
      </c>
      <c r="AG238" s="160">
        <v>23.619642515280002</v>
      </c>
      <c r="AS238" s="160">
        <v>3.90625E-3</v>
      </c>
      <c r="AT238" s="160">
        <v>0.978515625</v>
      </c>
      <c r="AU238" s="160">
        <v>42.688940747040007</v>
      </c>
      <c r="BG238" s="160">
        <v>1.953125E-3</v>
      </c>
      <c r="BH238" s="160">
        <v>0.9814453125</v>
      </c>
      <c r="BI238" s="160">
        <v>18000</v>
      </c>
      <c r="BU238" s="160">
        <v>9.765625E-4</v>
      </c>
      <c r="BV238" s="160">
        <v>0.978515625</v>
      </c>
      <c r="BW238" s="160">
        <v>89.285875000000004</v>
      </c>
    </row>
    <row r="239" spans="31:75" x14ac:dyDescent="0.2">
      <c r="AE239" s="160">
        <v>3.90625E-3</v>
      </c>
      <c r="AF239" s="160">
        <v>0.982421875</v>
      </c>
      <c r="AG239" s="160">
        <v>24.260403527136003</v>
      </c>
      <c r="AS239" s="160">
        <v>3.90625E-3</v>
      </c>
      <c r="AT239" s="160">
        <v>0.982421875</v>
      </c>
      <c r="AU239" s="160">
        <v>42.793539673248006</v>
      </c>
      <c r="BG239" s="160">
        <v>9.765625E-4</v>
      </c>
      <c r="BH239" s="160">
        <v>0.982421875</v>
      </c>
      <c r="BI239" s="160">
        <v>18000</v>
      </c>
      <c r="BU239" s="160">
        <v>3.90625E-3</v>
      </c>
      <c r="BV239" s="160">
        <v>0.982421875</v>
      </c>
      <c r="BW239" s="160">
        <v>91.70805</v>
      </c>
    </row>
    <row r="240" spans="31:75" x14ac:dyDescent="0.2">
      <c r="AE240" s="160">
        <v>3.90625E-3</v>
      </c>
      <c r="AF240" s="160">
        <v>0.986328125</v>
      </c>
      <c r="AG240" s="160">
        <v>24.755513803200003</v>
      </c>
      <c r="AS240" s="160">
        <v>3.90625E-3</v>
      </c>
      <c r="AT240" s="160">
        <v>0.986328125</v>
      </c>
      <c r="AU240" s="160">
        <v>46.483513257888006</v>
      </c>
      <c r="BG240" s="160">
        <v>3.90625E-3</v>
      </c>
      <c r="BH240" s="160">
        <v>0.986328125</v>
      </c>
      <c r="BI240" s="160">
        <v>18000</v>
      </c>
      <c r="BU240" s="160">
        <v>3.90625E-3</v>
      </c>
      <c r="BV240" s="160">
        <v>0.986328125</v>
      </c>
      <c r="BW240" s="160">
        <v>93.579642857142858</v>
      </c>
    </row>
    <row r="241" spans="31:75" x14ac:dyDescent="0.2">
      <c r="AE241" s="160">
        <v>3.90625E-3</v>
      </c>
      <c r="AF241" s="160">
        <v>0.990234375</v>
      </c>
      <c r="AG241" s="160">
        <v>26.95600391904</v>
      </c>
      <c r="AS241" s="160">
        <v>3.90625E-3</v>
      </c>
      <c r="AT241" s="160">
        <v>0.990234375</v>
      </c>
      <c r="AU241" s="160">
        <v>46.853930311776004</v>
      </c>
      <c r="BG241" s="160">
        <v>9.765625E-4</v>
      </c>
      <c r="BH241" s="160">
        <v>0.9873046875</v>
      </c>
      <c r="BI241" s="160">
        <v>18000</v>
      </c>
      <c r="BU241" s="160">
        <v>3.90625E-3</v>
      </c>
      <c r="BV241" s="160">
        <v>0.990234375</v>
      </c>
      <c r="BW241" s="160">
        <v>101.89783333333332</v>
      </c>
    </row>
    <row r="242" spans="31:75" x14ac:dyDescent="0.2">
      <c r="AE242" s="160">
        <v>1.953125E-3</v>
      </c>
      <c r="AF242" s="160">
        <v>0.9921875</v>
      </c>
      <c r="AG242" s="160">
        <v>28.343571018336004</v>
      </c>
      <c r="AS242" s="160">
        <v>9.765625E-4</v>
      </c>
      <c r="AT242" s="160">
        <v>0.9912109375</v>
      </c>
      <c r="AU242" s="160">
        <v>49.264943497056009</v>
      </c>
      <c r="BG242" s="160">
        <v>1.953125E-3</v>
      </c>
      <c r="BH242" s="160">
        <v>0.9892578125</v>
      </c>
      <c r="BI242" s="160">
        <v>18000</v>
      </c>
      <c r="BU242" s="160">
        <v>1.953125E-3</v>
      </c>
      <c r="BV242" s="160">
        <v>0.9921875</v>
      </c>
      <c r="BW242" s="160">
        <v>107.14305</v>
      </c>
    </row>
    <row r="243" spans="31:75" x14ac:dyDescent="0.2">
      <c r="AE243" s="160">
        <v>9.765625E-4</v>
      </c>
      <c r="AF243" s="160">
        <v>0.9931640625</v>
      </c>
      <c r="AG243" s="160">
        <v>28.824622908480002</v>
      </c>
      <c r="AS243" s="160">
        <v>1.953125E-3</v>
      </c>
      <c r="AT243" s="160">
        <v>0.9931640625</v>
      </c>
      <c r="AU243" s="160">
        <v>50.18863613904</v>
      </c>
      <c r="BG243" s="160">
        <v>3.90625E-3</v>
      </c>
      <c r="BH243" s="160">
        <v>0.9931640625</v>
      </c>
      <c r="BI243" s="160">
        <v>18000</v>
      </c>
      <c r="BU243" s="160">
        <v>9.765625E-4</v>
      </c>
      <c r="BV243" s="160">
        <v>0.9931640625</v>
      </c>
      <c r="BW243" s="160">
        <v>108.9615</v>
      </c>
    </row>
    <row r="244" spans="31:75" x14ac:dyDescent="0.2">
      <c r="AE244" s="160">
        <v>1.953125E-3</v>
      </c>
      <c r="AF244" s="160">
        <v>0.9951171875</v>
      </c>
      <c r="AG244" s="160">
        <v>28.922011243200004</v>
      </c>
      <c r="AS244" s="160">
        <v>1.953125E-3</v>
      </c>
      <c r="AT244" s="160">
        <v>0.9951171875</v>
      </c>
      <c r="AU244" s="160">
        <v>54.649848240288009</v>
      </c>
      <c r="BG244" s="160">
        <v>1.953125E-3</v>
      </c>
      <c r="BH244" s="160">
        <v>0.9951171875</v>
      </c>
      <c r="BI244" s="160">
        <v>18000</v>
      </c>
      <c r="BU244" s="160">
        <v>1.953125E-3</v>
      </c>
      <c r="BV244" s="160">
        <v>0.9951171875</v>
      </c>
      <c r="BW244" s="160">
        <v>109.32964285714286</v>
      </c>
    </row>
    <row r="245" spans="31:75" x14ac:dyDescent="0.2">
      <c r="AE245" s="160">
        <v>1.953125E-3</v>
      </c>
      <c r="AF245" s="160">
        <v>0.9970703125</v>
      </c>
      <c r="AG245" s="160">
        <v>31.49285668704</v>
      </c>
      <c r="AS245" s="160">
        <v>1.953125E-3</v>
      </c>
      <c r="AT245" s="160">
        <v>0.9970703125</v>
      </c>
      <c r="AU245" s="160">
        <v>55.020265294176006</v>
      </c>
      <c r="BG245" s="160">
        <v>1.953125E-3</v>
      </c>
      <c r="BH245" s="160">
        <v>0.9970703125</v>
      </c>
      <c r="BI245" s="160">
        <v>18000</v>
      </c>
      <c r="BU245" s="160">
        <v>1.953125E-3</v>
      </c>
      <c r="BV245" s="160">
        <v>0.9970703125</v>
      </c>
      <c r="BW245" s="160">
        <v>119.04783333333332</v>
      </c>
    </row>
    <row r="246" spans="31:75" x14ac:dyDescent="0.2">
      <c r="AE246" s="160">
        <v>1.953125E-3</v>
      </c>
      <c r="AF246" s="160">
        <v>0.9990234375</v>
      </c>
      <c r="AG246" s="160">
        <v>34.657719324480006</v>
      </c>
      <c r="AS246" s="160">
        <v>1.953125E-3</v>
      </c>
      <c r="AT246" s="160">
        <v>0.9990234375</v>
      </c>
      <c r="AU246" s="160">
        <v>59.76451704585601</v>
      </c>
      <c r="BG246" s="160">
        <v>1.953125E-3</v>
      </c>
      <c r="BH246" s="160">
        <v>0.9990234375</v>
      </c>
      <c r="BI246" s="160">
        <v>18000</v>
      </c>
      <c r="BU246" s="160">
        <v>1.953125E-3</v>
      </c>
      <c r="BV246" s="160">
        <v>0.9990234375</v>
      </c>
      <c r="BW246" s="160">
        <v>131.01150000000001</v>
      </c>
    </row>
    <row r="247" spans="31:75" x14ac:dyDescent="0.2">
      <c r="AE247" s="160">
        <v>9.765625E-4</v>
      </c>
      <c r="AF247" s="160">
        <v>1</v>
      </c>
      <c r="AG247" s="160">
        <v>40.490815740480002</v>
      </c>
      <c r="AS247" s="160">
        <v>9.765625E-4</v>
      </c>
      <c r="AT247" s="160">
        <v>1</v>
      </c>
      <c r="AU247" s="160">
        <v>70.264090594656011</v>
      </c>
      <c r="BG247" s="160">
        <v>9.765625E-4</v>
      </c>
      <c r="BH247" s="160">
        <v>1</v>
      </c>
      <c r="BI247" s="160">
        <v>18000</v>
      </c>
      <c r="BU247" s="160">
        <v>9.765625E-4</v>
      </c>
      <c r="BV247" s="160">
        <v>1</v>
      </c>
      <c r="BW247" s="160">
        <v>153.0615</v>
      </c>
    </row>
  </sheetData>
  <mergeCells count="20">
    <mergeCell ref="EC2:EO2"/>
    <mergeCell ref="EM3:EO3"/>
    <mergeCell ref="EQ2:FC2"/>
    <mergeCell ref="FA3:FC3"/>
    <mergeCell ref="CM2:CY2"/>
    <mergeCell ref="CW3:CY3"/>
    <mergeCell ref="DA2:DM2"/>
    <mergeCell ref="DK3:DM3"/>
    <mergeCell ref="DO2:EA2"/>
    <mergeCell ref="DY3:EA3"/>
    <mergeCell ref="CI3:CK3"/>
    <mergeCell ref="AI2:AU2"/>
    <mergeCell ref="AS3:AU3"/>
    <mergeCell ref="AE3:AG3"/>
    <mergeCell ref="U2:AG2"/>
    <mergeCell ref="AW2:BI2"/>
    <mergeCell ref="BG3:BI3"/>
    <mergeCell ref="BK2:BW2"/>
    <mergeCell ref="BU3:BW3"/>
    <mergeCell ref="BY2:CK2"/>
  </mergeCells>
  <dataValidations count="1">
    <dataValidation type="list" allowBlank="1" showInputMessage="1" showErrorMessage="1" sqref="C2" xr:uid="{8051957F-CA3D-9C42-8EC7-46E3064F9816}">
      <formula1>$S$3:$S$12</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8" r:id="rId3" name="Button 10">
              <controlPr defaultSize="0" print="0" autoFill="0" autoPict="0" macro="[0]!UpdateTornado">
                <anchor moveWithCells="1" sizeWithCells="1">
                  <from>
                    <xdr:col>0</xdr:col>
                    <xdr:colOff>939800</xdr:colOff>
                    <xdr:row>2</xdr:row>
                    <xdr:rowOff>25400</xdr:rowOff>
                  </from>
                  <to>
                    <xdr:col>2</xdr:col>
                    <xdr:colOff>1308100</xdr:colOff>
                    <xdr:row>4</xdr:row>
                    <xdr:rowOff>139700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J78"/>
  <sheetViews>
    <sheetView topLeftCell="A42" zoomScale="120" zoomScaleNormal="120" workbookViewId="0">
      <selection activeCell="D51" sqref="D51"/>
    </sheetView>
  </sheetViews>
  <sheetFormatPr baseColWidth="10" defaultRowHeight="14" x14ac:dyDescent="0.2"/>
  <cols>
    <col min="1" max="1" width="5.42578125" style="157" customWidth="1"/>
    <col min="2" max="2" width="7" style="157" bestFit="1" customWidth="1"/>
    <col min="3" max="3" width="47.7109375" style="211" customWidth="1"/>
    <col min="4" max="4" width="10.7109375" style="157"/>
    <col min="5" max="5" width="55.140625" style="211" customWidth="1"/>
    <col min="6" max="16384" width="10.7109375" style="157"/>
  </cols>
  <sheetData>
    <row r="1" spans="1:10" ht="15" x14ac:dyDescent="0.2">
      <c r="C1" s="223" t="s">
        <v>231</v>
      </c>
    </row>
    <row r="2" spans="1:10" ht="15" x14ac:dyDescent="0.2">
      <c r="C2" s="383" t="s">
        <v>232</v>
      </c>
    </row>
    <row r="4" spans="1:10" ht="15" x14ac:dyDescent="0.2">
      <c r="C4" s="191"/>
      <c r="D4" s="192" t="s">
        <v>57</v>
      </c>
      <c r="E4" s="219" t="s">
        <v>58</v>
      </c>
      <c r="F4" s="193" t="s">
        <v>59</v>
      </c>
      <c r="G4" s="193" t="s">
        <v>60</v>
      </c>
      <c r="H4" s="192" t="s">
        <v>61</v>
      </c>
      <c r="I4" s="194" t="s">
        <v>11</v>
      </c>
      <c r="J4" s="194"/>
    </row>
    <row r="5" spans="1:10" ht="15" x14ac:dyDescent="0.2">
      <c r="C5" s="195" t="s">
        <v>4</v>
      </c>
      <c r="D5" s="196">
        <f>D12</f>
        <v>0.9</v>
      </c>
      <c r="E5" s="220">
        <f>D17</f>
        <v>0.9</v>
      </c>
      <c r="F5" s="196">
        <f>D22</f>
        <v>0.9</v>
      </c>
      <c r="G5" s="196">
        <f>D27</f>
        <v>0.9</v>
      </c>
      <c r="H5" s="197">
        <f>D5*E5*F5*G5</f>
        <v>0.65610000000000013</v>
      </c>
      <c r="I5" s="198" t="s">
        <v>38</v>
      </c>
      <c r="J5" s="199"/>
    </row>
    <row r="6" spans="1:10" ht="15" x14ac:dyDescent="0.2">
      <c r="C6" s="200" t="s">
        <v>0</v>
      </c>
      <c r="D6" s="201">
        <f>D32</f>
        <v>0.8</v>
      </c>
      <c r="E6" s="221">
        <f>D38</f>
        <v>0.7</v>
      </c>
      <c r="F6" s="202">
        <f>D43</f>
        <v>0.9</v>
      </c>
      <c r="G6" s="202">
        <f>D48</f>
        <v>0.8</v>
      </c>
      <c r="H6" s="203">
        <f t="shared" ref="H6:H7" si="0">D6*E6*F6*G6</f>
        <v>0.4032</v>
      </c>
      <c r="I6" s="189" t="s">
        <v>24</v>
      </c>
      <c r="J6" s="204"/>
    </row>
    <row r="7" spans="1:10" ht="15" x14ac:dyDescent="0.2">
      <c r="C7" s="205" t="s">
        <v>62</v>
      </c>
      <c r="D7" s="206">
        <f>D54</f>
        <v>0.7</v>
      </c>
      <c r="E7" s="222">
        <f>D59</f>
        <v>0.75</v>
      </c>
      <c r="F7" s="207">
        <f>D63</f>
        <v>0.7</v>
      </c>
      <c r="G7" s="207">
        <f>D69</f>
        <v>0.8</v>
      </c>
      <c r="H7" s="208">
        <f t="shared" si="0"/>
        <v>0.29399999999999998</v>
      </c>
      <c r="I7" s="209" t="s">
        <v>39</v>
      </c>
      <c r="J7" s="210"/>
    </row>
    <row r="10" spans="1:10" x14ac:dyDescent="0.2">
      <c r="A10" s="157" t="s">
        <v>4</v>
      </c>
      <c r="D10" s="212"/>
    </row>
    <row r="11" spans="1:10" s="224" customFormat="1" ht="15" x14ac:dyDescent="0.2">
      <c r="C11" s="270" t="s">
        <v>200</v>
      </c>
      <c r="D11" s="271" t="s">
        <v>201</v>
      </c>
      <c r="E11" s="270" t="s">
        <v>202</v>
      </c>
    </row>
    <row r="12" spans="1:10" s="224" customFormat="1" ht="15" x14ac:dyDescent="0.2">
      <c r="B12" s="225" t="s">
        <v>57</v>
      </c>
      <c r="C12" s="226"/>
      <c r="D12" s="227">
        <v>0.9</v>
      </c>
      <c r="E12" s="226" t="str">
        <f>CONCATENATE("Our thinking on ",CompanyName)</f>
        <v>Our thinking on Awesome Company</v>
      </c>
    </row>
    <row r="13" spans="1:10" ht="16" x14ac:dyDescent="0.2">
      <c r="C13" s="213" t="s">
        <v>208</v>
      </c>
      <c r="D13" s="212"/>
      <c r="E13" s="223" t="s">
        <v>210</v>
      </c>
    </row>
    <row r="14" spans="1:10" ht="16" x14ac:dyDescent="0.2">
      <c r="C14" s="213" t="s">
        <v>209</v>
      </c>
      <c r="D14" s="212"/>
      <c r="E14" s="223" t="s">
        <v>211</v>
      </c>
    </row>
    <row r="15" spans="1:10" ht="46" x14ac:dyDescent="0.2">
      <c r="C15" s="213" t="s">
        <v>119</v>
      </c>
      <c r="D15" s="212"/>
      <c r="E15" s="223" t="s">
        <v>212</v>
      </c>
    </row>
    <row r="16" spans="1:10" x14ac:dyDescent="0.2">
      <c r="C16" s="214"/>
      <c r="D16" s="212"/>
    </row>
    <row r="17" spans="1:5" s="224" customFormat="1" ht="15" x14ac:dyDescent="0.2">
      <c r="B17" s="225" t="s">
        <v>58</v>
      </c>
      <c r="C17" s="226"/>
      <c r="D17" s="227">
        <v>0.9</v>
      </c>
      <c r="E17" s="226" t="str">
        <f>CONCATENATE("Our thinking on ",CompanyName)</f>
        <v>Our thinking on Awesome Company</v>
      </c>
    </row>
    <row r="18" spans="1:5" ht="16" x14ac:dyDescent="0.2">
      <c r="C18" s="213" t="s">
        <v>207</v>
      </c>
      <c r="E18" s="223" t="s">
        <v>204</v>
      </c>
    </row>
    <row r="19" spans="1:5" ht="16" x14ac:dyDescent="0.2">
      <c r="C19" s="213" t="s">
        <v>203</v>
      </c>
      <c r="E19" s="223" t="s">
        <v>205</v>
      </c>
    </row>
    <row r="20" spans="1:5" ht="16" x14ac:dyDescent="0.2">
      <c r="C20" s="213" t="s">
        <v>120</v>
      </c>
      <c r="D20" s="212"/>
      <c r="E20" s="223" t="s">
        <v>206</v>
      </c>
    </row>
    <row r="21" spans="1:5" x14ac:dyDescent="0.2">
      <c r="C21" s="214"/>
      <c r="D21" s="212"/>
    </row>
    <row r="22" spans="1:5" s="224" customFormat="1" ht="15" x14ac:dyDescent="0.2">
      <c r="B22" s="225" t="s">
        <v>59</v>
      </c>
      <c r="C22" s="226"/>
      <c r="D22" s="227">
        <v>0.9</v>
      </c>
      <c r="E22" s="226" t="str">
        <f>CONCATENATE("Our thinking on ",CompanyName)</f>
        <v>Our thinking on Awesome Company</v>
      </c>
    </row>
    <row r="23" spans="1:5" ht="31" x14ac:dyDescent="0.2">
      <c r="C23" s="213" t="s">
        <v>213</v>
      </c>
      <c r="D23" s="212"/>
      <c r="E23" s="223" t="s">
        <v>215</v>
      </c>
    </row>
    <row r="24" spans="1:5" ht="31" x14ac:dyDescent="0.2">
      <c r="C24" s="213" t="s">
        <v>214</v>
      </c>
      <c r="D24" s="212"/>
      <c r="E24" s="223" t="s">
        <v>216</v>
      </c>
    </row>
    <row r="25" spans="1:5" ht="15" x14ac:dyDescent="0.2">
      <c r="C25" s="213"/>
      <c r="D25" s="212"/>
    </row>
    <row r="26" spans="1:5" ht="15" x14ac:dyDescent="0.2">
      <c r="B26" s="159"/>
      <c r="C26" s="213"/>
      <c r="D26" s="215"/>
    </row>
    <row r="27" spans="1:5" s="224" customFormat="1" ht="15" x14ac:dyDescent="0.2">
      <c r="B27" s="225" t="s">
        <v>60</v>
      </c>
      <c r="C27" s="226"/>
      <c r="D27" s="227">
        <v>0.9</v>
      </c>
      <c r="E27" s="226" t="str">
        <f>CONCATENATE("Our thinking on ",CompanyName)</f>
        <v>Our thinking on Awesome Company</v>
      </c>
    </row>
    <row r="28" spans="1:5" ht="16" x14ac:dyDescent="0.2">
      <c r="C28" s="213" t="s">
        <v>121</v>
      </c>
      <c r="D28" s="212"/>
      <c r="E28" s="223" t="s">
        <v>217</v>
      </c>
    </row>
    <row r="29" spans="1:5" ht="30" x14ac:dyDescent="0.2">
      <c r="C29" s="213" t="s">
        <v>122</v>
      </c>
      <c r="D29" s="212"/>
      <c r="E29" s="223" t="s">
        <v>218</v>
      </c>
    </row>
    <row r="30" spans="1:5" ht="15" x14ac:dyDescent="0.2">
      <c r="C30" s="214"/>
      <c r="D30" s="212"/>
      <c r="E30" s="223" t="s">
        <v>219</v>
      </c>
    </row>
    <row r="31" spans="1:5" x14ac:dyDescent="0.2">
      <c r="A31" s="157" t="s">
        <v>0</v>
      </c>
      <c r="D31" s="212"/>
    </row>
    <row r="32" spans="1:5" s="224" customFormat="1" ht="15" x14ac:dyDescent="0.2">
      <c r="B32" s="225" t="s">
        <v>57</v>
      </c>
      <c r="C32" s="226"/>
      <c r="D32" s="227">
        <v>0.8</v>
      </c>
      <c r="E32" s="226" t="str">
        <f>CONCATENATE("Our thinking on ",CompanyName)</f>
        <v>Our thinking on Awesome Company</v>
      </c>
    </row>
    <row r="33" spans="2:5" ht="16" x14ac:dyDescent="0.2">
      <c r="C33" s="216" t="s">
        <v>123</v>
      </c>
      <c r="D33" s="212"/>
      <c r="E33" s="223" t="s">
        <v>141</v>
      </c>
    </row>
    <row r="34" spans="2:5" ht="14" customHeight="1" x14ac:dyDescent="0.2">
      <c r="C34" s="216" t="s">
        <v>187</v>
      </c>
      <c r="D34" s="212"/>
      <c r="E34" s="223" t="s">
        <v>188</v>
      </c>
    </row>
    <row r="35" spans="2:5" ht="16" x14ac:dyDescent="0.2">
      <c r="B35" s="159"/>
      <c r="C35" s="217" t="s">
        <v>140</v>
      </c>
      <c r="D35" s="215"/>
      <c r="E35" s="191"/>
    </row>
    <row r="36" spans="2:5" ht="15" x14ac:dyDescent="0.2">
      <c r="B36" s="159"/>
      <c r="C36" s="217"/>
      <c r="D36" s="215"/>
      <c r="E36" s="191"/>
    </row>
    <row r="37" spans="2:5" ht="15" x14ac:dyDescent="0.2">
      <c r="B37" s="159"/>
      <c r="C37" s="217"/>
      <c r="D37" s="215"/>
      <c r="E37" s="191"/>
    </row>
    <row r="38" spans="2:5" s="224" customFormat="1" ht="15" x14ac:dyDescent="0.2">
      <c r="B38" s="225" t="s">
        <v>58</v>
      </c>
      <c r="C38" s="226"/>
      <c r="D38" s="227">
        <v>0.7</v>
      </c>
      <c r="E38" s="226" t="str">
        <f>CONCATENATE("Our thinking on ",CompanyName)</f>
        <v>Our thinking on Awesome Company</v>
      </c>
    </row>
    <row r="39" spans="2:5" ht="31" x14ac:dyDescent="0.2">
      <c r="C39" s="218" t="s">
        <v>124</v>
      </c>
      <c r="D39" s="212"/>
      <c r="E39" s="223" t="s">
        <v>189</v>
      </c>
    </row>
    <row r="40" spans="2:5" ht="46" x14ac:dyDescent="0.2">
      <c r="C40" s="218" t="s">
        <v>125</v>
      </c>
      <c r="D40" s="212"/>
      <c r="E40" s="223" t="s">
        <v>190</v>
      </c>
    </row>
    <row r="41" spans="2:5" ht="16" x14ac:dyDescent="0.2">
      <c r="C41" s="218" t="s">
        <v>126</v>
      </c>
      <c r="D41" s="212"/>
    </row>
    <row r="42" spans="2:5" x14ac:dyDescent="0.2">
      <c r="D42" s="212"/>
    </row>
    <row r="43" spans="2:5" s="224" customFormat="1" ht="15" x14ac:dyDescent="0.2">
      <c r="B43" s="225" t="s">
        <v>59</v>
      </c>
      <c r="C43" s="226"/>
      <c r="D43" s="227">
        <v>0.9</v>
      </c>
      <c r="E43" s="226" t="str">
        <f>CONCATENATE("Our thinking on ",CompanyName)</f>
        <v>Our thinking on Awesome Company</v>
      </c>
    </row>
    <row r="44" spans="2:5" ht="16" x14ac:dyDescent="0.2">
      <c r="C44" s="218" t="s">
        <v>127</v>
      </c>
      <c r="D44" s="212"/>
      <c r="E44" s="223" t="s">
        <v>193</v>
      </c>
    </row>
    <row r="45" spans="2:5" ht="15" customHeight="1" x14ac:dyDescent="0.2">
      <c r="C45" s="218" t="s">
        <v>192</v>
      </c>
      <c r="D45" s="212"/>
      <c r="E45" s="223" t="s">
        <v>194</v>
      </c>
    </row>
    <row r="46" spans="2:5" ht="16" x14ac:dyDescent="0.2">
      <c r="C46" s="218" t="s">
        <v>128</v>
      </c>
      <c r="D46" s="212"/>
      <c r="E46" s="223" t="s">
        <v>191</v>
      </c>
    </row>
    <row r="47" spans="2:5" ht="15" x14ac:dyDescent="0.2">
      <c r="C47" s="218"/>
      <c r="D47" s="212"/>
    </row>
    <row r="48" spans="2:5" s="224" customFormat="1" ht="15" x14ac:dyDescent="0.2">
      <c r="B48" s="225" t="s">
        <v>60</v>
      </c>
      <c r="C48" s="226"/>
      <c r="D48" s="227">
        <v>0.8</v>
      </c>
      <c r="E48" s="226" t="str">
        <f>CONCATENATE("Our thinking on ",CompanyName)</f>
        <v>Our thinking on Awesome Company</v>
      </c>
    </row>
    <row r="49" spans="1:5" ht="19" customHeight="1" x14ac:dyDescent="0.2">
      <c r="C49" s="218" t="s">
        <v>195</v>
      </c>
      <c r="D49" s="212"/>
      <c r="E49" s="223" t="s">
        <v>196</v>
      </c>
    </row>
    <row r="50" spans="1:5" ht="16" x14ac:dyDescent="0.2">
      <c r="C50" s="218" t="s">
        <v>197</v>
      </c>
      <c r="D50" s="212"/>
      <c r="E50" s="223" t="s">
        <v>198</v>
      </c>
    </row>
    <row r="51" spans="1:5" ht="15" x14ac:dyDescent="0.2">
      <c r="D51" s="212"/>
      <c r="E51" s="223" t="s">
        <v>199</v>
      </c>
    </row>
    <row r="52" spans="1:5" x14ac:dyDescent="0.2">
      <c r="D52" s="212"/>
    </row>
    <row r="53" spans="1:5" x14ac:dyDescent="0.2">
      <c r="A53" s="157" t="s">
        <v>62</v>
      </c>
      <c r="D53" s="212"/>
    </row>
    <row r="54" spans="1:5" s="224" customFormat="1" ht="15" x14ac:dyDescent="0.2">
      <c r="B54" s="225" t="s">
        <v>57</v>
      </c>
      <c r="C54" s="226"/>
      <c r="D54" s="227">
        <v>0.7</v>
      </c>
      <c r="E54" s="226" t="str">
        <f>CONCATENATE("Our thinking on ",CompanyName)</f>
        <v>Our thinking on Awesome Company</v>
      </c>
    </row>
    <row r="55" spans="1:5" ht="30" x14ac:dyDescent="0.2">
      <c r="C55" s="216" t="s">
        <v>129</v>
      </c>
      <c r="D55" s="212"/>
      <c r="E55" s="223" t="s">
        <v>142</v>
      </c>
    </row>
    <row r="56" spans="1:5" ht="16" x14ac:dyDescent="0.2">
      <c r="C56" s="216" t="s">
        <v>130</v>
      </c>
      <c r="D56" s="212"/>
    </row>
    <row r="57" spans="1:5" ht="16" x14ac:dyDescent="0.2">
      <c r="C57" s="216" t="s">
        <v>131</v>
      </c>
      <c r="D57" s="212"/>
    </row>
    <row r="58" spans="1:5" x14ac:dyDescent="0.2">
      <c r="B58" s="159"/>
      <c r="C58" s="191"/>
      <c r="D58" s="215"/>
    </row>
    <row r="59" spans="1:5" s="224" customFormat="1" ht="15" x14ac:dyDescent="0.2">
      <c r="B59" s="225" t="s">
        <v>58</v>
      </c>
      <c r="C59" s="226"/>
      <c r="D59" s="227">
        <v>0.75</v>
      </c>
      <c r="E59" s="226" t="str">
        <f>CONCATENATE("Our thinking on ",CompanyName)</f>
        <v>Our thinking on Awesome Company</v>
      </c>
    </row>
    <row r="60" spans="1:5" ht="31" x14ac:dyDescent="0.2">
      <c r="C60" s="216" t="s">
        <v>132</v>
      </c>
      <c r="E60" s="223" t="s">
        <v>143</v>
      </c>
    </row>
    <row r="61" spans="1:5" ht="30" x14ac:dyDescent="0.2">
      <c r="C61" s="216" t="s">
        <v>133</v>
      </c>
      <c r="D61" s="212"/>
      <c r="E61" s="223" t="s">
        <v>144</v>
      </c>
    </row>
    <row r="62" spans="1:5" ht="15" x14ac:dyDescent="0.2">
      <c r="C62" s="216"/>
      <c r="D62" s="212"/>
    </row>
    <row r="63" spans="1:5" s="224" customFormat="1" ht="15" x14ac:dyDescent="0.2">
      <c r="B63" s="225" t="s">
        <v>59</v>
      </c>
      <c r="C63" s="226"/>
      <c r="D63" s="227">
        <v>0.7</v>
      </c>
      <c r="E63" s="226" t="str">
        <f>CONCATENATE("Our thinking on ",CompanyName)</f>
        <v>Our thinking on Awesome Company</v>
      </c>
    </row>
    <row r="64" spans="1:5" ht="30" x14ac:dyDescent="0.2">
      <c r="C64" s="218" t="s">
        <v>134</v>
      </c>
      <c r="D64" s="212"/>
      <c r="E64" s="223" t="s">
        <v>145</v>
      </c>
    </row>
    <row r="65" spans="2:5" ht="30" x14ac:dyDescent="0.2">
      <c r="C65" s="218" t="s">
        <v>135</v>
      </c>
      <c r="D65" s="212"/>
      <c r="E65" s="223" t="s">
        <v>146</v>
      </c>
    </row>
    <row r="66" spans="2:5" ht="16" x14ac:dyDescent="0.2">
      <c r="C66" s="218" t="s">
        <v>136</v>
      </c>
      <c r="D66" s="212"/>
    </row>
    <row r="67" spans="2:5" ht="16" x14ac:dyDescent="0.2">
      <c r="C67" s="218" t="s">
        <v>137</v>
      </c>
      <c r="D67" s="212"/>
    </row>
    <row r="68" spans="2:5" ht="15" x14ac:dyDescent="0.2">
      <c r="C68" s="218"/>
      <c r="D68" s="212"/>
    </row>
    <row r="69" spans="2:5" s="224" customFormat="1" ht="16" customHeight="1" x14ac:dyDescent="0.2">
      <c r="B69" s="225" t="s">
        <v>60</v>
      </c>
      <c r="C69" s="226"/>
      <c r="D69" s="227">
        <v>0.8</v>
      </c>
      <c r="E69" s="226" t="str">
        <f>CONCATENATE("Our thinking on ",CompanyName)</f>
        <v>Our thinking on Awesome Company</v>
      </c>
    </row>
    <row r="70" spans="2:5" ht="30" x14ac:dyDescent="0.2">
      <c r="C70" s="218" t="s">
        <v>138</v>
      </c>
      <c r="E70" s="223" t="s">
        <v>147</v>
      </c>
    </row>
    <row r="71" spans="2:5" ht="16" x14ac:dyDescent="0.2">
      <c r="C71" s="218" t="s">
        <v>139</v>
      </c>
      <c r="D71" s="212"/>
    </row>
    <row r="72" spans="2:5" x14ac:dyDescent="0.2">
      <c r="C72" s="214"/>
      <c r="D72" s="212"/>
    </row>
    <row r="73" spans="2:5" x14ac:dyDescent="0.2">
      <c r="D73" s="212"/>
    </row>
    <row r="74" spans="2:5" x14ac:dyDescent="0.2">
      <c r="D74" s="212"/>
    </row>
    <row r="75" spans="2:5" x14ac:dyDescent="0.2">
      <c r="D75" s="212"/>
    </row>
    <row r="76" spans="2:5" x14ac:dyDescent="0.2">
      <c r="D76" s="212"/>
    </row>
    <row r="77" spans="2:5" x14ac:dyDescent="0.2">
      <c r="D77" s="212"/>
    </row>
    <row r="78" spans="2:5" x14ac:dyDescent="0.2">
      <c r="D78" s="212"/>
    </row>
  </sheetData>
  <conditionalFormatting sqref="G4:G7">
    <cfRule type="expression" dxfId="3" priority="4" stopIfTrue="1">
      <formula>IF($G4=2, TRUE, FALSE)</formula>
    </cfRule>
  </conditionalFormatting>
  <conditionalFormatting sqref="F6:F7 F4">
    <cfRule type="expression" dxfId="2" priority="1" stopIfTrue="1">
      <formula>IF($G4=1, TRUE, FALSE)</formula>
    </cfRule>
  </conditionalFormatting>
  <conditionalFormatting sqref="H4:H7">
    <cfRule type="expression" dxfId="1" priority="2" stopIfTrue="1">
      <formula>IF($G4=3, TRUE, FALSE)</formula>
    </cfRule>
  </conditionalFormatting>
  <conditionalFormatting sqref="I4">
    <cfRule type="expression" dxfId="0" priority="3" stopIfTrue="1">
      <formula>IF($G4=4, TRUE, FALSE)</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C35EF3-FEBD-F542-91AA-396BCFD830FD}">
  <sheetPr codeName="Sheet6"/>
  <dimension ref="C2:T250"/>
  <sheetViews>
    <sheetView workbookViewId="0">
      <selection activeCell="T7" sqref="T7"/>
    </sheetView>
  </sheetViews>
  <sheetFormatPr baseColWidth="10" defaultRowHeight="14" x14ac:dyDescent="0.2"/>
  <cols>
    <col min="1" max="1" width="10.7109375" style="235"/>
    <col min="2" max="3" width="14.7109375" style="235" bestFit="1" customWidth="1"/>
    <col min="4" max="13" width="10.7109375" style="235"/>
    <col min="14" max="14" width="12.5703125" style="235" bestFit="1" customWidth="1"/>
    <col min="15" max="15" width="10.7109375" style="235"/>
    <col min="16" max="16" width="12" style="235" bestFit="1" customWidth="1"/>
    <col min="17" max="18" width="10.7109375" style="235"/>
    <col min="19" max="19" width="13" style="235" bestFit="1" customWidth="1"/>
    <col min="20" max="16384" width="10.7109375" style="235"/>
  </cols>
  <sheetData>
    <row r="2" spans="3:20" ht="19" x14ac:dyDescent="0.25">
      <c r="C2" s="233" t="s">
        <v>151</v>
      </c>
      <c r="D2" s="234">
        <f>SUMPRODUCT(R6:R250,T6:T250)</f>
        <v>7.6174016018850015</v>
      </c>
    </row>
    <row r="3" spans="3:20" x14ac:dyDescent="0.2">
      <c r="M3" s="236" t="s">
        <v>149</v>
      </c>
    </row>
    <row r="5" spans="3:20" x14ac:dyDescent="0.2">
      <c r="M5" s="393" t="s">
        <v>105</v>
      </c>
      <c r="N5" s="394"/>
      <c r="O5" s="395"/>
      <c r="P5" s="237"/>
      <c r="R5" s="238" t="s">
        <v>103</v>
      </c>
      <c r="S5" s="239" t="s">
        <v>104</v>
      </c>
      <c r="T5" s="240" t="s">
        <v>9</v>
      </c>
    </row>
    <row r="6" spans="3:20" x14ac:dyDescent="0.2">
      <c r="M6" s="241" t="s">
        <v>103</v>
      </c>
      <c r="N6" s="242" t="s">
        <v>104</v>
      </c>
      <c r="O6" s="243" t="s">
        <v>9</v>
      </c>
      <c r="P6" s="244" t="s">
        <v>152</v>
      </c>
      <c r="R6" s="235">
        <v>0</v>
      </c>
      <c r="S6" s="245">
        <v>0</v>
      </c>
      <c r="T6" s="246">
        <v>0</v>
      </c>
    </row>
    <row r="7" spans="3:20" x14ac:dyDescent="0.2">
      <c r="M7" s="247">
        <f>Tornado!BU5</f>
        <v>9.765625E-4</v>
      </c>
      <c r="N7" s="248">
        <f>Tornado!BV5</f>
        <v>9.765625E-4</v>
      </c>
      <c r="O7" s="249">
        <f>Tornado!BW5</f>
        <v>2.1745124999999996</v>
      </c>
      <c r="P7" s="250">
        <f t="shared" ref="P7:P70" si="0">pCrossChasm_total * N7</f>
        <v>2.5833937500000003E-4</v>
      </c>
      <c r="R7" s="235">
        <f>S7-S6</f>
        <v>0.73546047999999997</v>
      </c>
      <c r="S7" s="251">
        <f>1-pCrossChasm_total</f>
        <v>0.73546047999999997</v>
      </c>
      <c r="T7" s="250">
        <v>0</v>
      </c>
    </row>
    <row r="8" spans="3:20" x14ac:dyDescent="0.2">
      <c r="M8" s="251">
        <f>Tornado!BU6</f>
        <v>1.953125E-3</v>
      </c>
      <c r="N8" s="252">
        <f>Tornado!BV6</f>
        <v>2.9296875E-3</v>
      </c>
      <c r="O8" s="250">
        <f>Tornado!BW6</f>
        <v>2.5052624999999993</v>
      </c>
      <c r="P8" s="250">
        <f t="shared" si="0"/>
        <v>7.7501812500000008E-4</v>
      </c>
      <c r="R8" s="235">
        <f t="shared" ref="R8:R71" si="1">S8-S7</f>
        <v>2.5833937499997184E-4</v>
      </c>
      <c r="S8" s="251">
        <f>P7+$S$7</f>
        <v>0.73571881937499994</v>
      </c>
      <c r="T8" s="250">
        <f>O7</f>
        <v>2.1745124999999996</v>
      </c>
    </row>
    <row r="9" spans="3:20" x14ac:dyDescent="0.2">
      <c r="M9" s="251">
        <f>Tornado!BU7</f>
        <v>9.765625E-4</v>
      </c>
      <c r="N9" s="252">
        <f>Tornado!BV7</f>
        <v>3.90625E-3</v>
      </c>
      <c r="O9" s="250">
        <f>Tornado!BW7</f>
        <v>2.8360124999999994</v>
      </c>
      <c r="P9" s="250">
        <f t="shared" si="0"/>
        <v>1.0333575000000001E-3</v>
      </c>
      <c r="R9" s="235">
        <f t="shared" si="1"/>
        <v>5.166787500000547E-4</v>
      </c>
      <c r="S9" s="251">
        <f t="shared" ref="S9:S72" si="2">P8+$S$7</f>
        <v>0.736235498125</v>
      </c>
      <c r="T9" s="250">
        <f t="shared" ref="T9:T72" si="3">O8</f>
        <v>2.5052624999999993</v>
      </c>
    </row>
    <row r="10" spans="3:20" x14ac:dyDescent="0.2">
      <c r="M10" s="251">
        <f>Tornado!BU8</f>
        <v>1.953125E-3</v>
      </c>
      <c r="N10" s="252">
        <f>Tornado!BV8</f>
        <v>5.859375E-3</v>
      </c>
      <c r="O10" s="250">
        <f>Tornado!BW8</f>
        <v>2.8993499999999996</v>
      </c>
      <c r="P10" s="250">
        <f t="shared" si="0"/>
        <v>1.5500362500000002E-3</v>
      </c>
      <c r="R10" s="235">
        <f t="shared" si="1"/>
        <v>2.5833937499997184E-4</v>
      </c>
      <c r="S10" s="251">
        <f t="shared" si="2"/>
        <v>0.73649383749999997</v>
      </c>
      <c r="T10" s="250">
        <f t="shared" si="3"/>
        <v>2.8360124999999994</v>
      </c>
    </row>
    <row r="11" spans="3:20" x14ac:dyDescent="0.2">
      <c r="M11" s="251">
        <f>Tornado!BU9</f>
        <v>3.90625E-3</v>
      </c>
      <c r="N11" s="252">
        <f>Tornado!BV9</f>
        <v>9.765625E-3</v>
      </c>
      <c r="O11" s="250">
        <f>Tornado!BW9</f>
        <v>3.3403499999999995</v>
      </c>
      <c r="P11" s="250">
        <f t="shared" si="0"/>
        <v>2.5833937500000003E-3</v>
      </c>
      <c r="R11" s="235">
        <f t="shared" si="1"/>
        <v>5.166787500000547E-4</v>
      </c>
      <c r="S11" s="251">
        <f t="shared" si="2"/>
        <v>0.73701051625000003</v>
      </c>
      <c r="T11" s="250">
        <f t="shared" si="3"/>
        <v>2.8993499999999996</v>
      </c>
    </row>
    <row r="12" spans="3:20" x14ac:dyDescent="0.2">
      <c r="M12" s="251">
        <f>Tornado!BU10</f>
        <v>1.953125E-3</v>
      </c>
      <c r="N12" s="252">
        <f>Tornado!BV10</f>
        <v>1.171875E-2</v>
      </c>
      <c r="O12" s="250">
        <f>Tornado!BW10</f>
        <v>3.6241874999999997</v>
      </c>
      <c r="P12" s="250">
        <f t="shared" si="0"/>
        <v>3.1000725000000003E-3</v>
      </c>
      <c r="R12" s="235">
        <f t="shared" si="1"/>
        <v>1.0333574999999984E-3</v>
      </c>
      <c r="S12" s="251">
        <f t="shared" si="2"/>
        <v>0.73804387375000002</v>
      </c>
      <c r="T12" s="250">
        <f t="shared" si="3"/>
        <v>3.3403499999999995</v>
      </c>
    </row>
    <row r="13" spans="3:20" x14ac:dyDescent="0.2">
      <c r="M13" s="251">
        <f>Tornado!BU11</f>
        <v>9.765625E-4</v>
      </c>
      <c r="N13" s="252">
        <f>Tornado!BV11</f>
        <v>1.26953125E-2</v>
      </c>
      <c r="O13" s="250">
        <f>Tornado!BW11</f>
        <v>3.7277357142857133</v>
      </c>
      <c r="P13" s="250">
        <f t="shared" si="0"/>
        <v>3.3584118750000004E-3</v>
      </c>
      <c r="R13" s="235">
        <f t="shared" si="1"/>
        <v>5.1667874999994368E-4</v>
      </c>
      <c r="S13" s="251">
        <f t="shared" si="2"/>
        <v>0.73856055249999997</v>
      </c>
      <c r="T13" s="250">
        <f t="shared" si="3"/>
        <v>3.6241874999999997</v>
      </c>
    </row>
    <row r="14" spans="3:20" x14ac:dyDescent="0.2">
      <c r="M14" s="251">
        <f>Tornado!BU12</f>
        <v>1.953125E-3</v>
      </c>
      <c r="N14" s="252">
        <f>Tornado!BV12</f>
        <v>1.46484375E-2</v>
      </c>
      <c r="O14" s="250">
        <f>Tornado!BW12</f>
        <v>3.7813499999999989</v>
      </c>
      <c r="P14" s="250">
        <f t="shared" si="0"/>
        <v>3.8750906250000004E-3</v>
      </c>
      <c r="R14" s="235">
        <f t="shared" si="1"/>
        <v>2.5833937499997184E-4</v>
      </c>
      <c r="S14" s="251">
        <f t="shared" si="2"/>
        <v>0.73881889187499994</v>
      </c>
      <c r="T14" s="250">
        <f t="shared" si="3"/>
        <v>3.7277357142857133</v>
      </c>
    </row>
    <row r="15" spans="3:20" x14ac:dyDescent="0.2">
      <c r="M15" s="251">
        <f>Tornado!BU13</f>
        <v>3.90625E-3</v>
      </c>
      <c r="N15" s="252">
        <f>Tornado!BV13</f>
        <v>1.85546875E-2</v>
      </c>
      <c r="O15" s="250">
        <f>Tornado!BW13</f>
        <v>4.1754375000000001</v>
      </c>
      <c r="P15" s="250">
        <f t="shared" si="0"/>
        <v>4.908448125000001E-3</v>
      </c>
      <c r="R15" s="235">
        <f t="shared" si="1"/>
        <v>5.166787500000547E-4</v>
      </c>
      <c r="S15" s="251">
        <f t="shared" si="2"/>
        <v>0.73933557062499999</v>
      </c>
      <c r="T15" s="250">
        <f t="shared" si="3"/>
        <v>3.7813499999999989</v>
      </c>
    </row>
    <row r="16" spans="3:20" x14ac:dyDescent="0.2">
      <c r="M16" s="251">
        <f>Tornado!BU14</f>
        <v>1.953125E-3</v>
      </c>
      <c r="N16" s="252">
        <f>Tornado!BV14</f>
        <v>2.05078125E-2</v>
      </c>
      <c r="O16" s="250">
        <f>Tornado!BW14</f>
        <v>4.2947357142857125</v>
      </c>
      <c r="P16" s="250">
        <f t="shared" si="0"/>
        <v>5.4251268750000001E-3</v>
      </c>
      <c r="R16" s="235">
        <f t="shared" si="1"/>
        <v>1.0333574999999984E-3</v>
      </c>
      <c r="S16" s="251">
        <f t="shared" si="2"/>
        <v>0.74036892812499999</v>
      </c>
      <c r="T16" s="250">
        <f t="shared" si="3"/>
        <v>4.1754375000000001</v>
      </c>
    </row>
    <row r="17" spans="13:20" x14ac:dyDescent="0.2">
      <c r="M17" s="251">
        <f>Tornado!BU15</f>
        <v>1.953125E-3</v>
      </c>
      <c r="N17" s="252">
        <f>Tornado!BV15</f>
        <v>2.24609375E-2</v>
      </c>
      <c r="O17" s="250">
        <f>Tornado!BW15</f>
        <v>4.4236124999999999</v>
      </c>
      <c r="P17" s="250">
        <f t="shared" si="0"/>
        <v>5.9418056250000011E-3</v>
      </c>
      <c r="R17" s="235">
        <f t="shared" si="1"/>
        <v>5.1667874999994368E-4</v>
      </c>
      <c r="S17" s="251">
        <f t="shared" si="2"/>
        <v>0.74088560687499994</v>
      </c>
      <c r="T17" s="250">
        <f t="shared" si="3"/>
        <v>4.2947357142857125</v>
      </c>
    </row>
    <row r="18" spans="13:20" x14ac:dyDescent="0.2">
      <c r="M18" s="251">
        <f>Tornado!BU16</f>
        <v>1.953125E-3</v>
      </c>
      <c r="N18" s="252">
        <f>Tornado!BV16</f>
        <v>2.44140625E-2</v>
      </c>
      <c r="O18" s="250">
        <f>Tornado!BW16</f>
        <v>4.7266874999999997</v>
      </c>
      <c r="P18" s="250">
        <f t="shared" si="0"/>
        <v>6.4584843750000002E-3</v>
      </c>
      <c r="R18" s="235">
        <f t="shared" si="1"/>
        <v>5.166787500000547E-4</v>
      </c>
      <c r="S18" s="251">
        <f t="shared" si="2"/>
        <v>0.74140228562499999</v>
      </c>
      <c r="T18" s="250">
        <f t="shared" si="3"/>
        <v>4.4236124999999999</v>
      </c>
    </row>
    <row r="19" spans="13:20" x14ac:dyDescent="0.2">
      <c r="M19" s="251">
        <f>Tornado!BU17</f>
        <v>3.90625E-3</v>
      </c>
      <c r="N19" s="252">
        <f>Tornado!BV17</f>
        <v>2.83203125E-2</v>
      </c>
      <c r="O19" s="250">
        <f>Tornado!BW17</f>
        <v>4.8322499999999984</v>
      </c>
      <c r="P19" s="250">
        <f t="shared" si="0"/>
        <v>7.4918418750000004E-3</v>
      </c>
      <c r="R19" s="235">
        <f t="shared" si="1"/>
        <v>5.1667874999994368E-4</v>
      </c>
      <c r="S19" s="251">
        <f t="shared" si="2"/>
        <v>0.74191896437499993</v>
      </c>
      <c r="T19" s="250">
        <f t="shared" si="3"/>
        <v>4.7266874999999997</v>
      </c>
    </row>
    <row r="20" spans="13:20" x14ac:dyDescent="0.2">
      <c r="M20" s="251">
        <f>Tornado!BU18</f>
        <v>9.765625E-4</v>
      </c>
      <c r="N20" s="252">
        <f>Tornado!BV18</f>
        <v>2.9296875E-2</v>
      </c>
      <c r="O20" s="250">
        <f>Tornado!BW18</f>
        <v>4.8617357142857136</v>
      </c>
      <c r="P20" s="250">
        <f t="shared" si="0"/>
        <v>7.7501812500000008E-3</v>
      </c>
      <c r="R20" s="235">
        <f t="shared" si="1"/>
        <v>1.0333574999999984E-3</v>
      </c>
      <c r="S20" s="251">
        <f t="shared" si="2"/>
        <v>0.74295232187499993</v>
      </c>
      <c r="T20" s="250">
        <f t="shared" si="3"/>
        <v>4.8322499999999984</v>
      </c>
    </row>
    <row r="21" spans="13:20" x14ac:dyDescent="0.2">
      <c r="M21" s="251">
        <f>Tornado!BU19</f>
        <v>1.953125E-3</v>
      </c>
      <c r="N21" s="252">
        <f>Tornado!BV19</f>
        <v>3.125E-2</v>
      </c>
      <c r="O21" s="250">
        <f>Tornado!BW19</f>
        <v>5.0738624999999997</v>
      </c>
      <c r="P21" s="250">
        <f t="shared" si="0"/>
        <v>8.2668600000000009E-3</v>
      </c>
      <c r="R21" s="235">
        <f t="shared" si="1"/>
        <v>2.5833937500008286E-4</v>
      </c>
      <c r="S21" s="251">
        <f t="shared" si="2"/>
        <v>0.74321066125000002</v>
      </c>
      <c r="T21" s="250">
        <f t="shared" si="3"/>
        <v>4.8617357142857136</v>
      </c>
    </row>
    <row r="22" spans="13:20" x14ac:dyDescent="0.2">
      <c r="M22" s="251">
        <f>Tornado!BU20</f>
        <v>9.765625E-4</v>
      </c>
      <c r="N22" s="252">
        <f>Tornado!BV20</f>
        <v>3.22265625E-2</v>
      </c>
      <c r="O22" s="250">
        <f>Tornado!BW20</f>
        <v>5.0738624999999997</v>
      </c>
      <c r="P22" s="250">
        <f t="shared" si="0"/>
        <v>8.5251993750000005E-3</v>
      </c>
      <c r="R22" s="235">
        <f t="shared" si="1"/>
        <v>5.1667874999994368E-4</v>
      </c>
      <c r="S22" s="251">
        <f t="shared" si="2"/>
        <v>0.74372733999999996</v>
      </c>
      <c r="T22" s="250">
        <f t="shared" si="3"/>
        <v>5.0738624999999997</v>
      </c>
    </row>
    <row r="23" spans="13:20" x14ac:dyDescent="0.2">
      <c r="M23" s="251">
        <f>Tornado!BU21</f>
        <v>3.90625E-3</v>
      </c>
      <c r="N23" s="252">
        <f>Tornado!BV21</f>
        <v>3.61328125E-2</v>
      </c>
      <c r="O23" s="250">
        <f>Tornado!BW21</f>
        <v>5.2504875000000002</v>
      </c>
      <c r="P23" s="250">
        <f t="shared" si="0"/>
        <v>9.5585568750000006E-3</v>
      </c>
      <c r="R23" s="235">
        <f t="shared" si="1"/>
        <v>2.5833937499997184E-4</v>
      </c>
      <c r="S23" s="251">
        <f t="shared" si="2"/>
        <v>0.74398567937499993</v>
      </c>
      <c r="T23" s="250">
        <f t="shared" si="3"/>
        <v>5.0738624999999997</v>
      </c>
    </row>
    <row r="24" spans="13:20" x14ac:dyDescent="0.2">
      <c r="M24" s="251">
        <f>Tornado!BU22</f>
        <v>7.8125E-3</v>
      </c>
      <c r="N24" s="252">
        <f>Tornado!BV22</f>
        <v>4.39453125E-2</v>
      </c>
      <c r="O24" s="250">
        <f>Tornado!BW22</f>
        <v>5.5672499999999987</v>
      </c>
      <c r="P24" s="250">
        <f t="shared" si="0"/>
        <v>1.1625271875000001E-2</v>
      </c>
      <c r="R24" s="235">
        <f t="shared" si="1"/>
        <v>1.0333574999999984E-3</v>
      </c>
      <c r="S24" s="251">
        <f t="shared" si="2"/>
        <v>0.74501903687499993</v>
      </c>
      <c r="T24" s="250">
        <f t="shared" si="3"/>
        <v>5.2504875000000002</v>
      </c>
    </row>
    <row r="25" spans="13:20" x14ac:dyDescent="0.2">
      <c r="M25" s="251">
        <f>Tornado!BU23</f>
        <v>3.90625E-3</v>
      </c>
      <c r="N25" s="252">
        <f>Tornado!BV23</f>
        <v>4.78515625E-2</v>
      </c>
      <c r="O25" s="250">
        <f>Tornado!BW23</f>
        <v>5.8456124999999988</v>
      </c>
      <c r="P25" s="250">
        <f t="shared" si="0"/>
        <v>1.2658629375000001E-2</v>
      </c>
      <c r="R25" s="235">
        <f t="shared" si="1"/>
        <v>2.0667149999999967E-3</v>
      </c>
      <c r="S25" s="251">
        <f t="shared" si="2"/>
        <v>0.74708575187499993</v>
      </c>
      <c r="T25" s="250">
        <f t="shared" si="3"/>
        <v>5.5672499999999987</v>
      </c>
    </row>
    <row r="26" spans="13:20" x14ac:dyDescent="0.2">
      <c r="M26" s="251">
        <f>Tornado!BU24</f>
        <v>1.953125E-3</v>
      </c>
      <c r="N26" s="252">
        <f>Tornado!BV24</f>
        <v>4.98046875E-2</v>
      </c>
      <c r="O26" s="250">
        <f>Tornado!BW24</f>
        <v>5.8456124999999988</v>
      </c>
      <c r="P26" s="250">
        <f t="shared" si="0"/>
        <v>1.3175308125000002E-2</v>
      </c>
      <c r="R26" s="235">
        <f t="shared" si="1"/>
        <v>1.0333574999999984E-3</v>
      </c>
      <c r="S26" s="251">
        <f t="shared" si="2"/>
        <v>0.74811910937499992</v>
      </c>
      <c r="T26" s="250">
        <f t="shared" si="3"/>
        <v>5.8456124999999988</v>
      </c>
    </row>
    <row r="27" spans="13:20" x14ac:dyDescent="0.2">
      <c r="M27" s="251">
        <f>Tornado!BU25</f>
        <v>3.90625E-3</v>
      </c>
      <c r="N27" s="252">
        <f>Tornado!BV25</f>
        <v>5.37109375E-2</v>
      </c>
      <c r="O27" s="250">
        <f>Tornado!BW25</f>
        <v>5.8981500000000011</v>
      </c>
      <c r="P27" s="250">
        <f t="shared" si="0"/>
        <v>1.4208665625000002E-2</v>
      </c>
      <c r="R27" s="235">
        <f t="shared" si="1"/>
        <v>5.166787500000547E-4</v>
      </c>
      <c r="S27" s="251">
        <f t="shared" si="2"/>
        <v>0.74863578812499998</v>
      </c>
      <c r="T27" s="250">
        <f t="shared" si="3"/>
        <v>5.8456124999999988</v>
      </c>
    </row>
    <row r="28" spans="13:20" x14ac:dyDescent="0.2">
      <c r="M28" s="251">
        <f>Tornado!BU26</f>
        <v>1.953125E-3</v>
      </c>
      <c r="N28" s="252">
        <f>Tornado!BV26</f>
        <v>5.56640625E-2</v>
      </c>
      <c r="O28" s="250">
        <f>Tornado!BW26</f>
        <v>6.0773625000000004</v>
      </c>
      <c r="P28" s="250">
        <f t="shared" si="0"/>
        <v>1.4725344375000001E-2</v>
      </c>
      <c r="R28" s="235">
        <f t="shared" si="1"/>
        <v>1.0333574999999984E-3</v>
      </c>
      <c r="S28" s="251">
        <f t="shared" si="2"/>
        <v>0.74966914562499998</v>
      </c>
      <c r="T28" s="250">
        <f t="shared" si="3"/>
        <v>5.8981500000000011</v>
      </c>
    </row>
    <row r="29" spans="13:20" x14ac:dyDescent="0.2">
      <c r="M29" s="251">
        <f>Tornado!BU27</f>
        <v>1.953125E-3</v>
      </c>
      <c r="N29" s="252">
        <f>Tornado!BV27</f>
        <v>5.76171875E-2</v>
      </c>
      <c r="O29" s="250">
        <f>Tornado!BW27</f>
        <v>6.2128928571428563</v>
      </c>
      <c r="P29" s="250">
        <f t="shared" si="0"/>
        <v>1.5242023125000002E-2</v>
      </c>
      <c r="R29" s="235">
        <f t="shared" si="1"/>
        <v>5.1667874999994368E-4</v>
      </c>
      <c r="S29" s="251">
        <f t="shared" si="2"/>
        <v>0.75018582437499992</v>
      </c>
      <c r="T29" s="250">
        <f t="shared" si="3"/>
        <v>6.0773625000000004</v>
      </c>
    </row>
    <row r="30" spans="13:20" x14ac:dyDescent="0.2">
      <c r="M30" s="251">
        <f>Tornado!BU28</f>
        <v>3.90625E-3</v>
      </c>
      <c r="N30" s="252">
        <f>Tornado!BV28</f>
        <v>6.15234375E-2</v>
      </c>
      <c r="O30" s="250">
        <f>Tornado!BW28</f>
        <v>6.3022499999999981</v>
      </c>
      <c r="P30" s="250">
        <f t="shared" si="0"/>
        <v>1.6275380625000002E-2</v>
      </c>
      <c r="R30" s="235">
        <f t="shared" si="1"/>
        <v>5.166787500000547E-4</v>
      </c>
      <c r="S30" s="251">
        <f t="shared" si="2"/>
        <v>0.75070250312499998</v>
      </c>
      <c r="T30" s="250">
        <f t="shared" si="3"/>
        <v>6.2128928571428563</v>
      </c>
    </row>
    <row r="31" spans="13:20" x14ac:dyDescent="0.2">
      <c r="M31" s="251">
        <f>Tornado!BU29</f>
        <v>1.953125E-3</v>
      </c>
      <c r="N31" s="252">
        <f>Tornado!BV29</f>
        <v>6.34765625E-2</v>
      </c>
      <c r="O31" s="250">
        <f>Tornado!BW29</f>
        <v>6.6173624999999978</v>
      </c>
      <c r="P31" s="250">
        <f t="shared" si="0"/>
        <v>1.6792059375000001E-2</v>
      </c>
      <c r="R31" s="235">
        <f t="shared" si="1"/>
        <v>1.0333574999999984E-3</v>
      </c>
      <c r="S31" s="251">
        <f t="shared" si="2"/>
        <v>0.75173586062499997</v>
      </c>
      <c r="T31" s="250">
        <f t="shared" si="3"/>
        <v>6.3022499999999981</v>
      </c>
    </row>
    <row r="32" spans="13:20" x14ac:dyDescent="0.2">
      <c r="M32" s="251">
        <f>Tornado!BU30</f>
        <v>9.765625E-4</v>
      </c>
      <c r="N32" s="252">
        <f>Tornado!BV30</f>
        <v>6.4453125E-2</v>
      </c>
      <c r="O32" s="250">
        <f>Tornado!BW30</f>
        <v>6.6173624999999978</v>
      </c>
      <c r="P32" s="250">
        <f t="shared" si="0"/>
        <v>1.7050398750000001E-2</v>
      </c>
      <c r="R32" s="235">
        <f t="shared" si="1"/>
        <v>5.1667874999994368E-4</v>
      </c>
      <c r="S32" s="251">
        <f t="shared" si="2"/>
        <v>0.75225253937499992</v>
      </c>
      <c r="T32" s="250">
        <f t="shared" si="3"/>
        <v>6.6173624999999978</v>
      </c>
    </row>
    <row r="33" spans="13:20" x14ac:dyDescent="0.2">
      <c r="M33" s="251">
        <f>Tornado!BU31</f>
        <v>1.953125E-3</v>
      </c>
      <c r="N33" s="252">
        <f>Tornado!BV31</f>
        <v>6.640625E-2</v>
      </c>
      <c r="O33" s="250">
        <f>Tornado!BW31</f>
        <v>6.7651499999999984</v>
      </c>
      <c r="P33" s="250">
        <f t="shared" si="0"/>
        <v>1.75670775E-2</v>
      </c>
      <c r="R33" s="235">
        <f t="shared" si="1"/>
        <v>2.5833937500008286E-4</v>
      </c>
      <c r="S33" s="251">
        <f t="shared" si="2"/>
        <v>0.75251087875</v>
      </c>
      <c r="T33" s="250">
        <f t="shared" si="3"/>
        <v>6.6173624999999978</v>
      </c>
    </row>
    <row r="34" spans="13:20" x14ac:dyDescent="0.2">
      <c r="M34" s="251">
        <f>Tornado!BU32</f>
        <v>3.90625E-3</v>
      </c>
      <c r="N34" s="252">
        <f>Tornado!BV32</f>
        <v>7.03125E-2</v>
      </c>
      <c r="O34" s="250">
        <f>Tornado!BW32</f>
        <v>6.7651499999999984</v>
      </c>
      <c r="P34" s="250">
        <f t="shared" si="0"/>
        <v>1.8600435000000002E-2</v>
      </c>
      <c r="R34" s="235">
        <f t="shared" si="1"/>
        <v>5.1667874999994368E-4</v>
      </c>
      <c r="S34" s="251">
        <f t="shared" si="2"/>
        <v>0.75302755749999994</v>
      </c>
      <c r="T34" s="250">
        <f t="shared" si="3"/>
        <v>6.7651499999999984</v>
      </c>
    </row>
    <row r="35" spans="13:20" x14ac:dyDescent="0.2">
      <c r="M35" s="251">
        <f>Tornado!BU33</f>
        <v>7.8125E-3</v>
      </c>
      <c r="N35" s="252">
        <f>Tornado!BV33</f>
        <v>7.8125E-2</v>
      </c>
      <c r="O35" s="250">
        <f>Tornado!BW33</f>
        <v>7.0006500000000003</v>
      </c>
      <c r="P35" s="250">
        <f t="shared" si="0"/>
        <v>2.0667150000000002E-2</v>
      </c>
      <c r="R35" s="235">
        <f t="shared" si="1"/>
        <v>1.0333574999999984E-3</v>
      </c>
      <c r="S35" s="251">
        <f t="shared" si="2"/>
        <v>0.75406091499999994</v>
      </c>
      <c r="T35" s="250">
        <f t="shared" si="3"/>
        <v>6.7651499999999984</v>
      </c>
    </row>
    <row r="36" spans="13:20" x14ac:dyDescent="0.2">
      <c r="M36" s="251">
        <f>Tornado!BU34</f>
        <v>3.90625E-3</v>
      </c>
      <c r="N36" s="252">
        <f>Tornado!BV34</f>
        <v>8.203125E-2</v>
      </c>
      <c r="O36" s="250">
        <f>Tornado!BW34</f>
        <v>7.1578928571428557</v>
      </c>
      <c r="P36" s="250">
        <f t="shared" si="0"/>
        <v>2.1700507500000001E-2</v>
      </c>
      <c r="R36" s="235">
        <f t="shared" si="1"/>
        <v>2.0667149999999967E-3</v>
      </c>
      <c r="S36" s="251">
        <f t="shared" si="2"/>
        <v>0.75612762999999994</v>
      </c>
      <c r="T36" s="250">
        <f t="shared" si="3"/>
        <v>7.0006500000000003</v>
      </c>
    </row>
    <row r="37" spans="13:20" x14ac:dyDescent="0.2">
      <c r="M37" s="251">
        <f>Tornado!BU35</f>
        <v>9.765625E-4</v>
      </c>
      <c r="N37" s="252">
        <f>Tornado!BV35</f>
        <v>8.30078125E-2</v>
      </c>
      <c r="O37" s="250">
        <f>Tornado!BW35</f>
        <v>7.2483749999999993</v>
      </c>
      <c r="P37" s="250">
        <f t="shared" si="0"/>
        <v>2.1958846875000004E-2</v>
      </c>
      <c r="R37" s="235">
        <f t="shared" si="1"/>
        <v>1.0333574999999984E-3</v>
      </c>
      <c r="S37" s="251">
        <f t="shared" si="2"/>
        <v>0.75716098749999994</v>
      </c>
      <c r="T37" s="250">
        <f t="shared" si="3"/>
        <v>7.1578928571428557</v>
      </c>
    </row>
    <row r="38" spans="13:20" x14ac:dyDescent="0.2">
      <c r="M38" s="251">
        <f>Tornado!BU36</f>
        <v>3.90625E-3</v>
      </c>
      <c r="N38" s="252">
        <f>Tornado!BV36</f>
        <v>8.69140625E-2</v>
      </c>
      <c r="O38" s="250">
        <f>Tornado!BW36</f>
        <v>7.3726874999999996</v>
      </c>
      <c r="P38" s="250">
        <f t="shared" si="0"/>
        <v>2.2992204375000002E-2</v>
      </c>
      <c r="R38" s="235">
        <f t="shared" si="1"/>
        <v>2.5833937500008286E-4</v>
      </c>
      <c r="S38" s="251">
        <f t="shared" si="2"/>
        <v>0.75741932687500002</v>
      </c>
      <c r="T38" s="250">
        <f t="shared" si="3"/>
        <v>7.2483749999999993</v>
      </c>
    </row>
    <row r="39" spans="13:20" x14ac:dyDescent="0.2">
      <c r="M39" s="251">
        <f>Tornado!BU37</f>
        <v>1.953125E-3</v>
      </c>
      <c r="N39" s="252">
        <f>Tornado!BV37</f>
        <v>8.88671875E-2</v>
      </c>
      <c r="O39" s="250">
        <f>Tornado!BW37</f>
        <v>7.583335714285715</v>
      </c>
      <c r="P39" s="250">
        <f t="shared" si="0"/>
        <v>2.3508883125000001E-2</v>
      </c>
      <c r="R39" s="235">
        <f t="shared" si="1"/>
        <v>1.0333574999999984E-3</v>
      </c>
      <c r="S39" s="251">
        <f t="shared" si="2"/>
        <v>0.75845268437500002</v>
      </c>
      <c r="T39" s="250">
        <f t="shared" si="3"/>
        <v>7.3726874999999996</v>
      </c>
    </row>
    <row r="40" spans="13:20" x14ac:dyDescent="0.2">
      <c r="M40" s="251">
        <f>Tornado!BU38</f>
        <v>7.8125E-3</v>
      </c>
      <c r="N40" s="252">
        <f>Tornado!BV38</f>
        <v>9.66796875E-2</v>
      </c>
      <c r="O40" s="250">
        <f>Tornado!BW38</f>
        <v>7.7941499999999984</v>
      </c>
      <c r="P40" s="250">
        <f t="shared" si="0"/>
        <v>2.5575598125000001E-2</v>
      </c>
      <c r="R40" s="235">
        <f t="shared" si="1"/>
        <v>5.1667874999994368E-4</v>
      </c>
      <c r="S40" s="251">
        <f t="shared" si="2"/>
        <v>0.75896936312499996</v>
      </c>
      <c r="T40" s="250">
        <f t="shared" si="3"/>
        <v>7.583335714285715</v>
      </c>
    </row>
    <row r="41" spans="13:20" x14ac:dyDescent="0.2">
      <c r="M41" s="251">
        <f>Tornado!BU39</f>
        <v>3.90625E-3</v>
      </c>
      <c r="N41" s="252">
        <f>Tornado!BV39</f>
        <v>0.1005859375</v>
      </c>
      <c r="O41" s="250">
        <f>Tornado!BW39</f>
        <v>7.7941499999999984</v>
      </c>
      <c r="P41" s="250">
        <f t="shared" si="0"/>
        <v>2.6608955625000003E-2</v>
      </c>
      <c r="R41" s="235">
        <f t="shared" si="1"/>
        <v>2.0667149999999967E-3</v>
      </c>
      <c r="S41" s="251">
        <f t="shared" si="2"/>
        <v>0.76103607812499996</v>
      </c>
      <c r="T41" s="250">
        <f t="shared" si="3"/>
        <v>7.7941499999999984</v>
      </c>
    </row>
    <row r="42" spans="13:20" x14ac:dyDescent="0.2">
      <c r="M42" s="251">
        <f>Tornado!BU40</f>
        <v>1.953125E-3</v>
      </c>
      <c r="N42" s="252">
        <f>Tornado!BV40</f>
        <v>0.1025390625</v>
      </c>
      <c r="O42" s="250">
        <f>Tornado!BW40</f>
        <v>8.1028928571428569</v>
      </c>
      <c r="P42" s="250">
        <f t="shared" si="0"/>
        <v>2.7125634375000002E-2</v>
      </c>
      <c r="R42" s="235">
        <f t="shared" si="1"/>
        <v>1.0333574999999984E-3</v>
      </c>
      <c r="S42" s="251">
        <f t="shared" si="2"/>
        <v>0.76206943562499996</v>
      </c>
      <c r="T42" s="250">
        <f t="shared" si="3"/>
        <v>7.7941499999999984</v>
      </c>
    </row>
    <row r="43" spans="13:20" x14ac:dyDescent="0.2">
      <c r="M43" s="251">
        <f>Tornado!BU41</f>
        <v>3.90625E-3</v>
      </c>
      <c r="N43" s="252">
        <f>Tornado!BV41</f>
        <v>0.1064453125</v>
      </c>
      <c r="O43" s="250">
        <f>Tornado!BW41</f>
        <v>8.1031499999999994</v>
      </c>
      <c r="P43" s="250">
        <f t="shared" si="0"/>
        <v>2.8158991875000004E-2</v>
      </c>
      <c r="R43" s="235">
        <f t="shared" si="1"/>
        <v>5.166787500000547E-4</v>
      </c>
      <c r="S43" s="251">
        <f t="shared" si="2"/>
        <v>0.76258611437500001</v>
      </c>
      <c r="T43" s="250">
        <f t="shared" si="3"/>
        <v>8.1028928571428569</v>
      </c>
    </row>
    <row r="44" spans="13:20" x14ac:dyDescent="0.2">
      <c r="M44" s="251">
        <f>Tornado!BU42</f>
        <v>9.765625E-4</v>
      </c>
      <c r="N44" s="252">
        <f>Tornado!BV42</f>
        <v>0.107421875</v>
      </c>
      <c r="O44" s="250">
        <f>Tornado!BW42</f>
        <v>8.172112499999999</v>
      </c>
      <c r="P44" s="250">
        <f t="shared" si="0"/>
        <v>2.8417331250000004E-2</v>
      </c>
      <c r="R44" s="235">
        <f t="shared" si="1"/>
        <v>1.0333574999999984E-3</v>
      </c>
      <c r="S44" s="251">
        <f t="shared" si="2"/>
        <v>0.76361947187500001</v>
      </c>
      <c r="T44" s="250">
        <f t="shared" si="3"/>
        <v>8.1031499999999994</v>
      </c>
    </row>
    <row r="45" spans="13:20" x14ac:dyDescent="0.2">
      <c r="M45" s="251">
        <f>Tornado!BU43</f>
        <v>1.953125E-3</v>
      </c>
      <c r="N45" s="252">
        <f>Tornado!BV43</f>
        <v>0.109375</v>
      </c>
      <c r="O45" s="250">
        <f>Tornado!BW43</f>
        <v>8.3508750000000003</v>
      </c>
      <c r="P45" s="250">
        <f t="shared" si="0"/>
        <v>2.8934010000000003E-2</v>
      </c>
      <c r="R45" s="235">
        <f t="shared" si="1"/>
        <v>2.5833937499997184E-4</v>
      </c>
      <c r="S45" s="251">
        <f t="shared" si="2"/>
        <v>0.76387781124999998</v>
      </c>
      <c r="T45" s="250">
        <f t="shared" si="3"/>
        <v>8.172112499999999</v>
      </c>
    </row>
    <row r="46" spans="13:20" x14ac:dyDescent="0.2">
      <c r="M46" s="251">
        <f>Tornado!BU44</f>
        <v>3.90625E-3</v>
      </c>
      <c r="N46" s="252">
        <f>Tornado!BV44</f>
        <v>0.11328125</v>
      </c>
      <c r="O46" s="250">
        <f>Tornado!BW44</f>
        <v>8.4564374999999981</v>
      </c>
      <c r="P46" s="250">
        <f t="shared" si="0"/>
        <v>2.9967367500000001E-2</v>
      </c>
      <c r="R46" s="235">
        <f t="shared" si="1"/>
        <v>5.1667874999994368E-4</v>
      </c>
      <c r="S46" s="251">
        <f t="shared" si="2"/>
        <v>0.76439448999999993</v>
      </c>
      <c r="T46" s="250">
        <f t="shared" si="3"/>
        <v>8.3508750000000003</v>
      </c>
    </row>
    <row r="47" spans="13:20" x14ac:dyDescent="0.2">
      <c r="M47" s="251">
        <f>Tornado!BU45</f>
        <v>1.953125E-3</v>
      </c>
      <c r="N47" s="252">
        <f>Tornado!BV45</f>
        <v>0.115234375</v>
      </c>
      <c r="O47" s="250">
        <f>Tornado!BW45</f>
        <v>8.6980499999999985</v>
      </c>
      <c r="P47" s="250">
        <f t="shared" si="0"/>
        <v>3.0484046250000004E-2</v>
      </c>
      <c r="R47" s="235">
        <f t="shared" si="1"/>
        <v>1.0333574999999984E-3</v>
      </c>
      <c r="S47" s="251">
        <f t="shared" si="2"/>
        <v>0.76542784749999992</v>
      </c>
      <c r="T47" s="250">
        <f t="shared" si="3"/>
        <v>8.4564374999999981</v>
      </c>
    </row>
    <row r="48" spans="13:20" x14ac:dyDescent="0.2">
      <c r="M48" s="251">
        <f>Tornado!BU46</f>
        <v>9.765625E-4</v>
      </c>
      <c r="N48" s="252">
        <f>Tornado!BV46</f>
        <v>0.1162109375</v>
      </c>
      <c r="O48" s="250">
        <f>Tornado!BW46</f>
        <v>8.6980499999999985</v>
      </c>
      <c r="P48" s="250">
        <f t="shared" si="0"/>
        <v>3.0742385625000004E-2</v>
      </c>
      <c r="R48" s="235">
        <f t="shared" si="1"/>
        <v>5.166787500000547E-4</v>
      </c>
      <c r="S48" s="251">
        <f t="shared" si="2"/>
        <v>0.76594452624999998</v>
      </c>
      <c r="T48" s="250">
        <f t="shared" si="3"/>
        <v>8.6980499999999985</v>
      </c>
    </row>
    <row r="49" spans="13:20" x14ac:dyDescent="0.2">
      <c r="M49" s="251">
        <f>Tornado!BU47</f>
        <v>7.8125E-3</v>
      </c>
      <c r="N49" s="252">
        <f>Tornado!BV47</f>
        <v>0.1240234375</v>
      </c>
      <c r="O49" s="250">
        <f>Tornado!BW47</f>
        <v>8.7508125000000003</v>
      </c>
      <c r="P49" s="250">
        <f t="shared" si="0"/>
        <v>3.2809100625000004E-2</v>
      </c>
      <c r="R49" s="235">
        <f t="shared" si="1"/>
        <v>2.5833937499997184E-4</v>
      </c>
      <c r="S49" s="251">
        <f t="shared" si="2"/>
        <v>0.76620286562499995</v>
      </c>
      <c r="T49" s="250">
        <f t="shared" si="3"/>
        <v>8.6980499999999985</v>
      </c>
    </row>
    <row r="50" spans="13:20" x14ac:dyDescent="0.2">
      <c r="M50" s="251">
        <f>Tornado!BU48</f>
        <v>3.90625E-3</v>
      </c>
      <c r="N50" s="252">
        <f>Tornado!BV48</f>
        <v>0.1279296875</v>
      </c>
      <c r="O50" s="250">
        <f>Tornado!BW48</f>
        <v>8.8231499999999983</v>
      </c>
      <c r="P50" s="250">
        <f t="shared" si="0"/>
        <v>3.3842458125000002E-2</v>
      </c>
      <c r="R50" s="235">
        <f t="shared" si="1"/>
        <v>2.0667149999999967E-3</v>
      </c>
      <c r="S50" s="251">
        <f t="shared" si="2"/>
        <v>0.76826958062499995</v>
      </c>
      <c r="T50" s="250">
        <f t="shared" si="3"/>
        <v>8.7508125000000003</v>
      </c>
    </row>
    <row r="51" spans="13:20" x14ac:dyDescent="0.2">
      <c r="M51" s="251">
        <f>Tornado!BU49</f>
        <v>1.953125E-3</v>
      </c>
      <c r="N51" s="252">
        <f>Tornado!BV49</f>
        <v>0.1298828125</v>
      </c>
      <c r="O51" s="250">
        <f>Tornado!BW49</f>
        <v>8.8231499999999983</v>
      </c>
      <c r="P51" s="250">
        <f t="shared" si="0"/>
        <v>3.4359136875000001E-2</v>
      </c>
      <c r="R51" s="235">
        <f t="shared" si="1"/>
        <v>1.0333574999999984E-3</v>
      </c>
      <c r="S51" s="251">
        <f t="shared" si="2"/>
        <v>0.76930293812499995</v>
      </c>
      <c r="T51" s="250">
        <f t="shared" si="3"/>
        <v>8.8231499999999983</v>
      </c>
    </row>
    <row r="52" spans="13:20" x14ac:dyDescent="0.2">
      <c r="M52" s="251">
        <f>Tornado!BU50</f>
        <v>3.90625E-3</v>
      </c>
      <c r="N52" s="252">
        <f>Tornado!BV50</f>
        <v>0.1337890625</v>
      </c>
      <c r="O52" s="250">
        <f>Tornado!BW50</f>
        <v>9.0008357142857154</v>
      </c>
      <c r="P52" s="250">
        <f t="shared" si="0"/>
        <v>3.5392494375000007E-2</v>
      </c>
      <c r="R52" s="235">
        <f t="shared" si="1"/>
        <v>5.166787500000547E-4</v>
      </c>
      <c r="S52" s="251">
        <f t="shared" si="2"/>
        <v>0.769819616875</v>
      </c>
      <c r="T52" s="250">
        <f t="shared" si="3"/>
        <v>8.8231499999999983</v>
      </c>
    </row>
    <row r="53" spans="13:20" x14ac:dyDescent="0.2">
      <c r="M53" s="251">
        <f>Tornado!BU51</f>
        <v>9.765625E-4</v>
      </c>
      <c r="N53" s="252">
        <f>Tornado!BV51</f>
        <v>0.134765625</v>
      </c>
      <c r="O53" s="250">
        <f>Tornado!BW51</f>
        <v>9.4533749999999994</v>
      </c>
      <c r="P53" s="250">
        <f t="shared" si="0"/>
        <v>3.5650833750000006E-2</v>
      </c>
      <c r="R53" s="235">
        <f t="shared" si="1"/>
        <v>1.0333574999999984E-3</v>
      </c>
      <c r="S53" s="251">
        <f t="shared" si="2"/>
        <v>0.770852974375</v>
      </c>
      <c r="T53" s="250">
        <f t="shared" si="3"/>
        <v>9.0008357142857154</v>
      </c>
    </row>
    <row r="54" spans="13:20" x14ac:dyDescent="0.2">
      <c r="M54" s="251">
        <f>Tornado!BU52</f>
        <v>1.953125E-3</v>
      </c>
      <c r="N54" s="252">
        <f>Tornado!BV52</f>
        <v>0.13671875</v>
      </c>
      <c r="O54" s="250">
        <f>Tornado!BW52</f>
        <v>9.6644999999999985</v>
      </c>
      <c r="P54" s="250">
        <f t="shared" si="0"/>
        <v>3.6167512500000006E-2</v>
      </c>
      <c r="R54" s="235">
        <f t="shared" si="1"/>
        <v>2.5833937499997184E-4</v>
      </c>
      <c r="S54" s="251">
        <f t="shared" si="2"/>
        <v>0.77111131374999997</v>
      </c>
      <c r="T54" s="250">
        <f t="shared" si="3"/>
        <v>9.4533749999999994</v>
      </c>
    </row>
    <row r="55" spans="13:20" x14ac:dyDescent="0.2">
      <c r="M55" s="251">
        <f>Tornado!BU53</f>
        <v>7.8125E-3</v>
      </c>
      <c r="N55" s="252">
        <f>Tornado!BV53</f>
        <v>0.14453125</v>
      </c>
      <c r="O55" s="250">
        <f>Tornado!BW53</f>
        <v>9.7426874999999971</v>
      </c>
      <c r="P55" s="250">
        <f t="shared" si="0"/>
        <v>3.8234227500000002E-2</v>
      </c>
      <c r="R55" s="235">
        <f t="shared" si="1"/>
        <v>5.166787500000547E-4</v>
      </c>
      <c r="S55" s="251">
        <f t="shared" si="2"/>
        <v>0.77162799250000003</v>
      </c>
      <c r="T55" s="250">
        <f t="shared" si="3"/>
        <v>9.6644999999999985</v>
      </c>
    </row>
    <row r="56" spans="13:20" x14ac:dyDescent="0.2">
      <c r="M56" s="251">
        <f>Tornado!BU54</f>
        <v>1.953125E-3</v>
      </c>
      <c r="N56" s="252">
        <f>Tornado!BV54</f>
        <v>0.146484375</v>
      </c>
      <c r="O56" s="250">
        <f>Tornado!BW54</f>
        <v>9.8258624999999995</v>
      </c>
      <c r="P56" s="250">
        <f t="shared" si="0"/>
        <v>3.8750906250000001E-2</v>
      </c>
      <c r="R56" s="235">
        <f t="shared" si="1"/>
        <v>2.0667149999999967E-3</v>
      </c>
      <c r="S56" s="251">
        <f t="shared" si="2"/>
        <v>0.77369470750000002</v>
      </c>
      <c r="T56" s="250">
        <f t="shared" si="3"/>
        <v>9.7426874999999971</v>
      </c>
    </row>
    <row r="57" spans="13:20" x14ac:dyDescent="0.2">
      <c r="M57" s="251">
        <f>Tornado!BU55</f>
        <v>7.8125E-3</v>
      </c>
      <c r="N57" s="252">
        <f>Tornado!BV55</f>
        <v>0.154296875</v>
      </c>
      <c r="O57" s="250">
        <f>Tornado!BW55</f>
        <v>9.8302500000000013</v>
      </c>
      <c r="P57" s="250">
        <f t="shared" si="0"/>
        <v>4.0817621250000005E-2</v>
      </c>
      <c r="R57" s="235">
        <f t="shared" si="1"/>
        <v>5.1667874999994368E-4</v>
      </c>
      <c r="S57" s="251">
        <f t="shared" si="2"/>
        <v>0.77421138624999997</v>
      </c>
      <c r="T57" s="250">
        <f t="shared" si="3"/>
        <v>9.8258624999999995</v>
      </c>
    </row>
    <row r="58" spans="13:20" x14ac:dyDescent="0.2">
      <c r="M58" s="251">
        <f>Tornado!BU56</f>
        <v>1.953125E-3</v>
      </c>
      <c r="N58" s="252">
        <f>Tornado!BV56</f>
        <v>0.15625</v>
      </c>
      <c r="O58" s="250">
        <f>Tornado!BW56</f>
        <v>10.021049999999997</v>
      </c>
      <c r="P58" s="250">
        <f t="shared" si="0"/>
        <v>4.1334300000000004E-2</v>
      </c>
      <c r="R58" s="235">
        <f t="shared" si="1"/>
        <v>2.0667149999999967E-3</v>
      </c>
      <c r="S58" s="251">
        <f t="shared" si="2"/>
        <v>0.77627810124999996</v>
      </c>
      <c r="T58" s="250">
        <f t="shared" si="3"/>
        <v>9.8302500000000013</v>
      </c>
    </row>
    <row r="59" spans="13:20" x14ac:dyDescent="0.2">
      <c r="M59" s="251">
        <f>Tornado!BU57</f>
        <v>3.90625E-3</v>
      </c>
      <c r="N59" s="252">
        <f>Tornado!BV57</f>
        <v>0.16015625</v>
      </c>
      <c r="O59" s="250">
        <f>Tornado!BW57</f>
        <v>10.021049999999997</v>
      </c>
      <c r="P59" s="250">
        <f t="shared" si="0"/>
        <v>4.2367657500000003E-2</v>
      </c>
      <c r="R59" s="235">
        <f t="shared" si="1"/>
        <v>5.166787500000547E-4</v>
      </c>
      <c r="S59" s="251">
        <f t="shared" si="2"/>
        <v>0.77679478000000002</v>
      </c>
      <c r="T59" s="250">
        <f t="shared" si="3"/>
        <v>10.021049999999997</v>
      </c>
    </row>
    <row r="60" spans="13:20" x14ac:dyDescent="0.2">
      <c r="M60" s="251">
        <f>Tornado!BU58</f>
        <v>3.90625E-3</v>
      </c>
      <c r="N60" s="252">
        <f>Tornado!BV58</f>
        <v>0.1640625</v>
      </c>
      <c r="O60" s="250">
        <f>Tornado!BW58</f>
        <v>10.128937499999999</v>
      </c>
      <c r="P60" s="250">
        <f t="shared" si="0"/>
        <v>4.3401015000000001E-2</v>
      </c>
      <c r="R60" s="235">
        <f t="shared" si="1"/>
        <v>1.0333574999999984E-3</v>
      </c>
      <c r="S60" s="251">
        <f t="shared" si="2"/>
        <v>0.77782813750000002</v>
      </c>
      <c r="T60" s="250">
        <f t="shared" si="3"/>
        <v>10.021049999999997</v>
      </c>
    </row>
    <row r="61" spans="13:20" x14ac:dyDescent="0.2">
      <c r="M61" s="251">
        <f>Tornado!BU59</f>
        <v>3.90625E-3</v>
      </c>
      <c r="N61" s="252">
        <f>Tornado!BV59</f>
        <v>0.16796875</v>
      </c>
      <c r="O61" s="250">
        <f>Tornado!BW59</f>
        <v>10.321762499999998</v>
      </c>
      <c r="P61" s="250">
        <f t="shared" si="0"/>
        <v>4.4434372500000006E-2</v>
      </c>
      <c r="R61" s="235">
        <f t="shared" si="1"/>
        <v>1.0333574999999984E-3</v>
      </c>
      <c r="S61" s="251">
        <f t="shared" si="2"/>
        <v>0.77886149500000001</v>
      </c>
      <c r="T61" s="250">
        <f t="shared" si="3"/>
        <v>10.128937499999999</v>
      </c>
    </row>
    <row r="62" spans="13:20" x14ac:dyDescent="0.2">
      <c r="M62" s="251">
        <f>Tornado!BU60</f>
        <v>1.953125E-3</v>
      </c>
      <c r="N62" s="252">
        <f>Tornado!BV60</f>
        <v>0.169921875</v>
      </c>
      <c r="O62" s="250">
        <f>Tornado!BW60</f>
        <v>10.3217625</v>
      </c>
      <c r="P62" s="250">
        <f t="shared" si="0"/>
        <v>4.4951051250000006E-2</v>
      </c>
      <c r="R62" s="235">
        <f t="shared" si="1"/>
        <v>1.0333574999999984E-3</v>
      </c>
      <c r="S62" s="251">
        <f t="shared" si="2"/>
        <v>0.77989485250000001</v>
      </c>
      <c r="T62" s="250">
        <f t="shared" si="3"/>
        <v>10.321762499999998</v>
      </c>
    </row>
    <row r="63" spans="13:20" x14ac:dyDescent="0.2">
      <c r="M63" s="251">
        <f>Tornado!BU61</f>
        <v>1.953125E-3</v>
      </c>
      <c r="N63" s="252">
        <f>Tornado!BV61</f>
        <v>0.171875</v>
      </c>
      <c r="O63" s="250">
        <f>Tornado!BW61</f>
        <v>10.418335714285714</v>
      </c>
      <c r="P63" s="250">
        <f t="shared" si="0"/>
        <v>4.5467730000000005E-2</v>
      </c>
      <c r="R63" s="235">
        <f t="shared" si="1"/>
        <v>5.1667874999994368E-4</v>
      </c>
      <c r="S63" s="251">
        <f t="shared" si="2"/>
        <v>0.78041153124999996</v>
      </c>
      <c r="T63" s="250">
        <f t="shared" si="3"/>
        <v>10.3217625</v>
      </c>
    </row>
    <row r="64" spans="13:20" x14ac:dyDescent="0.2">
      <c r="M64" s="251">
        <f>Tornado!BU62</f>
        <v>1.953125E-3</v>
      </c>
      <c r="N64" s="252">
        <f>Tornado!BV62</f>
        <v>0.173828125</v>
      </c>
      <c r="O64" s="250">
        <f>Tornado!BW62</f>
        <v>10.89615</v>
      </c>
      <c r="P64" s="250">
        <f t="shared" si="0"/>
        <v>4.5984408750000004E-2</v>
      </c>
      <c r="R64" s="235">
        <f t="shared" si="1"/>
        <v>5.166787500000547E-4</v>
      </c>
      <c r="S64" s="251">
        <f t="shared" si="2"/>
        <v>0.78092821000000001</v>
      </c>
      <c r="T64" s="250">
        <f t="shared" si="3"/>
        <v>10.418335714285714</v>
      </c>
    </row>
    <row r="65" spans="13:20" x14ac:dyDescent="0.2">
      <c r="M65" s="251">
        <f>Tornado!BU63</f>
        <v>3.90625E-3</v>
      </c>
      <c r="N65" s="252">
        <f>Tornado!BV63</f>
        <v>0.177734375</v>
      </c>
      <c r="O65" s="250">
        <f>Tornado!BW63</f>
        <v>11.028937499999998</v>
      </c>
      <c r="P65" s="250">
        <f t="shared" si="0"/>
        <v>4.7017766250000002E-2</v>
      </c>
      <c r="R65" s="235">
        <f t="shared" si="1"/>
        <v>5.1667874999994368E-4</v>
      </c>
      <c r="S65" s="251">
        <f t="shared" si="2"/>
        <v>0.78144488874999996</v>
      </c>
      <c r="T65" s="250">
        <f t="shared" si="3"/>
        <v>10.89615</v>
      </c>
    </row>
    <row r="66" spans="13:20" x14ac:dyDescent="0.2">
      <c r="M66" s="251">
        <f>Tornado!BU64</f>
        <v>3.90625E-3</v>
      </c>
      <c r="N66" s="252">
        <f>Tornado!BV64</f>
        <v>0.181640625</v>
      </c>
      <c r="O66" s="250">
        <f>Tornado!BW64</f>
        <v>11.134499999999999</v>
      </c>
      <c r="P66" s="250">
        <f t="shared" si="0"/>
        <v>4.8051123750000008E-2</v>
      </c>
      <c r="R66" s="235">
        <f t="shared" si="1"/>
        <v>1.0333574999999984E-3</v>
      </c>
      <c r="S66" s="251">
        <f t="shared" si="2"/>
        <v>0.78247824624999995</v>
      </c>
      <c r="T66" s="250">
        <f t="shared" si="3"/>
        <v>11.028937499999998</v>
      </c>
    </row>
    <row r="67" spans="13:20" x14ac:dyDescent="0.2">
      <c r="M67" s="251">
        <f>Tornado!BU65</f>
        <v>7.8125E-3</v>
      </c>
      <c r="N67" s="252">
        <f>Tornado!BV65</f>
        <v>0.189453125</v>
      </c>
      <c r="O67" s="250">
        <f>Tornado!BW65</f>
        <v>11.275249999999998</v>
      </c>
      <c r="P67" s="250">
        <f t="shared" si="0"/>
        <v>5.0117838750000004E-2</v>
      </c>
      <c r="R67" s="235">
        <f t="shared" si="1"/>
        <v>1.0333574999999984E-3</v>
      </c>
      <c r="S67" s="251">
        <f t="shared" si="2"/>
        <v>0.78351160374999995</v>
      </c>
      <c r="T67" s="250">
        <f t="shared" si="3"/>
        <v>11.134499999999999</v>
      </c>
    </row>
    <row r="68" spans="13:20" x14ac:dyDescent="0.2">
      <c r="M68" s="251">
        <f>Tornado!BU66</f>
        <v>9.765625E-4</v>
      </c>
      <c r="N68" s="252">
        <f>Tornado!BV66</f>
        <v>0.1904296875</v>
      </c>
      <c r="O68" s="250">
        <f>Tornado!BW66</f>
        <v>11.344049999999998</v>
      </c>
      <c r="P68" s="250">
        <f t="shared" si="0"/>
        <v>5.0376178125000004E-2</v>
      </c>
      <c r="R68" s="235">
        <f t="shared" si="1"/>
        <v>2.0667149999999967E-3</v>
      </c>
      <c r="S68" s="251">
        <f t="shared" si="2"/>
        <v>0.78557831874999995</v>
      </c>
      <c r="T68" s="250">
        <f t="shared" si="3"/>
        <v>11.275249999999998</v>
      </c>
    </row>
    <row r="69" spans="13:20" x14ac:dyDescent="0.2">
      <c r="M69" s="251">
        <f>Tornado!BU67</f>
        <v>1.953125E-3</v>
      </c>
      <c r="N69" s="252">
        <f>Tornado!BV67</f>
        <v>0.1923828125</v>
      </c>
      <c r="O69" s="250">
        <f>Tornado!BW67</f>
        <v>11.344049999999998</v>
      </c>
      <c r="P69" s="250">
        <f t="shared" si="0"/>
        <v>5.0892856875000003E-2</v>
      </c>
      <c r="R69" s="235">
        <f t="shared" si="1"/>
        <v>2.5833937500008286E-4</v>
      </c>
      <c r="S69" s="251">
        <f t="shared" si="2"/>
        <v>0.78583665812500003</v>
      </c>
      <c r="T69" s="250">
        <f t="shared" si="3"/>
        <v>11.344049999999998</v>
      </c>
    </row>
    <row r="70" spans="13:20" x14ac:dyDescent="0.2">
      <c r="M70" s="251">
        <f>Tornado!BU68</f>
        <v>9.765625E-4</v>
      </c>
      <c r="N70" s="252">
        <f>Tornado!BV68</f>
        <v>0.193359375</v>
      </c>
      <c r="O70" s="250">
        <f>Tornado!BW68</f>
        <v>11.4796125</v>
      </c>
      <c r="P70" s="250">
        <f t="shared" si="0"/>
        <v>5.1151196250000003E-2</v>
      </c>
      <c r="R70" s="235">
        <f t="shared" si="1"/>
        <v>5.1667874999994368E-4</v>
      </c>
      <c r="S70" s="251">
        <f t="shared" si="2"/>
        <v>0.78635333687499998</v>
      </c>
      <c r="T70" s="250">
        <f t="shared" si="3"/>
        <v>11.344049999999998</v>
      </c>
    </row>
    <row r="71" spans="13:20" x14ac:dyDescent="0.2">
      <c r="M71" s="251">
        <f>Tornado!BU69</f>
        <v>1.5625E-2</v>
      </c>
      <c r="N71" s="252">
        <f>Tornado!BV69</f>
        <v>0.208984375</v>
      </c>
      <c r="O71" s="250">
        <f>Tornado!BW69</f>
        <v>11.66775</v>
      </c>
      <c r="P71" s="250">
        <f t="shared" ref="P71:P134" si="4">pCrossChasm_total * N71</f>
        <v>5.5284626250000003E-2</v>
      </c>
      <c r="R71" s="235">
        <f t="shared" si="1"/>
        <v>2.5833937499997184E-4</v>
      </c>
      <c r="S71" s="251">
        <f t="shared" si="2"/>
        <v>0.78661167624999995</v>
      </c>
      <c r="T71" s="250">
        <f t="shared" si="3"/>
        <v>11.4796125</v>
      </c>
    </row>
    <row r="72" spans="13:20" x14ac:dyDescent="0.2">
      <c r="M72" s="251">
        <f>Tornado!BU70</f>
        <v>1.953125E-3</v>
      </c>
      <c r="N72" s="252">
        <f>Tornado!BV70</f>
        <v>0.2109375</v>
      </c>
      <c r="O72" s="250">
        <f>Tornado!BW70</f>
        <v>11.839012499999997</v>
      </c>
      <c r="P72" s="250">
        <f t="shared" si="4"/>
        <v>5.5801305000000009E-2</v>
      </c>
      <c r="R72" s="235">
        <f t="shared" ref="R72:R135" si="5">S72-S71</f>
        <v>4.1334299999999935E-3</v>
      </c>
      <c r="S72" s="251">
        <f t="shared" si="2"/>
        <v>0.79074510624999994</v>
      </c>
      <c r="T72" s="250">
        <f t="shared" si="3"/>
        <v>11.66775</v>
      </c>
    </row>
    <row r="73" spans="13:20" x14ac:dyDescent="0.2">
      <c r="M73" s="251">
        <f>Tornado!BU71</f>
        <v>1.953125E-3</v>
      </c>
      <c r="N73" s="252">
        <f>Tornado!BV71</f>
        <v>0.212890625</v>
      </c>
      <c r="O73" s="250">
        <f>Tornado!BW71</f>
        <v>12.080624999999998</v>
      </c>
      <c r="P73" s="250">
        <f t="shared" si="4"/>
        <v>5.6317983750000009E-2</v>
      </c>
      <c r="R73" s="235">
        <f t="shared" si="5"/>
        <v>5.166787500000547E-4</v>
      </c>
      <c r="S73" s="251">
        <f t="shared" ref="S73:S136" si="6">P72+$S$7</f>
        <v>0.791261785</v>
      </c>
      <c r="T73" s="250">
        <f t="shared" ref="T73:T136" si="7">O72</f>
        <v>11.839012499999997</v>
      </c>
    </row>
    <row r="74" spans="13:20" x14ac:dyDescent="0.2">
      <c r="M74" s="251">
        <f>Tornado!BU72</f>
        <v>7.8125E-3</v>
      </c>
      <c r="N74" s="252">
        <f>Tornado!BV72</f>
        <v>0.220703125</v>
      </c>
      <c r="O74" s="250">
        <f>Tornado!BW72</f>
        <v>12.251137499999999</v>
      </c>
      <c r="P74" s="250">
        <f t="shared" si="4"/>
        <v>5.8384698750000005E-2</v>
      </c>
      <c r="R74" s="235">
        <f t="shared" si="5"/>
        <v>5.1667874999994368E-4</v>
      </c>
      <c r="S74" s="251">
        <f t="shared" si="6"/>
        <v>0.79177846374999994</v>
      </c>
      <c r="T74" s="250">
        <f t="shared" si="7"/>
        <v>12.080624999999998</v>
      </c>
    </row>
    <row r="75" spans="13:20" x14ac:dyDescent="0.2">
      <c r="M75" s="251">
        <f>Tornado!BU73</f>
        <v>3.90625E-3</v>
      </c>
      <c r="N75" s="252">
        <f>Tornado!BV73</f>
        <v>0.224609375</v>
      </c>
      <c r="O75" s="250">
        <f>Tornado!BW73</f>
        <v>12.2511375</v>
      </c>
      <c r="P75" s="250">
        <f t="shared" si="4"/>
        <v>5.9418056250000004E-2</v>
      </c>
      <c r="R75" s="235">
        <f t="shared" si="5"/>
        <v>2.0667149999999967E-3</v>
      </c>
      <c r="S75" s="251">
        <f t="shared" si="6"/>
        <v>0.79384517874999994</v>
      </c>
      <c r="T75" s="250">
        <f t="shared" si="7"/>
        <v>12.251137499999999</v>
      </c>
    </row>
    <row r="76" spans="13:20" x14ac:dyDescent="0.2">
      <c r="M76" s="251">
        <f>Tornado!BU74</f>
        <v>9.765625E-4</v>
      </c>
      <c r="N76" s="252">
        <f>Tornado!BV74</f>
        <v>0.2255859375</v>
      </c>
      <c r="O76" s="250">
        <f>Tornado!BW74</f>
        <v>12.425785714285714</v>
      </c>
      <c r="P76" s="250">
        <f t="shared" si="4"/>
        <v>5.9676395625000003E-2</v>
      </c>
      <c r="R76" s="235">
        <f t="shared" si="5"/>
        <v>1.0333574999999984E-3</v>
      </c>
      <c r="S76" s="251">
        <f t="shared" si="6"/>
        <v>0.79487853624999993</v>
      </c>
      <c r="T76" s="250">
        <f t="shared" si="7"/>
        <v>12.2511375</v>
      </c>
    </row>
    <row r="77" spans="13:20" x14ac:dyDescent="0.2">
      <c r="M77" s="251">
        <f>Tornado!BU75</f>
        <v>1.953125E-3</v>
      </c>
      <c r="N77" s="252">
        <f>Tornado!BV75</f>
        <v>0.2275390625</v>
      </c>
      <c r="O77" s="250">
        <f>Tornado!BW75</f>
        <v>12.604499999999998</v>
      </c>
      <c r="P77" s="250">
        <f t="shared" si="4"/>
        <v>6.0193074375000009E-2</v>
      </c>
      <c r="R77" s="235">
        <f t="shared" si="5"/>
        <v>2.5833937500008286E-4</v>
      </c>
      <c r="S77" s="251">
        <f t="shared" si="6"/>
        <v>0.79513687562500002</v>
      </c>
      <c r="T77" s="250">
        <f t="shared" si="7"/>
        <v>12.425785714285714</v>
      </c>
    </row>
    <row r="78" spans="13:20" x14ac:dyDescent="0.2">
      <c r="M78" s="251">
        <f>Tornado!BU76</f>
        <v>3.90625E-3</v>
      </c>
      <c r="N78" s="252">
        <f>Tornado!BV76</f>
        <v>0.2314453125</v>
      </c>
      <c r="O78" s="250">
        <f>Tornado!BW76</f>
        <v>12.638892857142856</v>
      </c>
      <c r="P78" s="250">
        <f t="shared" si="4"/>
        <v>6.1226431875000008E-2</v>
      </c>
      <c r="R78" s="235">
        <f t="shared" si="5"/>
        <v>5.1667874999994368E-4</v>
      </c>
      <c r="S78" s="251">
        <f t="shared" si="6"/>
        <v>0.79565355437499996</v>
      </c>
      <c r="T78" s="250">
        <f t="shared" si="7"/>
        <v>12.604499999999998</v>
      </c>
    </row>
    <row r="79" spans="13:20" x14ac:dyDescent="0.2">
      <c r="M79" s="251">
        <f>Tornado!BU77</f>
        <v>1.5625E-2</v>
      </c>
      <c r="N79" s="252">
        <f>Tornado!BV77</f>
        <v>0.2470703125</v>
      </c>
      <c r="O79" s="250">
        <f>Tornado!BW77</f>
        <v>12.990249999999998</v>
      </c>
      <c r="P79" s="250">
        <f t="shared" si="4"/>
        <v>6.5359861875000008E-2</v>
      </c>
      <c r="R79" s="235">
        <f t="shared" si="5"/>
        <v>1.0333574999999984E-3</v>
      </c>
      <c r="S79" s="251">
        <f t="shared" si="6"/>
        <v>0.79668691187499996</v>
      </c>
      <c r="T79" s="250">
        <f t="shared" si="7"/>
        <v>12.638892857142856</v>
      </c>
    </row>
    <row r="80" spans="13:20" x14ac:dyDescent="0.2">
      <c r="M80" s="251">
        <f>Tornado!BU78</f>
        <v>3.90625E-3</v>
      </c>
      <c r="N80" s="252">
        <f>Tornado!BV78</f>
        <v>0.2509765625</v>
      </c>
      <c r="O80" s="250">
        <f>Tornado!BW78</f>
        <v>13.101150000000001</v>
      </c>
      <c r="P80" s="250">
        <f t="shared" si="4"/>
        <v>6.6393219375000007E-2</v>
      </c>
      <c r="R80" s="235">
        <f t="shared" si="5"/>
        <v>4.1334299999999935E-3</v>
      </c>
      <c r="S80" s="251">
        <f t="shared" si="6"/>
        <v>0.80082034187499995</v>
      </c>
      <c r="T80" s="250">
        <f t="shared" si="7"/>
        <v>12.990249999999998</v>
      </c>
    </row>
    <row r="81" spans="13:20" x14ac:dyDescent="0.2">
      <c r="M81" s="251">
        <f>Tornado!BU79</f>
        <v>7.8125E-3</v>
      </c>
      <c r="N81" s="252">
        <f>Tornado!BV79</f>
        <v>0.2587890625</v>
      </c>
      <c r="O81" s="250">
        <f>Tornado!BW79</f>
        <v>13.505249999999998</v>
      </c>
      <c r="P81" s="250">
        <f t="shared" si="4"/>
        <v>6.8459934375000003E-2</v>
      </c>
      <c r="R81" s="235">
        <f t="shared" si="5"/>
        <v>1.0333574999999984E-3</v>
      </c>
      <c r="S81" s="251">
        <f t="shared" si="6"/>
        <v>0.80185369937499995</v>
      </c>
      <c r="T81" s="250">
        <f t="shared" si="7"/>
        <v>13.101150000000001</v>
      </c>
    </row>
    <row r="82" spans="13:20" x14ac:dyDescent="0.2">
      <c r="M82" s="251">
        <f>Tornado!BU80</f>
        <v>1.953125E-3</v>
      </c>
      <c r="N82" s="252">
        <f>Tornado!BV80</f>
        <v>0.2607421875</v>
      </c>
      <c r="O82" s="250">
        <f>Tornado!BW80</f>
        <v>13.6201875</v>
      </c>
      <c r="P82" s="250">
        <f t="shared" si="4"/>
        <v>6.8976613125000003E-2</v>
      </c>
      <c r="R82" s="235">
        <f t="shared" si="5"/>
        <v>2.0667149999999967E-3</v>
      </c>
      <c r="S82" s="251">
        <f t="shared" si="6"/>
        <v>0.80392041437499995</v>
      </c>
      <c r="T82" s="250">
        <f t="shared" si="7"/>
        <v>13.505249999999998</v>
      </c>
    </row>
    <row r="83" spans="13:20" x14ac:dyDescent="0.2">
      <c r="M83" s="251">
        <f>Tornado!BU81</f>
        <v>3.90625E-3</v>
      </c>
      <c r="N83" s="252">
        <f>Tornado!BV81</f>
        <v>0.2646484375</v>
      </c>
      <c r="O83" s="250">
        <f>Tornado!BW81</f>
        <v>13.639762499999996</v>
      </c>
      <c r="P83" s="250">
        <f t="shared" si="4"/>
        <v>7.0009970625000001E-2</v>
      </c>
      <c r="R83" s="235">
        <f t="shared" si="5"/>
        <v>5.166787500000547E-4</v>
      </c>
      <c r="S83" s="251">
        <f t="shared" si="6"/>
        <v>0.804437093125</v>
      </c>
      <c r="T83" s="250">
        <f t="shared" si="7"/>
        <v>13.6201875</v>
      </c>
    </row>
    <row r="84" spans="13:20" x14ac:dyDescent="0.2">
      <c r="M84" s="251">
        <f>Tornado!BU82</f>
        <v>7.8125E-3</v>
      </c>
      <c r="N84" s="252">
        <f>Tornado!BV82</f>
        <v>0.2724609375</v>
      </c>
      <c r="O84" s="250">
        <f>Tornado!BW82</f>
        <v>13.76235</v>
      </c>
      <c r="P84" s="250">
        <f t="shared" si="4"/>
        <v>7.2076685625000012E-2</v>
      </c>
      <c r="R84" s="235">
        <f t="shared" si="5"/>
        <v>1.0333574999999984E-3</v>
      </c>
      <c r="S84" s="251">
        <f t="shared" si="6"/>
        <v>0.805470450625</v>
      </c>
      <c r="T84" s="250">
        <f t="shared" si="7"/>
        <v>13.639762499999996</v>
      </c>
    </row>
    <row r="85" spans="13:20" x14ac:dyDescent="0.2">
      <c r="M85" s="251">
        <f>Tornado!BU83</f>
        <v>3.90625E-3</v>
      </c>
      <c r="N85" s="252">
        <f>Tornado!BV83</f>
        <v>0.2763671875</v>
      </c>
      <c r="O85" s="250">
        <f>Tornado!BW83</f>
        <v>13.762350000000001</v>
      </c>
      <c r="P85" s="250">
        <f t="shared" si="4"/>
        <v>7.311004312500001E-2</v>
      </c>
      <c r="R85" s="235">
        <f t="shared" si="5"/>
        <v>2.0667149999999967E-3</v>
      </c>
      <c r="S85" s="251">
        <f t="shared" si="6"/>
        <v>0.807537165625</v>
      </c>
      <c r="T85" s="250">
        <f t="shared" si="7"/>
        <v>13.76235</v>
      </c>
    </row>
    <row r="86" spans="13:20" x14ac:dyDescent="0.2">
      <c r="M86" s="251">
        <f>Tornado!BU84</f>
        <v>3.90625E-3</v>
      </c>
      <c r="N86" s="252">
        <f>Tornado!BV84</f>
        <v>0.2802734375</v>
      </c>
      <c r="O86" s="250">
        <f>Tornado!BW84</f>
        <v>13.918125</v>
      </c>
      <c r="P86" s="250">
        <f t="shared" si="4"/>
        <v>7.4143400625000008E-2</v>
      </c>
      <c r="R86" s="235">
        <f t="shared" si="5"/>
        <v>1.0333574999999984E-3</v>
      </c>
      <c r="S86" s="251">
        <f t="shared" si="6"/>
        <v>0.808570523125</v>
      </c>
      <c r="T86" s="250">
        <f t="shared" si="7"/>
        <v>13.762350000000001</v>
      </c>
    </row>
    <row r="87" spans="13:20" x14ac:dyDescent="0.2">
      <c r="M87" s="251">
        <f>Tornado!BU85</f>
        <v>9.765625E-4</v>
      </c>
      <c r="N87" s="252">
        <f>Tornado!BV85</f>
        <v>0.28125</v>
      </c>
      <c r="O87" s="250">
        <f>Tornado!BW85</f>
        <v>14.009335714285715</v>
      </c>
      <c r="P87" s="250">
        <f t="shared" si="4"/>
        <v>7.4401740000000008E-2</v>
      </c>
      <c r="R87" s="235">
        <f t="shared" si="5"/>
        <v>1.0333574999999984E-3</v>
      </c>
      <c r="S87" s="251">
        <f t="shared" si="6"/>
        <v>0.80960388062499999</v>
      </c>
      <c r="T87" s="250">
        <f t="shared" si="7"/>
        <v>13.918125</v>
      </c>
    </row>
    <row r="88" spans="13:20" x14ac:dyDescent="0.2">
      <c r="M88" s="251">
        <f>Tornado!BU86</f>
        <v>3.90625E-3</v>
      </c>
      <c r="N88" s="252">
        <f>Tornado!BV86</f>
        <v>0.28515625</v>
      </c>
      <c r="O88" s="250">
        <f>Tornado!BW86</f>
        <v>14.180512499999999</v>
      </c>
      <c r="P88" s="250">
        <f t="shared" si="4"/>
        <v>7.5435097500000006E-2</v>
      </c>
      <c r="R88" s="235">
        <f t="shared" si="5"/>
        <v>2.5833937499997184E-4</v>
      </c>
      <c r="S88" s="251">
        <f t="shared" si="6"/>
        <v>0.80986221999999997</v>
      </c>
      <c r="T88" s="250">
        <f t="shared" si="7"/>
        <v>14.009335714285715</v>
      </c>
    </row>
    <row r="89" spans="13:20" x14ac:dyDescent="0.2">
      <c r="M89" s="251">
        <f>Tornado!BU87</f>
        <v>1.953125E-3</v>
      </c>
      <c r="N89" s="252">
        <f>Tornado!BV87</f>
        <v>0.287109375</v>
      </c>
      <c r="O89" s="250">
        <f>Tornado!BW87</f>
        <v>14.180512500000001</v>
      </c>
      <c r="P89" s="250">
        <f t="shared" si="4"/>
        <v>7.5951776250000005E-2</v>
      </c>
      <c r="R89" s="235">
        <f t="shared" si="5"/>
        <v>1.0333574999999984E-3</v>
      </c>
      <c r="S89" s="251">
        <f t="shared" si="6"/>
        <v>0.81089557749999996</v>
      </c>
      <c r="T89" s="250">
        <f t="shared" si="7"/>
        <v>14.180512499999999</v>
      </c>
    </row>
    <row r="90" spans="13:20" x14ac:dyDescent="0.2">
      <c r="M90" s="251">
        <f>Tornado!BU88</f>
        <v>1.953125E-3</v>
      </c>
      <c r="N90" s="252">
        <f>Tornado!BV88</f>
        <v>0.2890625</v>
      </c>
      <c r="O90" s="250">
        <f>Tornado!BW88</f>
        <v>14.315785714285711</v>
      </c>
      <c r="P90" s="250">
        <f t="shared" si="4"/>
        <v>7.6468455000000005E-2</v>
      </c>
      <c r="R90" s="235">
        <f t="shared" si="5"/>
        <v>5.166787500000547E-4</v>
      </c>
      <c r="S90" s="251">
        <f t="shared" si="6"/>
        <v>0.81141225625000002</v>
      </c>
      <c r="T90" s="250">
        <f t="shared" si="7"/>
        <v>14.180512500000001</v>
      </c>
    </row>
    <row r="91" spans="13:20" x14ac:dyDescent="0.2">
      <c r="M91" s="251">
        <f>Tornado!BU89</f>
        <v>3.90625E-3</v>
      </c>
      <c r="N91" s="252">
        <f>Tornado!BV89</f>
        <v>0.29296875</v>
      </c>
      <c r="O91" s="250">
        <f>Tornado!BW89</f>
        <v>14.496749999999997</v>
      </c>
      <c r="P91" s="250">
        <f t="shared" si="4"/>
        <v>7.7501812500000003E-2</v>
      </c>
      <c r="R91" s="235">
        <f t="shared" si="5"/>
        <v>5.1667874999994368E-4</v>
      </c>
      <c r="S91" s="251">
        <f t="shared" si="6"/>
        <v>0.81192893499999996</v>
      </c>
      <c r="T91" s="250">
        <f t="shared" si="7"/>
        <v>14.315785714285711</v>
      </c>
    </row>
    <row r="92" spans="13:20" x14ac:dyDescent="0.2">
      <c r="M92" s="251">
        <f>Tornado!BU90</f>
        <v>7.8125E-3</v>
      </c>
      <c r="N92" s="252">
        <f>Tornado!BV90</f>
        <v>0.30078125</v>
      </c>
      <c r="O92" s="250">
        <f>Tornado!BW90</f>
        <v>14.705249999999996</v>
      </c>
      <c r="P92" s="250">
        <f t="shared" si="4"/>
        <v>7.9568527500000014E-2</v>
      </c>
      <c r="R92" s="235">
        <f t="shared" si="5"/>
        <v>1.0333574999999984E-3</v>
      </c>
      <c r="S92" s="251">
        <f t="shared" si="6"/>
        <v>0.81296229249999996</v>
      </c>
      <c r="T92" s="250">
        <f t="shared" si="7"/>
        <v>14.496749999999997</v>
      </c>
    </row>
    <row r="93" spans="13:20" x14ac:dyDescent="0.2">
      <c r="M93" s="251">
        <f>Tornado!BU91</f>
        <v>1.953125E-3</v>
      </c>
      <c r="N93" s="252">
        <f>Tornado!BV91</f>
        <v>0.302734375</v>
      </c>
      <c r="O93" s="250">
        <f>Tornado!BW91</f>
        <v>14.745374999999999</v>
      </c>
      <c r="P93" s="250">
        <f t="shared" si="4"/>
        <v>8.0085206250000013E-2</v>
      </c>
      <c r="R93" s="235">
        <f t="shared" si="5"/>
        <v>2.0667149999999967E-3</v>
      </c>
      <c r="S93" s="251">
        <f t="shared" si="6"/>
        <v>0.81502900749999996</v>
      </c>
      <c r="T93" s="250">
        <f t="shared" si="7"/>
        <v>14.705249999999996</v>
      </c>
    </row>
    <row r="94" spans="13:20" x14ac:dyDescent="0.2">
      <c r="M94" s="251">
        <f>Tornado!BU92</f>
        <v>7.8125E-3</v>
      </c>
      <c r="N94" s="252">
        <f>Tornado!BV92</f>
        <v>0.310546875</v>
      </c>
      <c r="O94" s="250">
        <f>Tornado!BW92</f>
        <v>15.001392857142857</v>
      </c>
      <c r="P94" s="250">
        <f t="shared" si="4"/>
        <v>8.215192125000001E-2</v>
      </c>
      <c r="R94" s="235">
        <f t="shared" si="5"/>
        <v>5.166787500000547E-4</v>
      </c>
      <c r="S94" s="251">
        <f t="shared" si="6"/>
        <v>0.81554568625000001</v>
      </c>
      <c r="T94" s="250">
        <f t="shared" si="7"/>
        <v>14.745374999999999</v>
      </c>
    </row>
    <row r="95" spans="13:20" x14ac:dyDescent="0.2">
      <c r="M95" s="251">
        <f>Tornado!BU93</f>
        <v>1.953125E-3</v>
      </c>
      <c r="N95" s="252">
        <f>Tornado!BV93</f>
        <v>0.3125</v>
      </c>
      <c r="O95" s="250">
        <f>Tornado!BW93</f>
        <v>15.306150000000001</v>
      </c>
      <c r="P95" s="250">
        <f t="shared" si="4"/>
        <v>8.2668600000000009E-2</v>
      </c>
      <c r="R95" s="235">
        <f t="shared" si="5"/>
        <v>2.0667149999999967E-3</v>
      </c>
      <c r="S95" s="251">
        <f t="shared" si="6"/>
        <v>0.81761240125000001</v>
      </c>
      <c r="T95" s="250">
        <f t="shared" si="7"/>
        <v>15.001392857142857</v>
      </c>
    </row>
    <row r="96" spans="13:20" x14ac:dyDescent="0.2">
      <c r="M96" s="251">
        <f>Tornado!BU94</f>
        <v>1.953125E-3</v>
      </c>
      <c r="N96" s="252">
        <f>Tornado!BV94</f>
        <v>0.314453125</v>
      </c>
      <c r="O96" s="250">
        <f>Tornado!BW94</f>
        <v>15.440512499999997</v>
      </c>
      <c r="P96" s="250">
        <f t="shared" si="4"/>
        <v>8.3185278750000008E-2</v>
      </c>
      <c r="R96" s="235">
        <f t="shared" si="5"/>
        <v>5.1667874999994368E-4</v>
      </c>
      <c r="S96" s="251">
        <f t="shared" si="6"/>
        <v>0.81812907999999995</v>
      </c>
      <c r="T96" s="250">
        <f t="shared" si="7"/>
        <v>15.306150000000001</v>
      </c>
    </row>
    <row r="97" spans="13:20" x14ac:dyDescent="0.2">
      <c r="M97" s="251">
        <f>Tornado!BU95</f>
        <v>1.953125E-3</v>
      </c>
      <c r="N97" s="252">
        <f>Tornado!BV95</f>
        <v>0.31640625</v>
      </c>
      <c r="O97" s="250">
        <f>Tornado!BW95</f>
        <v>15.755624999999998</v>
      </c>
      <c r="P97" s="250">
        <f t="shared" si="4"/>
        <v>8.3701957500000007E-2</v>
      </c>
      <c r="R97" s="235">
        <f t="shared" si="5"/>
        <v>5.166787500000547E-4</v>
      </c>
      <c r="S97" s="251">
        <f t="shared" si="6"/>
        <v>0.81864575875000001</v>
      </c>
      <c r="T97" s="250">
        <f t="shared" si="7"/>
        <v>15.440512499999997</v>
      </c>
    </row>
    <row r="98" spans="13:20" x14ac:dyDescent="0.2">
      <c r="M98" s="251">
        <f>Tornado!BU96</f>
        <v>3.90625E-3</v>
      </c>
      <c r="N98" s="252">
        <f>Tornado!BV96</f>
        <v>0.3203125</v>
      </c>
      <c r="O98" s="250">
        <f>Tornado!BW96</f>
        <v>15.785349999999996</v>
      </c>
      <c r="P98" s="250">
        <f t="shared" si="4"/>
        <v>8.4735315000000005E-2</v>
      </c>
      <c r="R98" s="235">
        <f t="shared" si="5"/>
        <v>5.1667874999994368E-4</v>
      </c>
      <c r="S98" s="251">
        <f t="shared" si="6"/>
        <v>0.81916243749999995</v>
      </c>
      <c r="T98" s="250">
        <f t="shared" si="7"/>
        <v>15.755624999999998</v>
      </c>
    </row>
    <row r="99" spans="13:20" x14ac:dyDescent="0.2">
      <c r="M99" s="251">
        <f>Tornado!BU97</f>
        <v>3.90625E-3</v>
      </c>
      <c r="N99" s="252">
        <f>Tornado!BV97</f>
        <v>0.32421875</v>
      </c>
      <c r="O99" s="250">
        <f>Tornado!BW97</f>
        <v>16.107499999999998</v>
      </c>
      <c r="P99" s="250">
        <f t="shared" si="4"/>
        <v>8.5768672500000004E-2</v>
      </c>
      <c r="R99" s="235">
        <f t="shared" si="5"/>
        <v>1.0333574999999984E-3</v>
      </c>
      <c r="S99" s="251">
        <f t="shared" si="6"/>
        <v>0.82019579499999995</v>
      </c>
      <c r="T99" s="250">
        <f t="shared" si="7"/>
        <v>15.785349999999996</v>
      </c>
    </row>
    <row r="100" spans="13:20" x14ac:dyDescent="0.2">
      <c r="M100" s="251">
        <f>Tornado!BU98</f>
        <v>9.765625E-4</v>
      </c>
      <c r="N100" s="252">
        <f>Tornado!BV98</f>
        <v>0.3251953125</v>
      </c>
      <c r="O100" s="250">
        <f>Tornado!BW98</f>
        <v>16.205785714285714</v>
      </c>
      <c r="P100" s="250">
        <f t="shared" si="4"/>
        <v>8.6027011875000003E-2</v>
      </c>
      <c r="R100" s="235">
        <f t="shared" si="5"/>
        <v>1.0333574999999984E-3</v>
      </c>
      <c r="S100" s="251">
        <f t="shared" si="6"/>
        <v>0.82122915249999995</v>
      </c>
      <c r="T100" s="250">
        <f t="shared" si="7"/>
        <v>16.107499999999998</v>
      </c>
    </row>
    <row r="101" spans="13:20" x14ac:dyDescent="0.2">
      <c r="M101" s="251">
        <f>Tornado!BU99</f>
        <v>7.8125E-3</v>
      </c>
      <c r="N101" s="252">
        <f>Tornado!BV99</f>
        <v>0.3330078125</v>
      </c>
      <c r="O101" s="250">
        <f>Tornado!BW99</f>
        <v>16.334849999999999</v>
      </c>
      <c r="P101" s="250">
        <f t="shared" si="4"/>
        <v>8.8093726875000014E-2</v>
      </c>
      <c r="R101" s="235">
        <f t="shared" si="5"/>
        <v>2.5833937499997184E-4</v>
      </c>
      <c r="S101" s="251">
        <f t="shared" si="6"/>
        <v>0.82148749187499992</v>
      </c>
      <c r="T101" s="250">
        <f t="shared" si="7"/>
        <v>16.205785714285714</v>
      </c>
    </row>
    <row r="102" spans="13:20" x14ac:dyDescent="0.2">
      <c r="M102" s="251">
        <f>Tornado!BU100</f>
        <v>1.5625E-2</v>
      </c>
      <c r="N102" s="252">
        <f>Tornado!BV100</f>
        <v>0.3486328125</v>
      </c>
      <c r="O102" s="250">
        <f>Tornado!BW100</f>
        <v>16.334849999999999</v>
      </c>
      <c r="P102" s="250">
        <f t="shared" si="4"/>
        <v>9.2227156875000008E-2</v>
      </c>
      <c r="R102" s="235">
        <f t="shared" si="5"/>
        <v>2.0667150000001078E-3</v>
      </c>
      <c r="S102" s="251">
        <f t="shared" si="6"/>
        <v>0.82355420687500003</v>
      </c>
      <c r="T102" s="250">
        <f t="shared" si="7"/>
        <v>16.334849999999999</v>
      </c>
    </row>
    <row r="103" spans="13:20" x14ac:dyDescent="0.2">
      <c r="M103" s="251">
        <f>Tornado!BU101</f>
        <v>3.90625E-3</v>
      </c>
      <c r="N103" s="252">
        <f>Tornado!BV101</f>
        <v>0.3525390625</v>
      </c>
      <c r="O103" s="250">
        <f>Tornado!BW101</f>
        <v>16.376437500000002</v>
      </c>
      <c r="P103" s="250">
        <f t="shared" si="4"/>
        <v>9.3260514375000006E-2</v>
      </c>
      <c r="R103" s="235">
        <f t="shared" si="5"/>
        <v>4.1334299999999935E-3</v>
      </c>
      <c r="S103" s="251">
        <f t="shared" si="6"/>
        <v>0.82768763687500002</v>
      </c>
      <c r="T103" s="250">
        <f t="shared" si="7"/>
        <v>16.334849999999999</v>
      </c>
    </row>
    <row r="104" spans="13:20" x14ac:dyDescent="0.2">
      <c r="M104" s="251">
        <f>Tornado!BU102</f>
        <v>7.8125E-3</v>
      </c>
      <c r="N104" s="252">
        <f>Tornado!BV102</f>
        <v>0.3603515625</v>
      </c>
      <c r="O104" s="250">
        <f>Tornado!BW102</f>
        <v>16.701749999999993</v>
      </c>
      <c r="P104" s="250">
        <f t="shared" si="4"/>
        <v>9.5327229375000017E-2</v>
      </c>
      <c r="R104" s="235">
        <f t="shared" si="5"/>
        <v>1.0333574999999984E-3</v>
      </c>
      <c r="S104" s="251">
        <f t="shared" si="6"/>
        <v>0.82872099437500002</v>
      </c>
      <c r="T104" s="250">
        <f t="shared" si="7"/>
        <v>16.376437500000002</v>
      </c>
    </row>
    <row r="105" spans="13:20" x14ac:dyDescent="0.2">
      <c r="M105" s="251">
        <f>Tornado!BU103</f>
        <v>1.953125E-3</v>
      </c>
      <c r="N105" s="252">
        <f>Tornado!BV103</f>
        <v>0.3623046875</v>
      </c>
      <c r="O105" s="250">
        <f>Tornado!BW103</f>
        <v>16.844335714285716</v>
      </c>
      <c r="P105" s="250">
        <f t="shared" si="4"/>
        <v>9.5843908125000016E-2</v>
      </c>
      <c r="R105" s="235">
        <f t="shared" si="5"/>
        <v>2.0667149999999967E-3</v>
      </c>
      <c r="S105" s="251">
        <f t="shared" si="6"/>
        <v>0.83078770937500002</v>
      </c>
      <c r="T105" s="250">
        <f t="shared" si="7"/>
        <v>16.701749999999993</v>
      </c>
    </row>
    <row r="106" spans="13:20" x14ac:dyDescent="0.2">
      <c r="M106" s="251">
        <f>Tornado!BU104</f>
        <v>9.765625E-4</v>
      </c>
      <c r="N106" s="252">
        <f>Tornado!BV104</f>
        <v>0.36328125</v>
      </c>
      <c r="O106" s="250">
        <f>Tornado!BW104</f>
        <v>16.912875</v>
      </c>
      <c r="P106" s="250">
        <f t="shared" si="4"/>
        <v>9.6102247500000015E-2</v>
      </c>
      <c r="R106" s="235">
        <f t="shared" si="5"/>
        <v>5.1667874999994368E-4</v>
      </c>
      <c r="S106" s="251">
        <f t="shared" si="6"/>
        <v>0.83130438812499996</v>
      </c>
      <c r="T106" s="250">
        <f t="shared" si="7"/>
        <v>16.844335714285716</v>
      </c>
    </row>
    <row r="107" spans="13:20" x14ac:dyDescent="0.2">
      <c r="M107" s="251">
        <f>Tornado!BU105</f>
        <v>7.8125E-3</v>
      </c>
      <c r="N107" s="252">
        <f>Tornado!BV105</f>
        <v>0.37109375</v>
      </c>
      <c r="O107" s="250">
        <f>Tornado!BW105</f>
        <v>17.202937500000001</v>
      </c>
      <c r="P107" s="250">
        <f t="shared" si="4"/>
        <v>9.8168962500000012E-2</v>
      </c>
      <c r="R107" s="235">
        <f t="shared" si="5"/>
        <v>2.5833937499997184E-4</v>
      </c>
      <c r="S107" s="251">
        <f t="shared" si="6"/>
        <v>0.83156272749999993</v>
      </c>
      <c r="T107" s="250">
        <f t="shared" si="7"/>
        <v>16.912875</v>
      </c>
    </row>
    <row r="108" spans="13:20" x14ac:dyDescent="0.2">
      <c r="M108" s="251">
        <f>Tornado!BU106</f>
        <v>3.90625E-3</v>
      </c>
      <c r="N108" s="252">
        <f>Tornado!BV106</f>
        <v>0.375</v>
      </c>
      <c r="O108" s="250">
        <f>Tornado!BW106</f>
        <v>17.363892857142858</v>
      </c>
      <c r="P108" s="250">
        <f t="shared" si="4"/>
        <v>9.920232000000001E-2</v>
      </c>
      <c r="R108" s="235">
        <f t="shared" si="5"/>
        <v>2.0667149999999967E-3</v>
      </c>
      <c r="S108" s="251">
        <f t="shared" si="6"/>
        <v>0.83362944249999993</v>
      </c>
      <c r="T108" s="250">
        <f t="shared" si="7"/>
        <v>17.202937500000001</v>
      </c>
    </row>
    <row r="109" spans="13:20" x14ac:dyDescent="0.2">
      <c r="M109" s="251">
        <f>Tornado!BU107</f>
        <v>3.90625E-3</v>
      </c>
      <c r="N109" s="252">
        <f>Tornado!BV107</f>
        <v>0.37890625</v>
      </c>
      <c r="O109" s="250">
        <f>Tornado!BW107</f>
        <v>17.501625000000001</v>
      </c>
      <c r="P109" s="250">
        <f t="shared" si="4"/>
        <v>0.10023567750000001</v>
      </c>
      <c r="R109" s="235">
        <f t="shared" si="5"/>
        <v>1.0333575000001094E-3</v>
      </c>
      <c r="S109" s="251">
        <f t="shared" si="6"/>
        <v>0.83466280000000004</v>
      </c>
      <c r="T109" s="250">
        <f t="shared" si="7"/>
        <v>17.363892857142858</v>
      </c>
    </row>
    <row r="110" spans="13:20" x14ac:dyDescent="0.2">
      <c r="M110" s="251">
        <f>Tornado!BU108</f>
        <v>1.953125E-3</v>
      </c>
      <c r="N110" s="252">
        <f>Tornado!BV108</f>
        <v>0.380859375</v>
      </c>
      <c r="O110" s="250">
        <f>Tornado!BW108</f>
        <v>17.69445</v>
      </c>
      <c r="P110" s="250">
        <f t="shared" si="4"/>
        <v>0.10075235625000001</v>
      </c>
      <c r="R110" s="235">
        <f t="shared" si="5"/>
        <v>1.0333574999998874E-3</v>
      </c>
      <c r="S110" s="251">
        <f t="shared" si="6"/>
        <v>0.83569615749999993</v>
      </c>
      <c r="T110" s="250">
        <f t="shared" si="7"/>
        <v>17.501625000000001</v>
      </c>
    </row>
    <row r="111" spans="13:20" x14ac:dyDescent="0.2">
      <c r="M111" s="251">
        <f>Tornado!BU109</f>
        <v>3.90625E-3</v>
      </c>
      <c r="N111" s="252">
        <f>Tornado!BV109</f>
        <v>0.384765625</v>
      </c>
      <c r="O111" s="250">
        <f>Tornado!BW109</f>
        <v>17.69445</v>
      </c>
      <c r="P111" s="250">
        <f t="shared" si="4"/>
        <v>0.10178571375000001</v>
      </c>
      <c r="R111" s="235">
        <f t="shared" si="5"/>
        <v>5.166787500000547E-4</v>
      </c>
      <c r="S111" s="251">
        <f t="shared" si="6"/>
        <v>0.83621283624999998</v>
      </c>
      <c r="T111" s="250">
        <f t="shared" si="7"/>
        <v>17.69445</v>
      </c>
    </row>
    <row r="112" spans="13:20" x14ac:dyDescent="0.2">
      <c r="M112" s="251">
        <f>Tornado!BU110</f>
        <v>3.90625E-3</v>
      </c>
      <c r="N112" s="252">
        <f>Tornado!BV110</f>
        <v>0.388671875</v>
      </c>
      <c r="O112" s="250">
        <f>Tornado!BW110</f>
        <v>18.160250000000001</v>
      </c>
      <c r="P112" s="250">
        <f t="shared" si="4"/>
        <v>0.10281907125</v>
      </c>
      <c r="R112" s="235">
        <f t="shared" si="5"/>
        <v>1.0333574999999984E-3</v>
      </c>
      <c r="S112" s="251">
        <f t="shared" si="6"/>
        <v>0.83724619374999998</v>
      </c>
      <c r="T112" s="250">
        <f t="shared" si="7"/>
        <v>17.69445</v>
      </c>
    </row>
    <row r="113" spans="13:20" x14ac:dyDescent="0.2">
      <c r="M113" s="251">
        <f>Tornado!BU111</f>
        <v>7.8125E-3</v>
      </c>
      <c r="N113" s="252">
        <f>Tornado!BV111</f>
        <v>0.396484375</v>
      </c>
      <c r="O113" s="250">
        <f>Tornado!BW111</f>
        <v>18.186349999999997</v>
      </c>
      <c r="P113" s="250">
        <f t="shared" si="4"/>
        <v>0.10488578625000002</v>
      </c>
      <c r="R113" s="235">
        <f t="shared" si="5"/>
        <v>1.0333574999999984E-3</v>
      </c>
      <c r="S113" s="251">
        <f t="shared" si="6"/>
        <v>0.83827955124999998</v>
      </c>
      <c r="T113" s="250">
        <f t="shared" si="7"/>
        <v>18.160250000000001</v>
      </c>
    </row>
    <row r="114" spans="13:20" x14ac:dyDescent="0.2">
      <c r="M114" s="251">
        <f>Tornado!BU112</f>
        <v>7.8125E-3</v>
      </c>
      <c r="N114" s="252">
        <f>Tornado!BV112</f>
        <v>0.404296875</v>
      </c>
      <c r="O114" s="250">
        <f>Tornado!BW112</f>
        <v>18.557499999999994</v>
      </c>
      <c r="P114" s="250">
        <f t="shared" si="4"/>
        <v>0.10695250125000001</v>
      </c>
      <c r="R114" s="235">
        <f t="shared" si="5"/>
        <v>2.0667149999999967E-3</v>
      </c>
      <c r="S114" s="251">
        <f t="shared" si="6"/>
        <v>0.84034626624999997</v>
      </c>
      <c r="T114" s="250">
        <f t="shared" si="7"/>
        <v>18.186349999999997</v>
      </c>
    </row>
    <row r="115" spans="13:20" x14ac:dyDescent="0.2">
      <c r="M115" s="251">
        <f>Tornado!BU113</f>
        <v>3.90625E-3</v>
      </c>
      <c r="N115" s="252">
        <f>Tornado!BV113</f>
        <v>0.408203125</v>
      </c>
      <c r="O115" s="250">
        <f>Tornado!BW113</f>
        <v>18.906749999999995</v>
      </c>
      <c r="P115" s="250">
        <f t="shared" si="4"/>
        <v>0.10798585875000001</v>
      </c>
      <c r="R115" s="235">
        <f t="shared" si="5"/>
        <v>2.0667149999999967E-3</v>
      </c>
      <c r="S115" s="251">
        <f t="shared" si="6"/>
        <v>0.84241298124999997</v>
      </c>
      <c r="T115" s="250">
        <f t="shared" si="7"/>
        <v>18.557499999999994</v>
      </c>
    </row>
    <row r="116" spans="13:20" x14ac:dyDescent="0.2">
      <c r="M116" s="251">
        <f>Tornado!BU114</f>
        <v>3.90625E-3</v>
      </c>
      <c r="N116" s="252">
        <f>Tornado!BV114</f>
        <v>0.412109375</v>
      </c>
      <c r="O116" s="250">
        <f>Tornado!BW114</f>
        <v>18.907350000000001</v>
      </c>
      <c r="P116" s="250">
        <f t="shared" si="4"/>
        <v>0.10901921625000001</v>
      </c>
      <c r="R116" s="235">
        <f t="shared" si="5"/>
        <v>1.0333574999999984E-3</v>
      </c>
      <c r="S116" s="251">
        <f t="shared" si="6"/>
        <v>0.84344633874999997</v>
      </c>
      <c r="T116" s="250">
        <f t="shared" si="7"/>
        <v>18.906749999999995</v>
      </c>
    </row>
    <row r="117" spans="13:20" x14ac:dyDescent="0.2">
      <c r="M117" s="251">
        <f>Tornado!BU115</f>
        <v>7.8125E-3</v>
      </c>
      <c r="N117" s="252">
        <f>Tornado!BV115</f>
        <v>0.419921875</v>
      </c>
      <c r="O117" s="250">
        <f>Tornado!BW115</f>
        <v>18.907350000000001</v>
      </c>
      <c r="P117" s="250">
        <f t="shared" si="4"/>
        <v>0.11108593125000001</v>
      </c>
      <c r="R117" s="235">
        <f t="shared" si="5"/>
        <v>1.0333574999999984E-3</v>
      </c>
      <c r="S117" s="251">
        <f t="shared" si="6"/>
        <v>0.84447969624999997</v>
      </c>
      <c r="T117" s="250">
        <f t="shared" si="7"/>
        <v>18.907350000000001</v>
      </c>
    </row>
    <row r="118" spans="13:20" x14ac:dyDescent="0.2">
      <c r="M118" s="251">
        <f>Tornado!BU116</f>
        <v>9.765625E-4</v>
      </c>
      <c r="N118" s="252">
        <f>Tornado!BV116</f>
        <v>0.4208984375</v>
      </c>
      <c r="O118" s="250">
        <f>Tornado!BW116</f>
        <v>19.068262499999999</v>
      </c>
      <c r="P118" s="250">
        <f t="shared" si="4"/>
        <v>0.11134427062500001</v>
      </c>
      <c r="R118" s="235">
        <f t="shared" si="5"/>
        <v>2.0667149999999967E-3</v>
      </c>
      <c r="S118" s="251">
        <f t="shared" si="6"/>
        <v>0.84654641124999996</v>
      </c>
      <c r="T118" s="250">
        <f t="shared" si="7"/>
        <v>18.907350000000001</v>
      </c>
    </row>
    <row r="119" spans="13:20" x14ac:dyDescent="0.2">
      <c r="M119" s="251">
        <f>Tornado!BU117</f>
        <v>1.953125E-3</v>
      </c>
      <c r="N119" s="252">
        <f>Tornado!BV117</f>
        <v>0.4228515625</v>
      </c>
      <c r="O119" s="250">
        <f>Tornado!BW117</f>
        <v>19.068262499999999</v>
      </c>
      <c r="P119" s="250">
        <f t="shared" si="4"/>
        <v>0.11186094937500002</v>
      </c>
      <c r="R119" s="235">
        <f t="shared" si="5"/>
        <v>2.5833937499997184E-4</v>
      </c>
      <c r="S119" s="251">
        <f t="shared" si="6"/>
        <v>0.84680475062499994</v>
      </c>
      <c r="T119" s="250">
        <f t="shared" si="7"/>
        <v>19.068262499999999</v>
      </c>
    </row>
    <row r="120" spans="13:20" x14ac:dyDescent="0.2">
      <c r="M120" s="251">
        <f>Tornado!BU118</f>
        <v>1.953125E-3</v>
      </c>
      <c r="N120" s="252">
        <f>Tornado!BV118</f>
        <v>0.4248046875</v>
      </c>
      <c r="O120" s="250">
        <f>Tornado!BW118</f>
        <v>19.132687499999999</v>
      </c>
      <c r="P120" s="250">
        <f t="shared" si="4"/>
        <v>0.11237762812500002</v>
      </c>
      <c r="R120" s="235">
        <f t="shared" si="5"/>
        <v>5.166787500000547E-4</v>
      </c>
      <c r="S120" s="251">
        <f t="shared" si="6"/>
        <v>0.84732142937499999</v>
      </c>
      <c r="T120" s="250">
        <f t="shared" si="7"/>
        <v>19.068262499999999</v>
      </c>
    </row>
    <row r="121" spans="13:20" x14ac:dyDescent="0.2">
      <c r="M121" s="251">
        <f>Tornado!BU119</f>
        <v>1.953125E-3</v>
      </c>
      <c r="N121" s="252">
        <f>Tornado!BV119</f>
        <v>0.4267578125</v>
      </c>
      <c r="O121" s="250">
        <f>Tornado!BW119</f>
        <v>19.485374999999994</v>
      </c>
      <c r="P121" s="250">
        <f t="shared" si="4"/>
        <v>0.11289430687500002</v>
      </c>
      <c r="R121" s="235">
        <f t="shared" si="5"/>
        <v>5.1667874999994368E-4</v>
      </c>
      <c r="S121" s="251">
        <f t="shared" si="6"/>
        <v>0.84783810812499993</v>
      </c>
      <c r="T121" s="250">
        <f t="shared" si="7"/>
        <v>19.132687499999999</v>
      </c>
    </row>
    <row r="122" spans="13:20" x14ac:dyDescent="0.2">
      <c r="M122" s="251">
        <f>Tornado!BU120</f>
        <v>3.90625E-3</v>
      </c>
      <c r="N122" s="252">
        <f>Tornado!BV120</f>
        <v>0.4306640625</v>
      </c>
      <c r="O122" s="250">
        <f>Tornado!BW120</f>
        <v>19.660500000000003</v>
      </c>
      <c r="P122" s="250">
        <f t="shared" si="4"/>
        <v>0.11392766437500002</v>
      </c>
      <c r="R122" s="235">
        <f t="shared" si="5"/>
        <v>5.166787500000547E-4</v>
      </c>
      <c r="S122" s="251">
        <f t="shared" si="6"/>
        <v>0.84835478687499999</v>
      </c>
      <c r="T122" s="250">
        <f t="shared" si="7"/>
        <v>19.485374999999994</v>
      </c>
    </row>
    <row r="123" spans="13:20" x14ac:dyDescent="0.2">
      <c r="M123" s="251">
        <f>Tornado!BU121</f>
        <v>9.765625E-4</v>
      </c>
      <c r="N123" s="252">
        <f>Tornado!BV121</f>
        <v>0.431640625</v>
      </c>
      <c r="O123" s="250">
        <f>Tornado!BW121</f>
        <v>19.679335714285713</v>
      </c>
      <c r="P123" s="250">
        <f t="shared" si="4"/>
        <v>0.11418600375000001</v>
      </c>
      <c r="R123" s="235">
        <f t="shared" si="5"/>
        <v>1.0333574999999984E-3</v>
      </c>
      <c r="S123" s="251">
        <f t="shared" si="6"/>
        <v>0.84938814437499999</v>
      </c>
      <c r="T123" s="250">
        <f t="shared" si="7"/>
        <v>19.660500000000003</v>
      </c>
    </row>
    <row r="124" spans="13:20" x14ac:dyDescent="0.2">
      <c r="M124" s="251">
        <f>Tornado!BU122</f>
        <v>1.953125E-3</v>
      </c>
      <c r="N124" s="252">
        <f>Tornado!BV122</f>
        <v>0.43359375</v>
      </c>
      <c r="O124" s="250">
        <f>Tornado!BW122</f>
        <v>20.257874999999999</v>
      </c>
      <c r="P124" s="250">
        <f t="shared" si="4"/>
        <v>0.11470268250000001</v>
      </c>
      <c r="R124" s="235">
        <f t="shared" si="5"/>
        <v>2.5833937499997184E-4</v>
      </c>
      <c r="S124" s="251">
        <f t="shared" si="6"/>
        <v>0.84964648374999996</v>
      </c>
      <c r="T124" s="250">
        <f t="shared" si="7"/>
        <v>19.679335714285713</v>
      </c>
    </row>
    <row r="125" spans="13:20" x14ac:dyDescent="0.2">
      <c r="M125" s="251">
        <f>Tornado!BU123</f>
        <v>1.953125E-3</v>
      </c>
      <c r="N125" s="252">
        <f>Tornado!BV123</f>
        <v>0.435546875</v>
      </c>
      <c r="O125" s="250">
        <f>Tornado!BW123</f>
        <v>20.295449999999995</v>
      </c>
      <c r="P125" s="250">
        <f t="shared" si="4"/>
        <v>0.11521936125000001</v>
      </c>
      <c r="R125" s="235">
        <f t="shared" si="5"/>
        <v>5.166787500000547E-4</v>
      </c>
      <c r="S125" s="251">
        <f t="shared" si="6"/>
        <v>0.85016316250000001</v>
      </c>
      <c r="T125" s="250">
        <f t="shared" si="7"/>
        <v>20.257874999999999</v>
      </c>
    </row>
    <row r="126" spans="13:20" x14ac:dyDescent="0.2">
      <c r="M126" s="251">
        <f>Tornado!BU124</f>
        <v>1.5625E-2</v>
      </c>
      <c r="N126" s="252">
        <f>Tornado!BV124</f>
        <v>0.451171875</v>
      </c>
      <c r="O126" s="250">
        <f>Tornado!BW124</f>
        <v>20.4185625</v>
      </c>
      <c r="P126" s="250">
        <f t="shared" si="4"/>
        <v>0.11935279125000001</v>
      </c>
      <c r="R126" s="235">
        <f t="shared" si="5"/>
        <v>5.1667874999994368E-4</v>
      </c>
      <c r="S126" s="251">
        <f t="shared" si="6"/>
        <v>0.85067984124999996</v>
      </c>
      <c r="T126" s="250">
        <f t="shared" si="7"/>
        <v>20.295449999999995</v>
      </c>
    </row>
    <row r="127" spans="13:20" x14ac:dyDescent="0.2">
      <c r="M127" s="251">
        <f>Tornado!BU125</f>
        <v>3.90625E-3</v>
      </c>
      <c r="N127" s="252">
        <f>Tornado!BV125</f>
        <v>0.455078125</v>
      </c>
      <c r="O127" s="250">
        <f>Tornado!BW125</f>
        <v>20.58734999999999</v>
      </c>
      <c r="P127" s="250">
        <f t="shared" si="4"/>
        <v>0.12038614875000002</v>
      </c>
      <c r="R127" s="235">
        <f t="shared" si="5"/>
        <v>4.1334299999999935E-3</v>
      </c>
      <c r="S127" s="251">
        <f t="shared" si="6"/>
        <v>0.85481327124999995</v>
      </c>
      <c r="T127" s="250">
        <f t="shared" si="7"/>
        <v>20.4185625</v>
      </c>
    </row>
    <row r="128" spans="13:20" x14ac:dyDescent="0.2">
      <c r="M128" s="251">
        <f>Tornado!BU126</f>
        <v>1.953125E-3</v>
      </c>
      <c r="N128" s="252">
        <f>Tornado!BV126</f>
        <v>0.45703125</v>
      </c>
      <c r="O128" s="250">
        <f>Tornado!BW126</f>
        <v>20.709642857142853</v>
      </c>
      <c r="P128" s="250">
        <f t="shared" si="4"/>
        <v>0.12090282750000002</v>
      </c>
      <c r="R128" s="235">
        <f t="shared" si="5"/>
        <v>1.0333574999999984E-3</v>
      </c>
      <c r="S128" s="251">
        <f t="shared" si="6"/>
        <v>0.85584662874999995</v>
      </c>
      <c r="T128" s="250">
        <f t="shared" si="7"/>
        <v>20.58734999999999</v>
      </c>
    </row>
    <row r="129" spans="13:20" x14ac:dyDescent="0.2">
      <c r="M129" s="251">
        <f>Tornado!BU127</f>
        <v>7.8125E-3</v>
      </c>
      <c r="N129" s="252">
        <f>Tornado!BV127</f>
        <v>0.46484375</v>
      </c>
      <c r="O129" s="250">
        <f>Tornado!BW127</f>
        <v>21.001950000000001</v>
      </c>
      <c r="P129" s="250">
        <f t="shared" si="4"/>
        <v>0.12296954250000001</v>
      </c>
      <c r="R129" s="235">
        <f t="shared" si="5"/>
        <v>5.166787500000547E-4</v>
      </c>
      <c r="S129" s="251">
        <f t="shared" si="6"/>
        <v>0.8563633075</v>
      </c>
      <c r="T129" s="250">
        <f t="shared" si="7"/>
        <v>20.709642857142853</v>
      </c>
    </row>
    <row r="130" spans="13:20" x14ac:dyDescent="0.2">
      <c r="M130" s="251">
        <f>Tornado!BU128</f>
        <v>3.90625E-3</v>
      </c>
      <c r="N130" s="252">
        <f>Tornado!BV128</f>
        <v>0.46875</v>
      </c>
      <c r="O130" s="250">
        <f>Tornado!BW128</f>
        <v>21.001950000000001</v>
      </c>
      <c r="P130" s="250">
        <f t="shared" si="4"/>
        <v>0.12400290000000001</v>
      </c>
      <c r="R130" s="235">
        <f t="shared" si="5"/>
        <v>2.0667149999999967E-3</v>
      </c>
      <c r="S130" s="251">
        <f t="shared" si="6"/>
        <v>0.8584300225</v>
      </c>
      <c r="T130" s="250">
        <f t="shared" si="7"/>
        <v>21.001950000000001</v>
      </c>
    </row>
    <row r="131" spans="13:20" x14ac:dyDescent="0.2">
      <c r="M131" s="251">
        <f>Tornado!BU129</f>
        <v>3.90625E-3</v>
      </c>
      <c r="N131" s="252">
        <f>Tornado!BV129</f>
        <v>0.47265625</v>
      </c>
      <c r="O131" s="250">
        <f>Tornado!BW129</f>
        <v>21.007499999999997</v>
      </c>
      <c r="P131" s="250">
        <f t="shared" si="4"/>
        <v>0.12503625750000003</v>
      </c>
      <c r="R131" s="235">
        <f t="shared" si="5"/>
        <v>1.0333574999999984E-3</v>
      </c>
      <c r="S131" s="251">
        <f t="shared" si="6"/>
        <v>0.85946338</v>
      </c>
      <c r="T131" s="250">
        <f t="shared" si="7"/>
        <v>21.001950000000001</v>
      </c>
    </row>
    <row r="132" spans="13:20" x14ac:dyDescent="0.2">
      <c r="M132" s="251">
        <f>Tornado!BU130</f>
        <v>7.8125E-3</v>
      </c>
      <c r="N132" s="252">
        <f>Tornado!BV130</f>
        <v>0.48046875</v>
      </c>
      <c r="O132" s="250">
        <f>Tornado!BW130</f>
        <v>21.835249999999998</v>
      </c>
      <c r="P132" s="250">
        <f t="shared" si="4"/>
        <v>0.12710297250000002</v>
      </c>
      <c r="R132" s="235">
        <f t="shared" si="5"/>
        <v>1.0333574999999984E-3</v>
      </c>
      <c r="S132" s="251">
        <f t="shared" si="6"/>
        <v>0.8604967375</v>
      </c>
      <c r="T132" s="250">
        <f t="shared" si="7"/>
        <v>21.007499999999997</v>
      </c>
    </row>
    <row r="133" spans="13:20" x14ac:dyDescent="0.2">
      <c r="M133" s="251">
        <f>Tornado!BU131</f>
        <v>9.765625E-4</v>
      </c>
      <c r="N133" s="252">
        <f>Tornado!BV131</f>
        <v>0.4814453125</v>
      </c>
      <c r="O133" s="250">
        <f>Tornado!BW131</f>
        <v>22.057874999999999</v>
      </c>
      <c r="P133" s="250">
        <f t="shared" si="4"/>
        <v>0.12736131187500002</v>
      </c>
      <c r="R133" s="235">
        <f t="shared" si="5"/>
        <v>2.0667149999999967E-3</v>
      </c>
      <c r="S133" s="251">
        <f t="shared" si="6"/>
        <v>0.86256345249999999</v>
      </c>
      <c r="T133" s="250">
        <f t="shared" si="7"/>
        <v>21.835249999999998</v>
      </c>
    </row>
    <row r="134" spans="13:20" x14ac:dyDescent="0.2">
      <c r="M134" s="251">
        <f>Tornado!BU132</f>
        <v>1.953125E-3</v>
      </c>
      <c r="N134" s="252">
        <f>Tornado!BV132</f>
        <v>0.4833984375</v>
      </c>
      <c r="O134" s="250">
        <f>Tornado!BW132</f>
        <v>22.5505</v>
      </c>
      <c r="P134" s="250">
        <f t="shared" si="4"/>
        <v>0.12787799062500002</v>
      </c>
      <c r="R134" s="235">
        <f t="shared" si="5"/>
        <v>2.5833937499997184E-4</v>
      </c>
      <c r="S134" s="251">
        <f t="shared" si="6"/>
        <v>0.86282179187499997</v>
      </c>
      <c r="T134" s="250">
        <f t="shared" si="7"/>
        <v>22.057874999999999</v>
      </c>
    </row>
    <row r="135" spans="13:20" x14ac:dyDescent="0.2">
      <c r="M135" s="251">
        <f>Tornado!BU133</f>
        <v>1.953125E-3</v>
      </c>
      <c r="N135" s="252">
        <f>Tornado!BV133</f>
        <v>0.4853515625</v>
      </c>
      <c r="O135" s="250">
        <f>Tornado!BW133</f>
        <v>22.9270125</v>
      </c>
      <c r="P135" s="250">
        <f t="shared" ref="P135:P198" si="8">pCrossChasm_total * N135</f>
        <v>0.12839466937500002</v>
      </c>
      <c r="R135" s="235">
        <f t="shared" si="5"/>
        <v>5.166787500000547E-4</v>
      </c>
      <c r="S135" s="251">
        <f t="shared" si="6"/>
        <v>0.86333847062500002</v>
      </c>
      <c r="T135" s="250">
        <f t="shared" si="7"/>
        <v>22.5505</v>
      </c>
    </row>
    <row r="136" spans="13:20" x14ac:dyDescent="0.2">
      <c r="M136" s="251">
        <f>Tornado!BU134</f>
        <v>3.90625E-3</v>
      </c>
      <c r="N136" s="252">
        <f>Tornado!BV134</f>
        <v>0.4892578125</v>
      </c>
      <c r="O136" s="250">
        <f>Tornado!BW134</f>
        <v>22.9270125</v>
      </c>
      <c r="P136" s="250">
        <f t="shared" si="8"/>
        <v>0.12942802687500002</v>
      </c>
      <c r="R136" s="235">
        <f t="shared" ref="R136:R199" si="9">S136-S135</f>
        <v>5.1667874999994368E-4</v>
      </c>
      <c r="S136" s="251">
        <f t="shared" si="6"/>
        <v>0.86385514937499996</v>
      </c>
      <c r="T136" s="250">
        <f t="shared" si="7"/>
        <v>22.9270125</v>
      </c>
    </row>
    <row r="137" spans="13:20" x14ac:dyDescent="0.2">
      <c r="M137" s="251">
        <f>Tornado!BU135</f>
        <v>1.5625E-2</v>
      </c>
      <c r="N137" s="252">
        <f>Tornado!BV135</f>
        <v>0.5048828125</v>
      </c>
      <c r="O137" s="250">
        <f>Tornado!BW135</f>
        <v>22.937249999999999</v>
      </c>
      <c r="P137" s="250">
        <f t="shared" si="8"/>
        <v>0.13356145687500001</v>
      </c>
      <c r="R137" s="235">
        <f t="shared" si="9"/>
        <v>1.0333574999999984E-3</v>
      </c>
      <c r="S137" s="251">
        <f t="shared" ref="S137:S200" si="10">P136+$S$7</f>
        <v>0.86488850687499996</v>
      </c>
      <c r="T137" s="250">
        <f t="shared" ref="T137:T200" si="11">O136</f>
        <v>22.9270125</v>
      </c>
    </row>
    <row r="138" spans="13:20" x14ac:dyDescent="0.2">
      <c r="M138" s="251">
        <f>Tornado!BU136</f>
        <v>7.8125E-3</v>
      </c>
      <c r="N138" s="252">
        <f>Tornado!BV136</f>
        <v>0.5126953125</v>
      </c>
      <c r="O138" s="250">
        <f>Tornado!BW136</f>
        <v>23.3355</v>
      </c>
      <c r="P138" s="250">
        <f t="shared" si="8"/>
        <v>0.13562817187500001</v>
      </c>
      <c r="R138" s="235">
        <f t="shared" si="9"/>
        <v>4.1334299999999935E-3</v>
      </c>
      <c r="S138" s="251">
        <f t="shared" si="10"/>
        <v>0.86902193687499996</v>
      </c>
      <c r="T138" s="250">
        <f t="shared" si="11"/>
        <v>22.937249999999999</v>
      </c>
    </row>
    <row r="139" spans="13:20" x14ac:dyDescent="0.2">
      <c r="M139" s="251">
        <f>Tornado!BU137</f>
        <v>1.953125E-3</v>
      </c>
      <c r="N139" s="252">
        <f>Tornado!BV137</f>
        <v>0.5146484375</v>
      </c>
      <c r="O139" s="250">
        <f>Tornado!BW137</f>
        <v>23.348892857142857</v>
      </c>
      <c r="P139" s="250">
        <f t="shared" si="8"/>
        <v>0.13614485062500001</v>
      </c>
      <c r="R139" s="235">
        <f t="shared" si="9"/>
        <v>2.0667149999999967E-3</v>
      </c>
      <c r="S139" s="251">
        <f t="shared" si="10"/>
        <v>0.87108865187499995</v>
      </c>
      <c r="T139" s="250">
        <f t="shared" si="11"/>
        <v>23.3355</v>
      </c>
    </row>
    <row r="140" spans="13:20" x14ac:dyDescent="0.2">
      <c r="M140" s="251">
        <f>Tornado!BU138</f>
        <v>3.90625E-3</v>
      </c>
      <c r="N140" s="252">
        <f>Tornado!BV138</f>
        <v>0.5185546875</v>
      </c>
      <c r="O140" s="250">
        <f>Tornado!BW138</f>
        <v>23.382449999999995</v>
      </c>
      <c r="P140" s="250">
        <f t="shared" si="8"/>
        <v>0.13717820812500001</v>
      </c>
      <c r="R140" s="235">
        <f t="shared" si="9"/>
        <v>5.166787500000547E-4</v>
      </c>
      <c r="S140" s="251">
        <f t="shared" si="10"/>
        <v>0.87160533062500001</v>
      </c>
      <c r="T140" s="250">
        <f t="shared" si="11"/>
        <v>23.348892857142857</v>
      </c>
    </row>
    <row r="141" spans="13:20" x14ac:dyDescent="0.2">
      <c r="M141" s="251">
        <f>Tornado!BU139</f>
        <v>7.8125E-3</v>
      </c>
      <c r="N141" s="252">
        <f>Tornado!BV139</f>
        <v>0.5263671875</v>
      </c>
      <c r="O141" s="250">
        <f>Tornado!BW139</f>
        <v>23.634187499999996</v>
      </c>
      <c r="P141" s="250">
        <f t="shared" si="8"/>
        <v>0.139244923125</v>
      </c>
      <c r="R141" s="235">
        <f t="shared" si="9"/>
        <v>1.0333574999999984E-3</v>
      </c>
      <c r="S141" s="251">
        <f t="shared" si="10"/>
        <v>0.87263868812500001</v>
      </c>
      <c r="T141" s="250">
        <f t="shared" si="11"/>
        <v>23.382449999999995</v>
      </c>
    </row>
    <row r="142" spans="13:20" x14ac:dyDescent="0.2">
      <c r="M142" s="251">
        <f>Tornado!BU140</f>
        <v>3.90625E-3</v>
      </c>
      <c r="N142" s="252">
        <f>Tornado!BV140</f>
        <v>0.5302734375</v>
      </c>
      <c r="O142" s="250">
        <f>Tornado!BW140</f>
        <v>23.859642857142852</v>
      </c>
      <c r="P142" s="250">
        <f t="shared" si="8"/>
        <v>0.140278280625</v>
      </c>
      <c r="R142" s="235">
        <f t="shared" si="9"/>
        <v>2.0667149999999967E-3</v>
      </c>
      <c r="S142" s="251">
        <f t="shared" si="10"/>
        <v>0.874705403125</v>
      </c>
      <c r="T142" s="250">
        <f t="shared" si="11"/>
        <v>23.634187499999996</v>
      </c>
    </row>
    <row r="143" spans="13:20" x14ac:dyDescent="0.2">
      <c r="M143" s="251">
        <f>Tornado!BU141</f>
        <v>3.90625E-3</v>
      </c>
      <c r="N143" s="252">
        <f>Tornado!BV141</f>
        <v>0.5341796875</v>
      </c>
      <c r="O143" s="250">
        <f>Tornado!BW141</f>
        <v>24.084112499999996</v>
      </c>
      <c r="P143" s="250">
        <f t="shared" si="8"/>
        <v>0.14131163812500003</v>
      </c>
      <c r="R143" s="235">
        <f t="shared" si="9"/>
        <v>1.0333574999999984E-3</v>
      </c>
      <c r="S143" s="251">
        <f t="shared" si="10"/>
        <v>0.875738760625</v>
      </c>
      <c r="T143" s="250">
        <f t="shared" si="11"/>
        <v>23.859642857142852</v>
      </c>
    </row>
    <row r="144" spans="13:20" x14ac:dyDescent="0.2">
      <c r="M144" s="251">
        <f>Tornado!BU142</f>
        <v>1.953125E-3</v>
      </c>
      <c r="N144" s="252">
        <f>Tornado!BV142</f>
        <v>0.5361328125</v>
      </c>
      <c r="O144" s="250">
        <f>Tornado!BW142</f>
        <v>24.309450000000002</v>
      </c>
      <c r="P144" s="250">
        <f t="shared" si="8"/>
        <v>0.14182831687500003</v>
      </c>
      <c r="R144" s="235">
        <f t="shared" si="9"/>
        <v>1.0333574999999984E-3</v>
      </c>
      <c r="S144" s="251">
        <f t="shared" si="10"/>
        <v>0.876772118125</v>
      </c>
      <c r="T144" s="250">
        <f t="shared" si="11"/>
        <v>24.084112499999996</v>
      </c>
    </row>
    <row r="145" spans="13:20" x14ac:dyDescent="0.2">
      <c r="M145" s="251">
        <f>Tornado!BU143</f>
        <v>3.90625E-3</v>
      </c>
      <c r="N145" s="252">
        <f>Tornado!BV143</f>
        <v>0.5400390625</v>
      </c>
      <c r="O145" s="250">
        <f>Tornado!BW143</f>
        <v>24.309450000000002</v>
      </c>
      <c r="P145" s="250">
        <f t="shared" si="8"/>
        <v>0.14286167437500003</v>
      </c>
      <c r="R145" s="235">
        <f t="shared" si="9"/>
        <v>5.166787500000547E-4</v>
      </c>
      <c r="S145" s="251">
        <f t="shared" si="10"/>
        <v>0.87728879687500005</v>
      </c>
      <c r="T145" s="250">
        <f t="shared" si="11"/>
        <v>24.309450000000002</v>
      </c>
    </row>
    <row r="146" spans="13:20" x14ac:dyDescent="0.2">
      <c r="M146" s="251">
        <f>Tornado!BU144</f>
        <v>3.90625E-3</v>
      </c>
      <c r="N146" s="252">
        <f>Tornado!BV144</f>
        <v>0.5439453125</v>
      </c>
      <c r="O146" s="250">
        <f>Tornado!BW144</f>
        <v>24.575624999999999</v>
      </c>
      <c r="P146" s="250">
        <f t="shared" si="8"/>
        <v>0.14389503187500002</v>
      </c>
      <c r="R146" s="235">
        <f t="shared" si="9"/>
        <v>1.0333574999998874E-3</v>
      </c>
      <c r="S146" s="251">
        <f t="shared" si="10"/>
        <v>0.87832215437499994</v>
      </c>
      <c r="T146" s="250">
        <f t="shared" si="11"/>
        <v>24.309450000000002</v>
      </c>
    </row>
    <row r="147" spans="13:20" x14ac:dyDescent="0.2">
      <c r="M147" s="251">
        <f>Tornado!BU145</f>
        <v>1.953125E-3</v>
      </c>
      <c r="N147" s="252">
        <f>Tornado!BV145</f>
        <v>0.5458984375</v>
      </c>
      <c r="O147" s="250">
        <f>Tornado!BW145</f>
        <v>25.277785714285717</v>
      </c>
      <c r="P147" s="250">
        <f t="shared" si="8"/>
        <v>0.14441171062500002</v>
      </c>
      <c r="R147" s="235">
        <f t="shared" si="9"/>
        <v>1.0333575000001094E-3</v>
      </c>
      <c r="S147" s="251">
        <f t="shared" si="10"/>
        <v>0.87935551187500005</v>
      </c>
      <c r="T147" s="250">
        <f t="shared" si="11"/>
        <v>24.575624999999999</v>
      </c>
    </row>
    <row r="148" spans="13:20" x14ac:dyDescent="0.2">
      <c r="M148" s="251">
        <f>Tornado!BU146</f>
        <v>3.90625E-3</v>
      </c>
      <c r="N148" s="252">
        <f>Tornado!BV146</f>
        <v>0.5498046875</v>
      </c>
      <c r="O148" s="250">
        <f>Tornado!BW146</f>
        <v>25.42435</v>
      </c>
      <c r="P148" s="250">
        <f t="shared" si="8"/>
        <v>0.14544506812500002</v>
      </c>
      <c r="R148" s="235">
        <f t="shared" si="9"/>
        <v>5.1667874999994368E-4</v>
      </c>
      <c r="S148" s="251">
        <f t="shared" si="10"/>
        <v>0.87987219062499999</v>
      </c>
      <c r="T148" s="250">
        <f t="shared" si="11"/>
        <v>25.277785714285717</v>
      </c>
    </row>
    <row r="149" spans="13:20" x14ac:dyDescent="0.2">
      <c r="M149" s="251">
        <f>Tornado!BU147</f>
        <v>1.953125E-3</v>
      </c>
      <c r="N149" s="252">
        <f>Tornado!BV147</f>
        <v>0.5517578125</v>
      </c>
      <c r="O149" s="250">
        <f>Tornado!BW147</f>
        <v>25.42435</v>
      </c>
      <c r="P149" s="250">
        <f t="shared" si="8"/>
        <v>0.14596174687500002</v>
      </c>
      <c r="R149" s="235">
        <f t="shared" si="9"/>
        <v>1.0333574999999984E-3</v>
      </c>
      <c r="S149" s="251">
        <f t="shared" si="10"/>
        <v>0.88090554812499999</v>
      </c>
      <c r="T149" s="250">
        <f t="shared" si="11"/>
        <v>25.42435</v>
      </c>
    </row>
    <row r="150" spans="13:20" x14ac:dyDescent="0.2">
      <c r="M150" s="251">
        <f>Tornado!BU148</f>
        <v>3.90625E-3</v>
      </c>
      <c r="N150" s="252">
        <f>Tornado!BV148</f>
        <v>0.5556640625</v>
      </c>
      <c r="O150" s="250">
        <f>Tornado!BW148</f>
        <v>25.510249999999999</v>
      </c>
      <c r="P150" s="250">
        <f t="shared" si="8"/>
        <v>0.14699510437500002</v>
      </c>
      <c r="R150" s="235">
        <f t="shared" si="9"/>
        <v>5.166787500000547E-4</v>
      </c>
      <c r="S150" s="251">
        <f t="shared" si="10"/>
        <v>0.88142222687500005</v>
      </c>
      <c r="T150" s="250">
        <f t="shared" si="11"/>
        <v>25.42435</v>
      </c>
    </row>
    <row r="151" spans="13:20" x14ac:dyDescent="0.2">
      <c r="M151" s="251">
        <f>Tornado!BU149</f>
        <v>3.90625E-3</v>
      </c>
      <c r="N151" s="252">
        <f>Tornado!BV149</f>
        <v>0.5595703125</v>
      </c>
      <c r="O151" s="250">
        <f>Tornado!BW149</f>
        <v>25.980499999999999</v>
      </c>
      <c r="P151" s="250">
        <f t="shared" si="8"/>
        <v>0.14802846187500002</v>
      </c>
      <c r="R151" s="235">
        <f t="shared" si="9"/>
        <v>1.0333574999998874E-3</v>
      </c>
      <c r="S151" s="251">
        <f t="shared" si="10"/>
        <v>0.88245558437499994</v>
      </c>
      <c r="T151" s="250">
        <f t="shared" si="11"/>
        <v>25.510249999999999</v>
      </c>
    </row>
    <row r="152" spans="13:20" x14ac:dyDescent="0.2">
      <c r="M152" s="251">
        <f>Tornado!BU150</f>
        <v>1.953125E-3</v>
      </c>
      <c r="N152" s="252">
        <f>Tornado!BV150</f>
        <v>0.5615234375</v>
      </c>
      <c r="O152" s="250">
        <f>Tornado!BW150</f>
        <v>26.469449999999991</v>
      </c>
      <c r="P152" s="250">
        <f t="shared" si="8"/>
        <v>0.14854514062500002</v>
      </c>
      <c r="R152" s="235">
        <f t="shared" si="9"/>
        <v>1.0333575000001094E-3</v>
      </c>
      <c r="S152" s="251">
        <f t="shared" si="10"/>
        <v>0.88348894187500004</v>
      </c>
      <c r="T152" s="250">
        <f t="shared" si="11"/>
        <v>25.980499999999999</v>
      </c>
    </row>
    <row r="153" spans="13:20" x14ac:dyDescent="0.2">
      <c r="M153" s="251">
        <f>Tornado!BU151</f>
        <v>9.765625E-4</v>
      </c>
      <c r="N153" s="252">
        <f>Tornado!BV151</f>
        <v>0.5625</v>
      </c>
      <c r="O153" s="250">
        <f>Tornado!BW151</f>
        <v>26.785762500000001</v>
      </c>
      <c r="P153" s="250">
        <f t="shared" si="8"/>
        <v>0.14880348000000002</v>
      </c>
      <c r="R153" s="235">
        <f t="shared" si="9"/>
        <v>5.1667874999994368E-4</v>
      </c>
      <c r="S153" s="251">
        <f t="shared" si="10"/>
        <v>0.88400562062499999</v>
      </c>
      <c r="T153" s="250">
        <f t="shared" si="11"/>
        <v>26.469449999999991</v>
      </c>
    </row>
    <row r="154" spans="13:20" x14ac:dyDescent="0.2">
      <c r="M154" s="251">
        <f>Tornado!BU152</f>
        <v>1.953125E-3</v>
      </c>
      <c r="N154" s="252">
        <f>Tornado!BV152</f>
        <v>0.564453125</v>
      </c>
      <c r="O154" s="250">
        <f>Tornado!BW152</f>
        <v>26.785762500000001</v>
      </c>
      <c r="P154" s="250">
        <f t="shared" si="8"/>
        <v>0.14932015875000001</v>
      </c>
      <c r="R154" s="235">
        <f t="shared" si="9"/>
        <v>2.5833937499997184E-4</v>
      </c>
      <c r="S154" s="251">
        <f t="shared" si="10"/>
        <v>0.88426395999999996</v>
      </c>
      <c r="T154" s="250">
        <f t="shared" si="11"/>
        <v>26.785762500000001</v>
      </c>
    </row>
    <row r="155" spans="13:20" x14ac:dyDescent="0.2">
      <c r="M155" s="251">
        <f>Tornado!BU153</f>
        <v>1.953125E-3</v>
      </c>
      <c r="N155" s="252">
        <f>Tornado!BV153</f>
        <v>0.56640625</v>
      </c>
      <c r="O155" s="250">
        <f>Tornado!BW153</f>
        <v>27.009642857142847</v>
      </c>
      <c r="P155" s="250">
        <f t="shared" si="8"/>
        <v>0.14983683750000001</v>
      </c>
      <c r="R155" s="235">
        <f t="shared" si="9"/>
        <v>5.166787500000547E-4</v>
      </c>
      <c r="S155" s="251">
        <f t="shared" si="10"/>
        <v>0.88478063875000001</v>
      </c>
      <c r="T155" s="250">
        <f t="shared" si="11"/>
        <v>26.785762500000001</v>
      </c>
    </row>
    <row r="156" spans="13:20" x14ac:dyDescent="0.2">
      <c r="M156" s="251">
        <f>Tornado!BU154</f>
        <v>3.90625E-3</v>
      </c>
      <c r="N156" s="252">
        <f>Tornado!BV154</f>
        <v>0.5703125</v>
      </c>
      <c r="O156" s="250">
        <f>Tornado!BW154</f>
        <v>27.010499999999997</v>
      </c>
      <c r="P156" s="250">
        <f t="shared" si="8"/>
        <v>0.15087019500000001</v>
      </c>
      <c r="R156" s="235">
        <f t="shared" si="9"/>
        <v>5.1667874999994368E-4</v>
      </c>
      <c r="S156" s="251">
        <f t="shared" si="10"/>
        <v>0.88529731749999996</v>
      </c>
      <c r="T156" s="250">
        <f t="shared" si="11"/>
        <v>27.009642857142847</v>
      </c>
    </row>
    <row r="157" spans="13:20" x14ac:dyDescent="0.2">
      <c r="M157" s="251">
        <f>Tornado!BU155</f>
        <v>3.125E-2</v>
      </c>
      <c r="N157" s="252">
        <f>Tornado!BV155</f>
        <v>0.6015625</v>
      </c>
      <c r="O157" s="250">
        <f>Tornado!BW155</f>
        <v>27.224749999999997</v>
      </c>
      <c r="P157" s="250">
        <f t="shared" si="8"/>
        <v>0.15913705500000003</v>
      </c>
      <c r="R157" s="235">
        <f t="shared" si="9"/>
        <v>1.0333574999999984E-3</v>
      </c>
      <c r="S157" s="251">
        <f t="shared" si="10"/>
        <v>0.88633067499999996</v>
      </c>
      <c r="T157" s="250">
        <f t="shared" si="11"/>
        <v>27.010499999999997</v>
      </c>
    </row>
    <row r="158" spans="13:20" x14ac:dyDescent="0.2">
      <c r="M158" s="251">
        <f>Tornado!BU156</f>
        <v>9.765625E-4</v>
      </c>
      <c r="N158" s="252">
        <f>Tornado!BV156</f>
        <v>0.6025390625</v>
      </c>
      <c r="O158" s="250">
        <f>Tornado!BW156</f>
        <v>27.240375</v>
      </c>
      <c r="P158" s="250">
        <f t="shared" si="8"/>
        <v>0.15939539437500003</v>
      </c>
      <c r="R158" s="235">
        <f t="shared" si="9"/>
        <v>8.266859999999987E-3</v>
      </c>
      <c r="S158" s="251">
        <f t="shared" si="10"/>
        <v>0.89459753499999994</v>
      </c>
      <c r="T158" s="250">
        <f t="shared" si="11"/>
        <v>27.224749999999997</v>
      </c>
    </row>
    <row r="159" spans="13:20" x14ac:dyDescent="0.2">
      <c r="M159" s="251">
        <f>Tornado!BU157</f>
        <v>3.90625E-3</v>
      </c>
      <c r="N159" s="252">
        <f>Tornado!BV157</f>
        <v>0.6064453125</v>
      </c>
      <c r="O159" s="250">
        <f>Tornado!BW157</f>
        <v>28.073892857142859</v>
      </c>
      <c r="P159" s="250">
        <f t="shared" si="8"/>
        <v>0.16042875187500003</v>
      </c>
      <c r="R159" s="235">
        <f t="shared" si="9"/>
        <v>2.5833937500008286E-4</v>
      </c>
      <c r="S159" s="251">
        <f t="shared" si="10"/>
        <v>0.89485587437500003</v>
      </c>
      <c r="T159" s="250">
        <f t="shared" si="11"/>
        <v>27.240375</v>
      </c>
    </row>
    <row r="160" spans="13:20" x14ac:dyDescent="0.2">
      <c r="M160" s="251">
        <f>Tornado!BU158</f>
        <v>7.8125E-3</v>
      </c>
      <c r="N160" s="252">
        <f>Tornado!BV158</f>
        <v>0.6142578125</v>
      </c>
      <c r="O160" s="250">
        <f>Tornado!BW158</f>
        <v>28.585987499999995</v>
      </c>
      <c r="P160" s="250">
        <f t="shared" si="8"/>
        <v>0.16249546687500002</v>
      </c>
      <c r="R160" s="235">
        <f t="shared" si="9"/>
        <v>1.0333574999999984E-3</v>
      </c>
      <c r="S160" s="251">
        <f t="shared" si="10"/>
        <v>0.89588923187500002</v>
      </c>
      <c r="T160" s="250">
        <f t="shared" si="11"/>
        <v>28.073892857142859</v>
      </c>
    </row>
    <row r="161" spans="13:20" x14ac:dyDescent="0.2">
      <c r="M161" s="251">
        <f>Tornado!BU159</f>
        <v>9.765625E-4</v>
      </c>
      <c r="N161" s="252">
        <f>Tornado!BV159</f>
        <v>0.615234375</v>
      </c>
      <c r="O161" s="250">
        <f>Tornado!BW159</f>
        <v>28.993499999999997</v>
      </c>
      <c r="P161" s="250">
        <f t="shared" si="8"/>
        <v>0.16275380625000002</v>
      </c>
      <c r="R161" s="235">
        <f t="shared" si="9"/>
        <v>2.0667149999999967E-3</v>
      </c>
      <c r="S161" s="251">
        <f t="shared" si="10"/>
        <v>0.89795594687500002</v>
      </c>
      <c r="T161" s="250">
        <f t="shared" si="11"/>
        <v>28.585987499999995</v>
      </c>
    </row>
    <row r="162" spans="13:20" x14ac:dyDescent="0.2">
      <c r="M162" s="251">
        <f>Tornado!BU160</f>
        <v>7.8125E-3</v>
      </c>
      <c r="N162" s="252">
        <f>Tornado!BV160</f>
        <v>0.623046875</v>
      </c>
      <c r="O162" s="250">
        <f>Tornado!BW160</f>
        <v>29.169374999999995</v>
      </c>
      <c r="P162" s="250">
        <f t="shared" si="8"/>
        <v>0.16482052125000002</v>
      </c>
      <c r="R162" s="235">
        <f t="shared" si="9"/>
        <v>2.5833937499997184E-4</v>
      </c>
      <c r="S162" s="251">
        <f t="shared" si="10"/>
        <v>0.89821428624999999</v>
      </c>
      <c r="T162" s="250">
        <f t="shared" si="11"/>
        <v>28.993499999999997</v>
      </c>
    </row>
    <row r="163" spans="13:20" x14ac:dyDescent="0.2">
      <c r="M163" s="251">
        <f>Tornado!BU161</f>
        <v>1.953125E-3</v>
      </c>
      <c r="N163" s="252">
        <f>Tornado!BV161</f>
        <v>0.625</v>
      </c>
      <c r="O163" s="250">
        <f>Tornado!BW161</f>
        <v>29.410499999999995</v>
      </c>
      <c r="P163" s="250">
        <f t="shared" si="8"/>
        <v>0.16533720000000002</v>
      </c>
      <c r="R163" s="235">
        <f t="shared" si="9"/>
        <v>2.0667149999999967E-3</v>
      </c>
      <c r="S163" s="251">
        <f t="shared" si="10"/>
        <v>0.90028100124999999</v>
      </c>
      <c r="T163" s="250">
        <f t="shared" si="11"/>
        <v>29.169374999999995</v>
      </c>
    </row>
    <row r="164" spans="13:20" x14ac:dyDescent="0.2">
      <c r="M164" s="251">
        <f>Tornado!BU162</f>
        <v>7.8125E-3</v>
      </c>
      <c r="N164" s="252">
        <f>Tornado!BV162</f>
        <v>0.6328125</v>
      </c>
      <c r="O164" s="250">
        <f>Tornado!BW162</f>
        <v>29.490749999999998</v>
      </c>
      <c r="P164" s="250">
        <f t="shared" si="8"/>
        <v>0.16740391500000001</v>
      </c>
      <c r="R164" s="235">
        <f t="shared" si="9"/>
        <v>5.1667874999994368E-4</v>
      </c>
      <c r="S164" s="251">
        <f t="shared" si="10"/>
        <v>0.90079767999999993</v>
      </c>
      <c r="T164" s="250">
        <f t="shared" si="11"/>
        <v>29.410499999999995</v>
      </c>
    </row>
    <row r="165" spans="13:20" x14ac:dyDescent="0.2">
      <c r="M165" s="251">
        <f>Tornado!BU163</f>
        <v>3.90625E-3</v>
      </c>
      <c r="N165" s="252">
        <f>Tornado!BV163</f>
        <v>0.63671875</v>
      </c>
      <c r="O165" s="250">
        <f>Tornado!BW163</f>
        <v>30.002785714285718</v>
      </c>
      <c r="P165" s="250">
        <f t="shared" si="8"/>
        <v>0.16843727250000001</v>
      </c>
      <c r="R165" s="235">
        <f t="shared" si="9"/>
        <v>2.0667149999999967E-3</v>
      </c>
      <c r="S165" s="251">
        <f t="shared" si="10"/>
        <v>0.90286439499999993</v>
      </c>
      <c r="T165" s="250">
        <f t="shared" si="11"/>
        <v>29.490749999999998</v>
      </c>
    </row>
    <row r="166" spans="13:20" x14ac:dyDescent="0.2">
      <c r="M166" s="251">
        <f>Tornado!BU164</f>
        <v>7.8125E-3</v>
      </c>
      <c r="N166" s="252">
        <f>Tornado!BV164</f>
        <v>0.64453125</v>
      </c>
      <c r="O166" s="250">
        <f>Tornado!BW164</f>
        <v>30.56935</v>
      </c>
      <c r="P166" s="250">
        <f t="shared" si="8"/>
        <v>0.17050398750000001</v>
      </c>
      <c r="R166" s="235">
        <f t="shared" si="9"/>
        <v>1.0333575000001094E-3</v>
      </c>
      <c r="S166" s="251">
        <f t="shared" si="10"/>
        <v>0.90389775250000004</v>
      </c>
      <c r="T166" s="250">
        <f t="shared" si="11"/>
        <v>30.002785714285718</v>
      </c>
    </row>
    <row r="167" spans="13:20" x14ac:dyDescent="0.2">
      <c r="M167" s="251">
        <f>Tornado!BU165</f>
        <v>3.90625E-3</v>
      </c>
      <c r="N167" s="252">
        <f>Tornado!BV165</f>
        <v>0.6484375</v>
      </c>
      <c r="O167" s="250">
        <f>Tornado!BW165</f>
        <v>30.56935</v>
      </c>
      <c r="P167" s="250">
        <f t="shared" si="8"/>
        <v>0.17153734500000001</v>
      </c>
      <c r="R167" s="235">
        <f t="shared" si="9"/>
        <v>2.0667149999999967E-3</v>
      </c>
      <c r="S167" s="251">
        <f t="shared" si="10"/>
        <v>0.90596446750000004</v>
      </c>
      <c r="T167" s="250">
        <f t="shared" si="11"/>
        <v>30.56935</v>
      </c>
    </row>
    <row r="168" spans="13:20" x14ac:dyDescent="0.2">
      <c r="M168" s="251">
        <f>Tornado!BU166</f>
        <v>1.5625E-2</v>
      </c>
      <c r="N168" s="252">
        <f>Tornado!BV166</f>
        <v>0.6640625</v>
      </c>
      <c r="O168" s="250">
        <f>Tornado!BW166</f>
        <v>31.512249999999995</v>
      </c>
      <c r="P168" s="250">
        <f t="shared" si="8"/>
        <v>0.17567077500000003</v>
      </c>
      <c r="R168" s="235">
        <f t="shared" si="9"/>
        <v>1.0333574999998874E-3</v>
      </c>
      <c r="S168" s="251">
        <f t="shared" si="10"/>
        <v>0.90699782499999992</v>
      </c>
      <c r="T168" s="250">
        <f t="shared" si="11"/>
        <v>30.56935</v>
      </c>
    </row>
    <row r="169" spans="13:20" x14ac:dyDescent="0.2">
      <c r="M169" s="251">
        <f>Tornado!BU167</f>
        <v>3.90625E-3</v>
      </c>
      <c r="N169" s="252">
        <f>Tornado!BV167</f>
        <v>0.66796875</v>
      </c>
      <c r="O169" s="250">
        <f>Tornado!BW167</f>
        <v>31.780437500000001</v>
      </c>
      <c r="P169" s="250">
        <f t="shared" si="8"/>
        <v>0.17670413250000003</v>
      </c>
      <c r="R169" s="235">
        <f t="shared" si="9"/>
        <v>4.1334300000001045E-3</v>
      </c>
      <c r="S169" s="251">
        <f t="shared" si="10"/>
        <v>0.91113125500000003</v>
      </c>
      <c r="T169" s="250">
        <f t="shared" si="11"/>
        <v>31.512249999999995</v>
      </c>
    </row>
    <row r="170" spans="13:20" x14ac:dyDescent="0.2">
      <c r="M170" s="251">
        <f>Tornado!BU168</f>
        <v>7.8125E-3</v>
      </c>
      <c r="N170" s="252">
        <f>Tornado!BV168</f>
        <v>0.67578125</v>
      </c>
      <c r="O170" s="250">
        <f>Tornado!BW168</f>
        <v>32.11215</v>
      </c>
      <c r="P170" s="250">
        <f t="shared" si="8"/>
        <v>0.17877084750000002</v>
      </c>
      <c r="R170" s="235">
        <f t="shared" si="9"/>
        <v>1.0333574999999984E-3</v>
      </c>
      <c r="S170" s="251">
        <f t="shared" si="10"/>
        <v>0.91216461250000003</v>
      </c>
      <c r="T170" s="250">
        <f t="shared" si="11"/>
        <v>31.780437500000001</v>
      </c>
    </row>
    <row r="171" spans="13:20" x14ac:dyDescent="0.2">
      <c r="M171" s="251">
        <f>Tornado!BU169</f>
        <v>9.765625E-4</v>
      </c>
      <c r="N171" s="252">
        <f>Tornado!BV169</f>
        <v>0.6767578125</v>
      </c>
      <c r="O171" s="250">
        <f>Tornado!BW169</f>
        <v>32.688449999999996</v>
      </c>
      <c r="P171" s="250">
        <f t="shared" si="8"/>
        <v>0.17902918687500002</v>
      </c>
      <c r="R171" s="235">
        <f t="shared" si="9"/>
        <v>2.0667149999999967E-3</v>
      </c>
      <c r="S171" s="251">
        <f t="shared" si="10"/>
        <v>0.91423132750000002</v>
      </c>
      <c r="T171" s="250">
        <f t="shared" si="11"/>
        <v>32.11215</v>
      </c>
    </row>
    <row r="172" spans="13:20" x14ac:dyDescent="0.2">
      <c r="M172" s="251">
        <f>Tornado!BU170</f>
        <v>1.953125E-3</v>
      </c>
      <c r="N172" s="252">
        <f>Tornado!BV170</f>
        <v>0.6787109375</v>
      </c>
      <c r="O172" s="250">
        <f>Tornado!BW170</f>
        <v>32.688449999999996</v>
      </c>
      <c r="P172" s="250">
        <f t="shared" si="8"/>
        <v>0.17954586562500002</v>
      </c>
      <c r="R172" s="235">
        <f t="shared" si="9"/>
        <v>2.5833937499997184E-4</v>
      </c>
      <c r="S172" s="251">
        <f t="shared" si="10"/>
        <v>0.914489666875</v>
      </c>
      <c r="T172" s="250">
        <f t="shared" si="11"/>
        <v>32.688449999999996</v>
      </c>
    </row>
    <row r="173" spans="13:20" x14ac:dyDescent="0.2">
      <c r="M173" s="251">
        <f>Tornado!BU171</f>
        <v>1.953125E-3</v>
      </c>
      <c r="N173" s="252">
        <f>Tornado!BV171</f>
        <v>0.6806640625</v>
      </c>
      <c r="O173" s="250">
        <f>Tornado!BW171</f>
        <v>32.752875000000003</v>
      </c>
      <c r="P173" s="250">
        <f t="shared" si="8"/>
        <v>0.18006254437500002</v>
      </c>
      <c r="R173" s="235">
        <f t="shared" si="9"/>
        <v>5.1667874999994368E-4</v>
      </c>
      <c r="S173" s="251">
        <f t="shared" si="10"/>
        <v>0.91500634562499994</v>
      </c>
      <c r="T173" s="250">
        <f t="shared" si="11"/>
        <v>32.688449999999996</v>
      </c>
    </row>
    <row r="174" spans="13:20" x14ac:dyDescent="0.2">
      <c r="M174" s="251">
        <f>Tornado!BU172</f>
        <v>7.8125E-3</v>
      </c>
      <c r="N174" s="252">
        <f>Tornado!BV172</f>
        <v>0.6884765625</v>
      </c>
      <c r="O174" s="250">
        <f>Tornado!BW172</f>
        <v>32.767499999999998</v>
      </c>
      <c r="P174" s="250">
        <f t="shared" si="8"/>
        <v>0.18212925937500002</v>
      </c>
      <c r="R174" s="235">
        <f t="shared" si="9"/>
        <v>5.166787500000547E-4</v>
      </c>
      <c r="S174" s="251">
        <f t="shared" si="10"/>
        <v>0.91552302437499999</v>
      </c>
      <c r="T174" s="250">
        <f t="shared" si="11"/>
        <v>32.752875000000003</v>
      </c>
    </row>
    <row r="175" spans="13:20" x14ac:dyDescent="0.2">
      <c r="M175" s="251">
        <f>Tornado!BU173</f>
        <v>1.953125E-3</v>
      </c>
      <c r="N175" s="252">
        <f>Tornado!BV173</f>
        <v>0.6904296875</v>
      </c>
      <c r="O175" s="250">
        <f>Tornado!BW173</f>
        <v>32.798892857142853</v>
      </c>
      <c r="P175" s="250">
        <f t="shared" si="8"/>
        <v>0.18264593812500002</v>
      </c>
      <c r="R175" s="235">
        <f t="shared" si="9"/>
        <v>2.0667149999999967E-3</v>
      </c>
      <c r="S175" s="251">
        <f t="shared" si="10"/>
        <v>0.91758973937499999</v>
      </c>
      <c r="T175" s="250">
        <f t="shared" si="11"/>
        <v>32.767499999999998</v>
      </c>
    </row>
    <row r="176" spans="13:20" x14ac:dyDescent="0.2">
      <c r="M176" s="251">
        <f>Tornado!BU174</f>
        <v>3.90625E-3</v>
      </c>
      <c r="N176" s="252">
        <f>Tornado!BV174</f>
        <v>0.6943359375</v>
      </c>
      <c r="O176" s="250">
        <f>Tornado!BW174</f>
        <v>33.0878625</v>
      </c>
      <c r="P176" s="250">
        <f t="shared" si="8"/>
        <v>0.18367929562500002</v>
      </c>
      <c r="R176" s="235">
        <f t="shared" si="9"/>
        <v>5.166787500000547E-4</v>
      </c>
      <c r="S176" s="251">
        <f t="shared" si="10"/>
        <v>0.91810641812500005</v>
      </c>
      <c r="T176" s="250">
        <f t="shared" si="11"/>
        <v>32.798892857142853</v>
      </c>
    </row>
    <row r="177" spans="13:20" x14ac:dyDescent="0.2">
      <c r="M177" s="251">
        <f>Tornado!BU175</f>
        <v>1.953125E-3</v>
      </c>
      <c r="N177" s="252">
        <f>Tornado!BV175</f>
        <v>0.6962890625</v>
      </c>
      <c r="O177" s="250">
        <f>Tornado!BW175</f>
        <v>33.403499999999994</v>
      </c>
      <c r="P177" s="250">
        <f t="shared" si="8"/>
        <v>0.18419597437500002</v>
      </c>
      <c r="R177" s="235">
        <f t="shared" si="9"/>
        <v>1.0333574999998874E-3</v>
      </c>
      <c r="S177" s="251">
        <f t="shared" si="10"/>
        <v>0.91913977562499993</v>
      </c>
      <c r="T177" s="250">
        <f t="shared" si="11"/>
        <v>33.0878625</v>
      </c>
    </row>
    <row r="178" spans="13:20" x14ac:dyDescent="0.2">
      <c r="M178" s="251">
        <f>Tornado!BU176</f>
        <v>3.90625E-3</v>
      </c>
      <c r="N178" s="252">
        <f>Tornado!BV176</f>
        <v>0.7001953125</v>
      </c>
      <c r="O178" s="250">
        <f>Tornado!BW176</f>
        <v>33.763124999999995</v>
      </c>
      <c r="P178" s="250">
        <f t="shared" si="8"/>
        <v>0.18522933187500001</v>
      </c>
      <c r="R178" s="235">
        <f t="shared" si="9"/>
        <v>5.166787500000547E-4</v>
      </c>
      <c r="S178" s="251">
        <f t="shared" si="10"/>
        <v>0.91965645437499999</v>
      </c>
      <c r="T178" s="250">
        <f t="shared" si="11"/>
        <v>33.403499999999994</v>
      </c>
    </row>
    <row r="179" spans="13:20" x14ac:dyDescent="0.2">
      <c r="M179" s="251">
        <f>Tornado!BU177</f>
        <v>1.953125E-3</v>
      </c>
      <c r="N179" s="252">
        <f>Tornado!BV177</f>
        <v>0.7021484375</v>
      </c>
      <c r="O179" s="250">
        <f>Tornado!BW177</f>
        <v>34.405875000000002</v>
      </c>
      <c r="P179" s="250">
        <f t="shared" si="8"/>
        <v>0.18574601062500001</v>
      </c>
      <c r="R179" s="235">
        <f t="shared" si="9"/>
        <v>1.0333574999999984E-3</v>
      </c>
      <c r="S179" s="251">
        <f t="shared" si="10"/>
        <v>0.92068981187499999</v>
      </c>
      <c r="T179" s="250">
        <f t="shared" si="11"/>
        <v>33.763124999999995</v>
      </c>
    </row>
    <row r="180" spans="13:20" x14ac:dyDescent="0.2">
      <c r="M180" s="251">
        <f>Tornado!BU178</f>
        <v>1.953125E-3</v>
      </c>
      <c r="N180" s="252">
        <f>Tornado!BV178</f>
        <v>0.7041015625</v>
      </c>
      <c r="O180" s="250">
        <f>Tornado!BW178</f>
        <v>34.727785714285716</v>
      </c>
      <c r="P180" s="250">
        <f t="shared" si="8"/>
        <v>0.18626268937500001</v>
      </c>
      <c r="R180" s="235">
        <f t="shared" si="9"/>
        <v>5.1667874999994368E-4</v>
      </c>
      <c r="S180" s="251">
        <f t="shared" si="10"/>
        <v>0.92120649062499993</v>
      </c>
      <c r="T180" s="250">
        <f t="shared" si="11"/>
        <v>34.405875000000002</v>
      </c>
    </row>
    <row r="181" spans="13:20" x14ac:dyDescent="0.2">
      <c r="M181" s="251">
        <f>Tornado!BU179</f>
        <v>1.5625E-2</v>
      </c>
      <c r="N181" s="252">
        <f>Tornado!BV179</f>
        <v>0.7197265625</v>
      </c>
      <c r="O181" s="250">
        <f>Tornado!BW179</f>
        <v>35.003249999999994</v>
      </c>
      <c r="P181" s="250">
        <f t="shared" si="8"/>
        <v>0.19039611937500003</v>
      </c>
      <c r="R181" s="235">
        <f t="shared" si="9"/>
        <v>5.166787500000547E-4</v>
      </c>
      <c r="S181" s="251">
        <f t="shared" si="10"/>
        <v>0.92172316937499998</v>
      </c>
      <c r="T181" s="250">
        <f t="shared" si="11"/>
        <v>34.727785714285716</v>
      </c>
    </row>
    <row r="182" spans="13:20" x14ac:dyDescent="0.2">
      <c r="M182" s="251">
        <f>Tornado!BU180</f>
        <v>3.90625E-3</v>
      </c>
      <c r="N182" s="252">
        <f>Tornado!BV180</f>
        <v>0.7236328125</v>
      </c>
      <c r="O182" s="250">
        <f>Tornado!BW180</f>
        <v>35.714349999999996</v>
      </c>
      <c r="P182" s="250">
        <f t="shared" si="8"/>
        <v>0.19142947687500003</v>
      </c>
      <c r="R182" s="235">
        <f t="shared" si="9"/>
        <v>4.1334299999999935E-3</v>
      </c>
      <c r="S182" s="251">
        <f t="shared" si="10"/>
        <v>0.92585659937499998</v>
      </c>
      <c r="T182" s="250">
        <f t="shared" si="11"/>
        <v>35.003249999999994</v>
      </c>
    </row>
    <row r="183" spans="13:20" x14ac:dyDescent="0.2">
      <c r="M183" s="251">
        <f>Tornado!BU181</f>
        <v>1.953125E-3</v>
      </c>
      <c r="N183" s="252">
        <f>Tornado!BV181</f>
        <v>0.7255859375</v>
      </c>
      <c r="O183" s="250">
        <f>Tornado!BW181</f>
        <v>35.714349999999996</v>
      </c>
      <c r="P183" s="250">
        <f t="shared" si="8"/>
        <v>0.19194615562500003</v>
      </c>
      <c r="R183" s="235">
        <f t="shared" si="9"/>
        <v>1.0333574999999984E-3</v>
      </c>
      <c r="S183" s="251">
        <f t="shared" si="10"/>
        <v>0.92688995687499998</v>
      </c>
      <c r="T183" s="250">
        <f t="shared" si="11"/>
        <v>35.714349999999996</v>
      </c>
    </row>
    <row r="184" spans="13:20" x14ac:dyDescent="0.2">
      <c r="M184" s="251">
        <f>Tornado!BU182</f>
        <v>1.953125E-3</v>
      </c>
      <c r="N184" s="252">
        <f>Tornado!BV182</f>
        <v>0.7275390625</v>
      </c>
      <c r="O184" s="250">
        <f>Tornado!BW182</f>
        <v>36.320500000000003</v>
      </c>
      <c r="P184" s="250">
        <f t="shared" si="8"/>
        <v>0.19246283437500003</v>
      </c>
      <c r="R184" s="235">
        <f t="shared" si="9"/>
        <v>5.166787500000547E-4</v>
      </c>
      <c r="S184" s="251">
        <f t="shared" si="10"/>
        <v>0.92740663562500003</v>
      </c>
      <c r="T184" s="250">
        <f t="shared" si="11"/>
        <v>35.714349999999996</v>
      </c>
    </row>
    <row r="185" spans="13:20" x14ac:dyDescent="0.2">
      <c r="M185" s="251">
        <f>Tornado!BU183</f>
        <v>9.765625E-4</v>
      </c>
      <c r="N185" s="252">
        <f>Tornado!BV183</f>
        <v>0.728515625</v>
      </c>
      <c r="O185" s="250">
        <f>Tornado!BW183</f>
        <v>37.813499999999998</v>
      </c>
      <c r="P185" s="250">
        <f t="shared" si="8"/>
        <v>0.19272117375000003</v>
      </c>
      <c r="R185" s="235">
        <f t="shared" si="9"/>
        <v>5.1667874999994368E-4</v>
      </c>
      <c r="S185" s="251">
        <f t="shared" si="10"/>
        <v>0.92792331437499997</v>
      </c>
      <c r="T185" s="250">
        <f t="shared" si="11"/>
        <v>36.320500000000003</v>
      </c>
    </row>
    <row r="186" spans="13:20" x14ac:dyDescent="0.2">
      <c r="M186" s="251">
        <f>Tornado!BU184</f>
        <v>1.5625E-2</v>
      </c>
      <c r="N186" s="252">
        <f>Tornado!BV184</f>
        <v>0.744140625</v>
      </c>
      <c r="O186" s="250">
        <f>Tornado!BW184</f>
        <v>38.114649999999997</v>
      </c>
      <c r="P186" s="250">
        <f t="shared" si="8"/>
        <v>0.19685460375000002</v>
      </c>
      <c r="R186" s="235">
        <f t="shared" si="9"/>
        <v>2.5833937500008286E-4</v>
      </c>
      <c r="S186" s="251">
        <f t="shared" si="10"/>
        <v>0.92818165375000006</v>
      </c>
      <c r="T186" s="250">
        <f t="shared" si="11"/>
        <v>37.813499999999998</v>
      </c>
    </row>
    <row r="187" spans="13:20" x14ac:dyDescent="0.2">
      <c r="M187" s="251">
        <f>Tornado!BU185</f>
        <v>7.8125E-3</v>
      </c>
      <c r="N187" s="252">
        <f>Tornado!BV185</f>
        <v>0.751953125</v>
      </c>
      <c r="O187" s="250">
        <f>Tornado!BW185</f>
        <v>38.211687499999996</v>
      </c>
      <c r="P187" s="250">
        <f t="shared" si="8"/>
        <v>0.19892131875000002</v>
      </c>
      <c r="R187" s="235">
        <f t="shared" si="9"/>
        <v>4.1334299999999935E-3</v>
      </c>
      <c r="S187" s="251">
        <f t="shared" si="10"/>
        <v>0.93231508375000005</v>
      </c>
      <c r="T187" s="250">
        <f t="shared" si="11"/>
        <v>38.114649999999997</v>
      </c>
    </row>
    <row r="188" spans="13:20" x14ac:dyDescent="0.2">
      <c r="M188" s="251">
        <f>Tornado!BU186</f>
        <v>9.765625E-4</v>
      </c>
      <c r="N188" s="252">
        <f>Tornado!BV186</f>
        <v>0.7529296875</v>
      </c>
      <c r="O188" s="250">
        <f>Tornado!BW186</f>
        <v>38.265374999999999</v>
      </c>
      <c r="P188" s="250">
        <f t="shared" si="8"/>
        <v>0.19917965812500002</v>
      </c>
      <c r="R188" s="235">
        <f t="shared" si="9"/>
        <v>2.0667149999999967E-3</v>
      </c>
      <c r="S188" s="251">
        <f t="shared" si="10"/>
        <v>0.93438179875000005</v>
      </c>
      <c r="T188" s="250">
        <f t="shared" si="11"/>
        <v>38.211687499999996</v>
      </c>
    </row>
    <row r="189" spans="13:20" x14ac:dyDescent="0.2">
      <c r="M189" s="251">
        <f>Tornado!BU187</f>
        <v>1.5625E-2</v>
      </c>
      <c r="N189" s="252">
        <f>Tornado!BV187</f>
        <v>0.7685546875</v>
      </c>
      <c r="O189" s="250">
        <f>Tornado!BW187</f>
        <v>38.892499999999998</v>
      </c>
      <c r="P189" s="250">
        <f t="shared" si="8"/>
        <v>0.20331308812500001</v>
      </c>
      <c r="R189" s="235">
        <f t="shared" si="9"/>
        <v>2.5833937499997184E-4</v>
      </c>
      <c r="S189" s="251">
        <f t="shared" si="10"/>
        <v>0.93464013812500002</v>
      </c>
      <c r="T189" s="250">
        <f t="shared" si="11"/>
        <v>38.265374999999999</v>
      </c>
    </row>
    <row r="190" spans="13:20" x14ac:dyDescent="0.2">
      <c r="M190" s="251">
        <f>Tornado!BU188</f>
        <v>3.90625E-3</v>
      </c>
      <c r="N190" s="252">
        <f>Tornado!BV188</f>
        <v>0.7724609375</v>
      </c>
      <c r="O190" s="250">
        <f>Tornado!BW188</f>
        <v>39.303449999999998</v>
      </c>
      <c r="P190" s="250">
        <f t="shared" si="8"/>
        <v>0.20434644562500001</v>
      </c>
      <c r="R190" s="235">
        <f t="shared" si="9"/>
        <v>4.1334299999999935E-3</v>
      </c>
      <c r="S190" s="251">
        <f t="shared" si="10"/>
        <v>0.93877356812500001</v>
      </c>
      <c r="T190" s="250">
        <f t="shared" si="11"/>
        <v>38.892499999999998</v>
      </c>
    </row>
    <row r="191" spans="13:20" x14ac:dyDescent="0.2">
      <c r="M191" s="251">
        <f>Tornado!BU189</f>
        <v>1.953125E-3</v>
      </c>
      <c r="N191" s="252">
        <f>Tornado!BV189</f>
        <v>0.7744140625</v>
      </c>
      <c r="O191" s="250">
        <f>Tornado!BW189</f>
        <v>39.303449999999998</v>
      </c>
      <c r="P191" s="250">
        <f t="shared" si="8"/>
        <v>0.20486312437500001</v>
      </c>
      <c r="R191" s="235">
        <f t="shared" si="9"/>
        <v>1.0333574999999984E-3</v>
      </c>
      <c r="S191" s="251">
        <f t="shared" si="10"/>
        <v>0.93980692562500001</v>
      </c>
      <c r="T191" s="250">
        <f t="shared" si="11"/>
        <v>39.303449999999998</v>
      </c>
    </row>
    <row r="192" spans="13:20" x14ac:dyDescent="0.2">
      <c r="M192" s="251">
        <f>Tornado!BU190</f>
        <v>7.8125E-3</v>
      </c>
      <c r="N192" s="252">
        <f>Tornado!BV190</f>
        <v>0.7822265625</v>
      </c>
      <c r="O192" s="250">
        <f>Tornado!BW190</f>
        <v>40.515749999999997</v>
      </c>
      <c r="P192" s="250">
        <f t="shared" si="8"/>
        <v>0.20692983937500004</v>
      </c>
      <c r="R192" s="235">
        <f t="shared" si="9"/>
        <v>5.1667874999994368E-4</v>
      </c>
      <c r="S192" s="251">
        <f t="shared" si="10"/>
        <v>0.94032360437499996</v>
      </c>
      <c r="T192" s="250">
        <f t="shared" si="11"/>
        <v>39.303449999999998</v>
      </c>
    </row>
    <row r="193" spans="13:20" x14ac:dyDescent="0.2">
      <c r="M193" s="251">
        <f>Tornado!BU191</f>
        <v>3.90625E-3</v>
      </c>
      <c r="N193" s="252">
        <f>Tornado!BV191</f>
        <v>0.7861328125</v>
      </c>
      <c r="O193" s="250">
        <f>Tornado!BW191</f>
        <v>40.837125</v>
      </c>
      <c r="P193" s="250">
        <f t="shared" si="8"/>
        <v>0.20796319687500003</v>
      </c>
      <c r="R193" s="235">
        <f t="shared" si="9"/>
        <v>2.0667150000001078E-3</v>
      </c>
      <c r="S193" s="251">
        <f t="shared" si="10"/>
        <v>0.94239031937500006</v>
      </c>
      <c r="T193" s="250">
        <f t="shared" si="11"/>
        <v>40.515749999999997</v>
      </c>
    </row>
    <row r="194" spans="13:20" x14ac:dyDescent="0.2">
      <c r="M194" s="251">
        <f>Tornado!BU192</f>
        <v>3.90625E-3</v>
      </c>
      <c r="N194" s="252">
        <f>Tornado!BV192</f>
        <v>0.7900390625</v>
      </c>
      <c r="O194" s="250">
        <f>Tornado!BW192</f>
        <v>41.287049999999994</v>
      </c>
      <c r="P194" s="250">
        <f t="shared" si="8"/>
        <v>0.20899655437500003</v>
      </c>
      <c r="R194" s="235">
        <f t="shared" si="9"/>
        <v>1.0333574999998874E-3</v>
      </c>
      <c r="S194" s="251">
        <f t="shared" si="10"/>
        <v>0.94342367687499995</v>
      </c>
      <c r="T194" s="250">
        <f t="shared" si="11"/>
        <v>40.837125</v>
      </c>
    </row>
    <row r="195" spans="13:20" x14ac:dyDescent="0.2">
      <c r="M195" s="251">
        <f>Tornado!BU193</f>
        <v>3.90625E-3</v>
      </c>
      <c r="N195" s="252">
        <f>Tornado!BV193</f>
        <v>0.7939453125</v>
      </c>
      <c r="O195" s="250">
        <f>Tornado!BW193</f>
        <v>42.129642857142862</v>
      </c>
      <c r="P195" s="250">
        <f t="shared" si="8"/>
        <v>0.21002991187500003</v>
      </c>
      <c r="R195" s="235">
        <f t="shared" si="9"/>
        <v>1.0333575000001094E-3</v>
      </c>
      <c r="S195" s="251">
        <f t="shared" si="10"/>
        <v>0.94445703437500006</v>
      </c>
      <c r="T195" s="250">
        <f t="shared" si="11"/>
        <v>41.287049999999994</v>
      </c>
    </row>
    <row r="196" spans="13:20" x14ac:dyDescent="0.2">
      <c r="M196" s="251">
        <f>Tornado!BU194</f>
        <v>7.8125E-3</v>
      </c>
      <c r="N196" s="252">
        <f>Tornado!BV194</f>
        <v>0.8017578125</v>
      </c>
      <c r="O196" s="250">
        <f>Tornado!BW194</f>
        <v>42.373916666666666</v>
      </c>
      <c r="P196" s="250">
        <f t="shared" si="8"/>
        <v>0.21209662687500003</v>
      </c>
      <c r="R196" s="235">
        <f t="shared" si="9"/>
        <v>1.0333574999998874E-3</v>
      </c>
      <c r="S196" s="251">
        <f t="shared" si="10"/>
        <v>0.94549039187499995</v>
      </c>
      <c r="T196" s="250">
        <f t="shared" si="11"/>
        <v>42.129642857142862</v>
      </c>
    </row>
    <row r="197" spans="13:20" x14ac:dyDescent="0.2">
      <c r="M197" s="251">
        <f>Tornado!BU195</f>
        <v>3.90625E-3</v>
      </c>
      <c r="N197" s="252">
        <f>Tornado!BV195</f>
        <v>0.8056640625</v>
      </c>
      <c r="O197" s="250">
        <f>Tornado!BW195</f>
        <v>43.670499999999997</v>
      </c>
      <c r="P197" s="250">
        <f t="shared" si="8"/>
        <v>0.21312998437500003</v>
      </c>
      <c r="R197" s="235">
        <f t="shared" si="9"/>
        <v>2.0667149999999967E-3</v>
      </c>
      <c r="S197" s="251">
        <f t="shared" si="10"/>
        <v>0.94755710687499994</v>
      </c>
      <c r="T197" s="250">
        <f t="shared" si="11"/>
        <v>42.373916666666666</v>
      </c>
    </row>
    <row r="198" spans="13:20" x14ac:dyDescent="0.2">
      <c r="M198" s="251">
        <f>Tornado!BU196</f>
        <v>7.8125E-3</v>
      </c>
      <c r="N198" s="252">
        <f>Tornado!BV196</f>
        <v>0.8134765625</v>
      </c>
      <c r="O198" s="250">
        <f>Tornado!BW196</f>
        <v>44.117149999999995</v>
      </c>
      <c r="P198" s="250">
        <f t="shared" si="8"/>
        <v>0.21519669937500002</v>
      </c>
      <c r="R198" s="235">
        <f t="shared" si="9"/>
        <v>1.0333575000001094E-3</v>
      </c>
      <c r="S198" s="251">
        <f t="shared" si="10"/>
        <v>0.94859046437500005</v>
      </c>
      <c r="T198" s="250">
        <f t="shared" si="11"/>
        <v>43.670499999999997</v>
      </c>
    </row>
    <row r="199" spans="13:20" x14ac:dyDescent="0.2">
      <c r="M199" s="251">
        <f>Tornado!BU197</f>
        <v>1.953125E-3</v>
      </c>
      <c r="N199" s="252">
        <f>Tornado!BV197</f>
        <v>0.8154296875</v>
      </c>
      <c r="O199" s="250">
        <f>Tornado!BW197</f>
        <v>44.4926125</v>
      </c>
      <c r="P199" s="250">
        <f t="shared" ref="P199:P249" si="12">pCrossChasm_total * N199</f>
        <v>0.21571337812500002</v>
      </c>
      <c r="R199" s="235">
        <f t="shared" si="9"/>
        <v>2.0667149999999967E-3</v>
      </c>
      <c r="S199" s="251">
        <f t="shared" si="10"/>
        <v>0.95065717937500005</v>
      </c>
      <c r="T199" s="250">
        <f t="shared" si="11"/>
        <v>44.117149999999995</v>
      </c>
    </row>
    <row r="200" spans="13:20" x14ac:dyDescent="0.2">
      <c r="M200" s="251">
        <f>Tornado!BU198</f>
        <v>3.90625E-3</v>
      </c>
      <c r="N200" s="252">
        <f>Tornado!BV198</f>
        <v>0.8193359375</v>
      </c>
      <c r="O200" s="250">
        <f>Tornado!BW198</f>
        <v>44.642937500000002</v>
      </c>
      <c r="P200" s="250">
        <f t="shared" si="12"/>
        <v>0.21674673562500002</v>
      </c>
      <c r="R200" s="235">
        <f t="shared" ref="R200:R250" si="13">S200-S199</f>
        <v>5.1667874999994368E-4</v>
      </c>
      <c r="S200" s="251">
        <f t="shared" si="10"/>
        <v>0.95117385812499999</v>
      </c>
      <c r="T200" s="250">
        <f t="shared" si="11"/>
        <v>44.4926125</v>
      </c>
    </row>
    <row r="201" spans="13:20" x14ac:dyDescent="0.2">
      <c r="M201" s="251">
        <f>Tornado!BU199</f>
        <v>7.8125E-3</v>
      </c>
      <c r="N201" s="252">
        <f>Tornado!BV199</f>
        <v>0.8271484375</v>
      </c>
      <c r="O201" s="250">
        <f>Tornado!BW199</f>
        <v>45.017499999999991</v>
      </c>
      <c r="P201" s="250">
        <f t="shared" si="12"/>
        <v>0.21881345062500002</v>
      </c>
      <c r="R201" s="235">
        <f t="shared" si="13"/>
        <v>1.0333574999999984E-3</v>
      </c>
      <c r="S201" s="251">
        <f t="shared" ref="S201:S250" si="14">P200+$S$7</f>
        <v>0.95220721562499999</v>
      </c>
      <c r="T201" s="250">
        <f t="shared" ref="T201:T250" si="15">O200</f>
        <v>44.642937500000002</v>
      </c>
    </row>
    <row r="202" spans="13:20" x14ac:dyDescent="0.2">
      <c r="M202" s="251">
        <f>Tornado!BU200</f>
        <v>1.953125E-3</v>
      </c>
      <c r="N202" s="252">
        <f>Tornado!BV200</f>
        <v>0.8291015625</v>
      </c>
      <c r="O202" s="250">
        <f>Tornado!BW200</f>
        <v>45.400625000000005</v>
      </c>
      <c r="P202" s="250">
        <f t="shared" si="12"/>
        <v>0.21933012937500002</v>
      </c>
      <c r="R202" s="235">
        <f t="shared" si="13"/>
        <v>2.0667149999999967E-3</v>
      </c>
      <c r="S202" s="251">
        <f t="shared" si="14"/>
        <v>0.95427393062499999</v>
      </c>
      <c r="T202" s="250">
        <f t="shared" si="15"/>
        <v>45.017499999999991</v>
      </c>
    </row>
    <row r="203" spans="13:20" x14ac:dyDescent="0.2">
      <c r="M203" s="251">
        <f>Tornado!BU201</f>
        <v>3.90625E-3</v>
      </c>
      <c r="N203" s="252">
        <f>Tornado!BV201</f>
        <v>0.8330078125</v>
      </c>
      <c r="O203" s="250">
        <f>Tornado!BW201</f>
        <v>45.874499999999998</v>
      </c>
      <c r="P203" s="250">
        <f t="shared" si="12"/>
        <v>0.22036348687500001</v>
      </c>
      <c r="R203" s="235">
        <f t="shared" si="13"/>
        <v>5.166787500000547E-4</v>
      </c>
      <c r="S203" s="251">
        <f t="shared" si="14"/>
        <v>0.95479060937500004</v>
      </c>
      <c r="T203" s="250">
        <f t="shared" si="15"/>
        <v>45.400625000000005</v>
      </c>
    </row>
    <row r="204" spans="13:20" x14ac:dyDescent="0.2">
      <c r="M204" s="251">
        <f>Tornado!BU202</f>
        <v>9.765625E-4</v>
      </c>
      <c r="N204" s="252">
        <f>Tornado!BV202</f>
        <v>0.833984375</v>
      </c>
      <c r="O204" s="250">
        <f>Tornado!BW202</f>
        <v>45.91845</v>
      </c>
      <c r="P204" s="250">
        <f t="shared" si="12"/>
        <v>0.22062182625000001</v>
      </c>
      <c r="R204" s="235">
        <f t="shared" si="13"/>
        <v>1.0333574999998874E-3</v>
      </c>
      <c r="S204" s="251">
        <f t="shared" si="14"/>
        <v>0.95582396687499993</v>
      </c>
      <c r="T204" s="250">
        <f t="shared" si="15"/>
        <v>45.874499999999998</v>
      </c>
    </row>
    <row r="205" spans="13:20" x14ac:dyDescent="0.2">
      <c r="M205" s="251">
        <f>Tornado!BU203</f>
        <v>1.953125E-3</v>
      </c>
      <c r="N205" s="252">
        <f>Tornado!BV203</f>
        <v>0.8359375</v>
      </c>
      <c r="O205" s="250">
        <f>Tornado!BW203</f>
        <v>45.91845</v>
      </c>
      <c r="P205" s="250">
        <f t="shared" si="12"/>
        <v>0.22113850500000001</v>
      </c>
      <c r="R205" s="235">
        <f t="shared" si="13"/>
        <v>2.5833937500008286E-4</v>
      </c>
      <c r="S205" s="251">
        <f t="shared" si="14"/>
        <v>0.95608230625000001</v>
      </c>
      <c r="T205" s="250">
        <f t="shared" si="15"/>
        <v>45.91845</v>
      </c>
    </row>
    <row r="206" spans="13:20" x14ac:dyDescent="0.2">
      <c r="M206" s="251">
        <f>Tornado!BU204</f>
        <v>9.765625E-4</v>
      </c>
      <c r="N206" s="252">
        <f>Tornado!BV204</f>
        <v>0.8369140625</v>
      </c>
      <c r="O206" s="250">
        <f>Tornado!BW204</f>
        <v>46.697785714285715</v>
      </c>
      <c r="P206" s="250">
        <f t="shared" si="12"/>
        <v>0.22139684437500001</v>
      </c>
      <c r="R206" s="235">
        <f t="shared" si="13"/>
        <v>5.1667874999994368E-4</v>
      </c>
      <c r="S206" s="251">
        <f t="shared" si="14"/>
        <v>0.95659898499999996</v>
      </c>
      <c r="T206" s="250">
        <f t="shared" si="15"/>
        <v>45.91845</v>
      </c>
    </row>
    <row r="207" spans="13:20" x14ac:dyDescent="0.2">
      <c r="M207" s="251">
        <f>Tornado!BU205</f>
        <v>1.953125E-3</v>
      </c>
      <c r="N207" s="252">
        <f>Tornado!BV205</f>
        <v>0.8388671875</v>
      </c>
      <c r="O207" s="250">
        <f>Tornado!BW205</f>
        <v>47.268374999999999</v>
      </c>
      <c r="P207" s="250">
        <f t="shared" si="12"/>
        <v>0.22191352312500001</v>
      </c>
      <c r="R207" s="235">
        <f t="shared" si="13"/>
        <v>2.5833937500008286E-4</v>
      </c>
      <c r="S207" s="251">
        <f t="shared" si="14"/>
        <v>0.95685732437500004</v>
      </c>
      <c r="T207" s="250">
        <f t="shared" si="15"/>
        <v>46.697785714285715</v>
      </c>
    </row>
    <row r="208" spans="13:20" x14ac:dyDescent="0.2">
      <c r="M208" s="251">
        <f>Tornado!BU206</f>
        <v>7.8125E-3</v>
      </c>
      <c r="N208" s="252">
        <f>Tornado!BV206</f>
        <v>0.8466796875</v>
      </c>
      <c r="O208" s="250">
        <f>Tornado!BW206</f>
        <v>49.004549999999995</v>
      </c>
      <c r="P208" s="250">
        <f t="shared" si="12"/>
        <v>0.22398023812500004</v>
      </c>
      <c r="R208" s="235">
        <f t="shared" si="13"/>
        <v>5.1667874999994368E-4</v>
      </c>
      <c r="S208" s="251">
        <f t="shared" si="14"/>
        <v>0.95737400312499998</v>
      </c>
      <c r="T208" s="250">
        <f t="shared" si="15"/>
        <v>47.268374999999999</v>
      </c>
    </row>
    <row r="209" spans="13:20" x14ac:dyDescent="0.2">
      <c r="M209" s="251">
        <f>Tornado!BU207</f>
        <v>7.8125E-3</v>
      </c>
      <c r="N209" s="252">
        <f>Tornado!BV207</f>
        <v>0.8544921875</v>
      </c>
      <c r="O209" s="250">
        <f>Tornado!BW207</f>
        <v>50.004642857142862</v>
      </c>
      <c r="P209" s="250">
        <f t="shared" si="12"/>
        <v>0.22604695312500003</v>
      </c>
      <c r="R209" s="235">
        <f t="shared" si="13"/>
        <v>2.0667149999999967E-3</v>
      </c>
      <c r="S209" s="251">
        <f t="shared" si="14"/>
        <v>0.95944071812499998</v>
      </c>
      <c r="T209" s="250">
        <f t="shared" si="15"/>
        <v>49.004549999999995</v>
      </c>
    </row>
    <row r="210" spans="13:20" x14ac:dyDescent="0.2">
      <c r="M210" s="251">
        <f>Tornado!BU208</f>
        <v>1.5625E-2</v>
      </c>
      <c r="N210" s="252">
        <f>Tornado!BV208</f>
        <v>0.8701171875</v>
      </c>
      <c r="O210" s="250">
        <f>Tornado!BW208</f>
        <v>50.948916666666662</v>
      </c>
      <c r="P210" s="250">
        <f t="shared" si="12"/>
        <v>0.23018038312500003</v>
      </c>
      <c r="R210" s="235">
        <f t="shared" si="13"/>
        <v>2.0667149999999967E-3</v>
      </c>
      <c r="S210" s="251">
        <f t="shared" si="14"/>
        <v>0.96150743312499998</v>
      </c>
      <c r="T210" s="250">
        <f t="shared" si="15"/>
        <v>50.004642857142862</v>
      </c>
    </row>
    <row r="211" spans="13:20" x14ac:dyDescent="0.2">
      <c r="M211" s="251">
        <f>Tornado!BU209</f>
        <v>1.953125E-3</v>
      </c>
      <c r="N211" s="252">
        <f>Tornado!BV209</f>
        <v>0.8720703125</v>
      </c>
      <c r="O211" s="250">
        <f>Tornado!BW209</f>
        <v>51.020499999999998</v>
      </c>
      <c r="P211" s="250">
        <f t="shared" si="12"/>
        <v>0.23069706187500003</v>
      </c>
      <c r="R211" s="235">
        <f t="shared" si="13"/>
        <v>4.1334299999999935E-3</v>
      </c>
      <c r="S211" s="251">
        <f t="shared" si="14"/>
        <v>0.96564086312499997</v>
      </c>
      <c r="T211" s="250">
        <f t="shared" si="15"/>
        <v>50.948916666666662</v>
      </c>
    </row>
    <row r="212" spans="13:20" x14ac:dyDescent="0.2">
      <c r="M212" s="251">
        <f>Tornado!BU210</f>
        <v>3.90625E-3</v>
      </c>
      <c r="N212" s="252">
        <f>Tornado!BV210</f>
        <v>0.8759765625</v>
      </c>
      <c r="O212" s="250">
        <f>Tornado!BW210</f>
        <v>53.496362499999996</v>
      </c>
      <c r="P212" s="250">
        <f t="shared" si="12"/>
        <v>0.23173041937500002</v>
      </c>
      <c r="R212" s="235">
        <f t="shared" si="13"/>
        <v>5.166787500000547E-4</v>
      </c>
      <c r="S212" s="251">
        <f t="shared" si="14"/>
        <v>0.96615754187500003</v>
      </c>
      <c r="T212" s="250">
        <f t="shared" si="15"/>
        <v>51.020499999999998</v>
      </c>
    </row>
    <row r="213" spans="13:20" x14ac:dyDescent="0.2">
      <c r="M213" s="251">
        <f>Tornado!BU211</f>
        <v>7.8125E-3</v>
      </c>
      <c r="N213" s="252">
        <f>Tornado!BV211</f>
        <v>0.8837890625</v>
      </c>
      <c r="O213" s="250">
        <f>Tornado!BW211</f>
        <v>54.449499999999993</v>
      </c>
      <c r="P213" s="250">
        <f t="shared" si="12"/>
        <v>0.23379713437500002</v>
      </c>
      <c r="R213" s="235">
        <f t="shared" si="13"/>
        <v>1.0333574999999984E-3</v>
      </c>
      <c r="S213" s="251">
        <f t="shared" si="14"/>
        <v>0.96719089937500002</v>
      </c>
      <c r="T213" s="250">
        <f t="shared" si="15"/>
        <v>53.496362499999996</v>
      </c>
    </row>
    <row r="214" spans="13:20" x14ac:dyDescent="0.2">
      <c r="M214" s="251">
        <f>Tornado!BU212</f>
        <v>3.90625E-3</v>
      </c>
      <c r="N214" s="252">
        <f>Tornado!BV212</f>
        <v>0.8876953125</v>
      </c>
      <c r="O214" s="250">
        <f>Tornado!BW212</f>
        <v>54.48075</v>
      </c>
      <c r="P214" s="250">
        <f t="shared" si="12"/>
        <v>0.23483049187500002</v>
      </c>
      <c r="R214" s="235">
        <f t="shared" si="13"/>
        <v>2.0667149999999967E-3</v>
      </c>
      <c r="S214" s="251">
        <f t="shared" si="14"/>
        <v>0.96925761437500002</v>
      </c>
      <c r="T214" s="250">
        <f t="shared" si="15"/>
        <v>54.449499999999993</v>
      </c>
    </row>
    <row r="215" spans="13:20" x14ac:dyDescent="0.2">
      <c r="M215" s="251">
        <f>Tornado!BU213</f>
        <v>3.90625E-3</v>
      </c>
      <c r="N215" s="252">
        <f>Tornado!BV213</f>
        <v>0.8916015625</v>
      </c>
      <c r="O215" s="250">
        <f>Tornado!BW213</f>
        <v>54.588124999999991</v>
      </c>
      <c r="P215" s="250">
        <f t="shared" si="12"/>
        <v>0.23586384937500002</v>
      </c>
      <c r="R215" s="235">
        <f t="shared" si="13"/>
        <v>1.0333574999999984E-3</v>
      </c>
      <c r="S215" s="251">
        <f t="shared" si="14"/>
        <v>0.97029097187500002</v>
      </c>
      <c r="T215" s="250">
        <f t="shared" si="15"/>
        <v>54.48075</v>
      </c>
    </row>
    <row r="216" spans="13:20" x14ac:dyDescent="0.2">
      <c r="M216" s="251">
        <f>Tornado!BU214</f>
        <v>1.953125E-3</v>
      </c>
      <c r="N216" s="252">
        <f>Tornado!BV214</f>
        <v>0.8935546875</v>
      </c>
      <c r="O216" s="250">
        <f>Tornado!BW214</f>
        <v>56.147785714285718</v>
      </c>
      <c r="P216" s="250">
        <f t="shared" si="12"/>
        <v>0.23638052812500002</v>
      </c>
      <c r="R216" s="235">
        <f t="shared" si="13"/>
        <v>1.0333574999999984E-3</v>
      </c>
      <c r="S216" s="251">
        <f t="shared" si="14"/>
        <v>0.97132432937500002</v>
      </c>
      <c r="T216" s="250">
        <f t="shared" si="15"/>
        <v>54.588124999999991</v>
      </c>
    </row>
    <row r="217" spans="13:20" x14ac:dyDescent="0.2">
      <c r="M217" s="251">
        <f>Tornado!BU215</f>
        <v>3.90625E-3</v>
      </c>
      <c r="N217" s="252">
        <f>Tornado!BV215</f>
        <v>0.8974609375</v>
      </c>
      <c r="O217" s="250">
        <f>Tornado!BW215</f>
        <v>56.722049999999996</v>
      </c>
      <c r="P217" s="250">
        <f t="shared" si="12"/>
        <v>0.23741388562500002</v>
      </c>
      <c r="R217" s="235">
        <f t="shared" si="13"/>
        <v>5.1667874999994368E-4</v>
      </c>
      <c r="S217" s="251">
        <f t="shared" si="14"/>
        <v>0.97184100812499996</v>
      </c>
      <c r="T217" s="250">
        <f t="shared" si="15"/>
        <v>56.147785714285718</v>
      </c>
    </row>
    <row r="218" spans="13:20" x14ac:dyDescent="0.2">
      <c r="M218" s="251">
        <f>Tornado!BU216</f>
        <v>3.90625E-3</v>
      </c>
      <c r="N218" s="252">
        <f>Tornado!BV216</f>
        <v>0.9013671875</v>
      </c>
      <c r="O218" s="250">
        <f>Tornado!BW216</f>
        <v>57.879642857142862</v>
      </c>
      <c r="P218" s="250">
        <f t="shared" si="12"/>
        <v>0.23844724312500001</v>
      </c>
      <c r="R218" s="235">
        <f t="shared" si="13"/>
        <v>1.0333574999999984E-3</v>
      </c>
      <c r="S218" s="251">
        <f t="shared" si="14"/>
        <v>0.97287436562499996</v>
      </c>
      <c r="T218" s="250">
        <f t="shared" si="15"/>
        <v>56.722049999999996</v>
      </c>
    </row>
    <row r="219" spans="13:20" x14ac:dyDescent="0.2">
      <c r="M219" s="251">
        <f>Tornado!BU217</f>
        <v>1.953125E-3</v>
      </c>
      <c r="N219" s="252">
        <f>Tornado!BV217</f>
        <v>0.9033203125</v>
      </c>
      <c r="O219" s="250">
        <f>Tornado!BW217</f>
        <v>58.981499999999997</v>
      </c>
      <c r="P219" s="250">
        <f t="shared" si="12"/>
        <v>0.23896392187500001</v>
      </c>
      <c r="R219" s="235">
        <f t="shared" si="13"/>
        <v>1.0333574999999984E-3</v>
      </c>
      <c r="S219" s="251">
        <f t="shared" si="14"/>
        <v>0.97390772312499996</v>
      </c>
      <c r="T219" s="250">
        <f t="shared" si="15"/>
        <v>57.879642857142862</v>
      </c>
    </row>
    <row r="220" spans="13:20" x14ac:dyDescent="0.2">
      <c r="M220" s="251">
        <f>Tornado!BU218</f>
        <v>3.90625E-3</v>
      </c>
      <c r="N220" s="252">
        <f>Tornado!BV218</f>
        <v>0.9072265625</v>
      </c>
      <c r="O220" s="250">
        <f>Tornado!BW218</f>
        <v>59.323483333333328</v>
      </c>
      <c r="P220" s="250">
        <f t="shared" si="12"/>
        <v>0.23999727937500004</v>
      </c>
      <c r="R220" s="235">
        <f t="shared" si="13"/>
        <v>5.166787500000547E-4</v>
      </c>
      <c r="S220" s="251">
        <f t="shared" si="14"/>
        <v>0.97442440187500001</v>
      </c>
      <c r="T220" s="250">
        <f t="shared" si="15"/>
        <v>58.981499999999997</v>
      </c>
    </row>
    <row r="221" spans="13:20" x14ac:dyDescent="0.2">
      <c r="M221" s="251">
        <f>Tornado!BU219</f>
        <v>7.8125E-3</v>
      </c>
      <c r="N221" s="252">
        <f>Tornado!BV219</f>
        <v>0.9150390625</v>
      </c>
      <c r="O221" s="250">
        <f>Tornado!BW219</f>
        <v>59.523916666666658</v>
      </c>
      <c r="P221" s="250">
        <f t="shared" si="12"/>
        <v>0.24206399437500004</v>
      </c>
      <c r="R221" s="235">
        <f t="shared" si="13"/>
        <v>1.0333574999999984E-3</v>
      </c>
      <c r="S221" s="251">
        <f t="shared" si="14"/>
        <v>0.97545775937500001</v>
      </c>
      <c r="T221" s="250">
        <f t="shared" si="15"/>
        <v>59.323483333333328</v>
      </c>
    </row>
    <row r="222" spans="13:20" x14ac:dyDescent="0.2">
      <c r="M222" s="251">
        <f>Tornado!BU220</f>
        <v>3.90625E-3</v>
      </c>
      <c r="N222" s="252">
        <f>Tornado!BV220</f>
        <v>0.9189453125</v>
      </c>
      <c r="O222" s="250">
        <f>Tornado!BW220</f>
        <v>60.534166666666664</v>
      </c>
      <c r="P222" s="250">
        <f t="shared" si="12"/>
        <v>0.24309735187500003</v>
      </c>
      <c r="R222" s="235">
        <f t="shared" si="13"/>
        <v>2.0667149999999967E-3</v>
      </c>
      <c r="S222" s="251">
        <f t="shared" si="14"/>
        <v>0.97752447437500001</v>
      </c>
      <c r="T222" s="250">
        <f t="shared" si="15"/>
        <v>59.523916666666658</v>
      </c>
    </row>
    <row r="223" spans="13:20" x14ac:dyDescent="0.2">
      <c r="M223" s="251">
        <f>Tornado!BU221</f>
        <v>1.953125E-3</v>
      </c>
      <c r="N223" s="252">
        <f>Tornado!BV221</f>
        <v>0.9208984375</v>
      </c>
      <c r="O223" s="250">
        <f>Tornado!BW221</f>
        <v>62.500112499999993</v>
      </c>
      <c r="P223" s="250">
        <f t="shared" si="12"/>
        <v>0.24361403062500003</v>
      </c>
      <c r="R223" s="235">
        <f t="shared" si="13"/>
        <v>1.0333574999999984E-3</v>
      </c>
      <c r="S223" s="251">
        <f t="shared" si="14"/>
        <v>0.97855783187500001</v>
      </c>
      <c r="T223" s="250">
        <f t="shared" si="15"/>
        <v>60.534166666666664</v>
      </c>
    </row>
    <row r="224" spans="13:20" x14ac:dyDescent="0.2">
      <c r="M224" s="251">
        <f>Tornado!BU222</f>
        <v>3.90625E-3</v>
      </c>
      <c r="N224" s="252">
        <f>Tornado!BV222</f>
        <v>0.9248046875</v>
      </c>
      <c r="O224" s="250">
        <f>Tornado!BW222</f>
        <v>63.024499999999989</v>
      </c>
      <c r="P224" s="250">
        <f t="shared" si="12"/>
        <v>0.24464738812500003</v>
      </c>
      <c r="R224" s="235">
        <f t="shared" si="13"/>
        <v>5.166787500000547E-4</v>
      </c>
      <c r="S224" s="251">
        <f t="shared" si="14"/>
        <v>0.97907451062500006</v>
      </c>
      <c r="T224" s="250">
        <f t="shared" si="15"/>
        <v>62.500112499999993</v>
      </c>
    </row>
    <row r="225" spans="13:20" x14ac:dyDescent="0.2">
      <c r="M225" s="251">
        <f>Tornado!BU223</f>
        <v>9.765625E-4</v>
      </c>
      <c r="N225" s="252">
        <f>Tornado!BV223</f>
        <v>0.92578125</v>
      </c>
      <c r="O225" s="250">
        <f>Tornado!BW223</f>
        <v>63.560875000000003</v>
      </c>
      <c r="P225" s="250">
        <f t="shared" si="12"/>
        <v>0.24490572750000003</v>
      </c>
      <c r="R225" s="235">
        <f t="shared" si="13"/>
        <v>1.0333574999998874E-3</v>
      </c>
      <c r="S225" s="251">
        <f t="shared" si="14"/>
        <v>0.98010786812499995</v>
      </c>
      <c r="T225" s="250">
        <f t="shared" si="15"/>
        <v>63.024499999999989</v>
      </c>
    </row>
    <row r="226" spans="13:20" x14ac:dyDescent="0.2">
      <c r="M226" s="251">
        <f>Tornado!BU224</f>
        <v>1.953125E-3</v>
      </c>
      <c r="N226" s="252">
        <f>Tornado!BV224</f>
        <v>0.927734375</v>
      </c>
      <c r="O226" s="250">
        <f>Tornado!BW224</f>
        <v>63.775624999999991</v>
      </c>
      <c r="P226" s="250">
        <f t="shared" si="12"/>
        <v>0.24542240625000003</v>
      </c>
      <c r="R226" s="235">
        <f t="shared" si="13"/>
        <v>2.5833937500008286E-4</v>
      </c>
      <c r="S226" s="251">
        <f t="shared" si="14"/>
        <v>0.98036620750000003</v>
      </c>
      <c r="T226" s="250">
        <f t="shared" si="15"/>
        <v>63.560875000000003</v>
      </c>
    </row>
    <row r="227" spans="13:20" x14ac:dyDescent="0.2">
      <c r="M227" s="251">
        <f>Tornado!BU225</f>
        <v>7.8125E-3</v>
      </c>
      <c r="N227" s="252">
        <f>Tornado!BV225</f>
        <v>0.935546875</v>
      </c>
      <c r="O227" s="250">
        <f>Tornado!BW225</f>
        <v>65.505750000000006</v>
      </c>
      <c r="P227" s="250">
        <f t="shared" si="12"/>
        <v>0.24748912125000003</v>
      </c>
      <c r="R227" s="235">
        <f t="shared" si="13"/>
        <v>5.1667874999994368E-4</v>
      </c>
      <c r="S227" s="251">
        <f t="shared" si="14"/>
        <v>0.98088288624999997</v>
      </c>
      <c r="T227" s="250">
        <f t="shared" si="15"/>
        <v>63.775624999999991</v>
      </c>
    </row>
    <row r="228" spans="13:20" x14ac:dyDescent="0.2">
      <c r="M228" s="251">
        <f>Tornado!BU226</f>
        <v>9.765625E-4</v>
      </c>
      <c r="N228" s="252">
        <f>Tornado!BV226</f>
        <v>0.9365234375</v>
      </c>
      <c r="O228" s="250">
        <f>Tornado!BW226</f>
        <v>65.597785714285706</v>
      </c>
      <c r="P228" s="250">
        <f t="shared" si="12"/>
        <v>0.24774746062500003</v>
      </c>
      <c r="R228" s="235">
        <f t="shared" si="13"/>
        <v>2.0667149999999967E-3</v>
      </c>
      <c r="S228" s="251">
        <f t="shared" si="14"/>
        <v>0.98294960124999997</v>
      </c>
      <c r="T228" s="250">
        <f t="shared" si="15"/>
        <v>65.505750000000006</v>
      </c>
    </row>
    <row r="229" spans="13:20" x14ac:dyDescent="0.2">
      <c r="M229" s="251">
        <f>Tornado!BU227</f>
        <v>3.90625E-3</v>
      </c>
      <c r="N229" s="252">
        <f>Tornado!BV227</f>
        <v>0.9404296875</v>
      </c>
      <c r="O229" s="250">
        <f>Tornado!BW227</f>
        <v>70.006500000000003</v>
      </c>
      <c r="P229" s="250">
        <f t="shared" si="12"/>
        <v>0.24878081812500003</v>
      </c>
      <c r="R229" s="235">
        <f t="shared" si="13"/>
        <v>2.5833937500008286E-4</v>
      </c>
      <c r="S229" s="251">
        <f t="shared" si="14"/>
        <v>0.98320794062500005</v>
      </c>
      <c r="T229" s="250">
        <f t="shared" si="15"/>
        <v>65.597785714285706</v>
      </c>
    </row>
    <row r="230" spans="13:20" x14ac:dyDescent="0.2">
      <c r="M230" s="251">
        <f>Tornado!BU228</f>
        <v>7.8125E-3</v>
      </c>
      <c r="N230" s="252">
        <f>Tornado!BV228</f>
        <v>0.9482421875</v>
      </c>
      <c r="O230" s="250">
        <f>Tornado!BW228</f>
        <v>71.328483333333324</v>
      </c>
      <c r="P230" s="250">
        <f t="shared" si="12"/>
        <v>0.25084753312500002</v>
      </c>
      <c r="R230" s="235">
        <f t="shared" si="13"/>
        <v>1.0333574999998874E-3</v>
      </c>
      <c r="S230" s="251">
        <f t="shared" si="14"/>
        <v>0.98424129812499994</v>
      </c>
      <c r="T230" s="250">
        <f t="shared" si="15"/>
        <v>70.006500000000003</v>
      </c>
    </row>
    <row r="231" spans="13:20" x14ac:dyDescent="0.2">
      <c r="M231" s="251">
        <f>Tornado!BU229</f>
        <v>7.8125E-3</v>
      </c>
      <c r="N231" s="252">
        <f>Tornado!BV229</f>
        <v>0.9560546875</v>
      </c>
      <c r="O231" s="250">
        <f>Tornado!BW229</f>
        <v>72.784166666666664</v>
      </c>
      <c r="P231" s="250">
        <f t="shared" si="12"/>
        <v>0.25291424812500002</v>
      </c>
      <c r="R231" s="235">
        <f t="shared" si="13"/>
        <v>2.0667149999999967E-3</v>
      </c>
      <c r="S231" s="251">
        <f t="shared" si="14"/>
        <v>0.98630801312499994</v>
      </c>
      <c r="T231" s="250">
        <f t="shared" si="15"/>
        <v>71.328483333333324</v>
      </c>
    </row>
    <row r="232" spans="13:20" x14ac:dyDescent="0.2">
      <c r="M232" s="251">
        <f>Tornado!BU230</f>
        <v>1.953125E-3</v>
      </c>
      <c r="N232" s="252">
        <f>Tornado!BV230</f>
        <v>0.9580078125</v>
      </c>
      <c r="O232" s="250">
        <f>Tornado!BW230</f>
        <v>76.273049999999998</v>
      </c>
      <c r="P232" s="250">
        <f t="shared" si="12"/>
        <v>0.25343092687500002</v>
      </c>
      <c r="R232" s="235">
        <f t="shared" si="13"/>
        <v>2.0667149999999967E-3</v>
      </c>
      <c r="S232" s="251">
        <f t="shared" si="14"/>
        <v>0.98837472812499994</v>
      </c>
      <c r="T232" s="250">
        <f t="shared" si="15"/>
        <v>72.784166666666664</v>
      </c>
    </row>
    <row r="233" spans="13:20" x14ac:dyDescent="0.2">
      <c r="M233" s="251">
        <f>Tornado!BU231</f>
        <v>1.953125E-3</v>
      </c>
      <c r="N233" s="252">
        <f>Tornado!BV231</f>
        <v>0.9599609375</v>
      </c>
      <c r="O233" s="250">
        <f>Tornado!BW231</f>
        <v>76.423374999999993</v>
      </c>
      <c r="P233" s="250">
        <f t="shared" si="12"/>
        <v>0.25394760562500002</v>
      </c>
      <c r="R233" s="235">
        <f t="shared" si="13"/>
        <v>5.166787500000547E-4</v>
      </c>
      <c r="S233" s="251">
        <f t="shared" si="14"/>
        <v>0.98889140687499999</v>
      </c>
      <c r="T233" s="250">
        <f t="shared" si="15"/>
        <v>76.273049999999998</v>
      </c>
    </row>
    <row r="234" spans="13:20" x14ac:dyDescent="0.2">
      <c r="M234" s="251">
        <f>Tornado!BU232</f>
        <v>3.90625E-3</v>
      </c>
      <c r="N234" s="252">
        <f>Tornado!BV232</f>
        <v>0.9638671875</v>
      </c>
      <c r="O234" s="250">
        <f>Tornado!BW232</f>
        <v>76.530749999999998</v>
      </c>
      <c r="P234" s="250">
        <f t="shared" si="12"/>
        <v>0.25498096312500002</v>
      </c>
      <c r="R234" s="235">
        <f t="shared" si="13"/>
        <v>5.166787500000547E-4</v>
      </c>
      <c r="S234" s="251">
        <f t="shared" si="14"/>
        <v>0.98940808562500004</v>
      </c>
      <c r="T234" s="250">
        <f t="shared" si="15"/>
        <v>76.423374999999993</v>
      </c>
    </row>
    <row r="235" spans="13:20" x14ac:dyDescent="0.2">
      <c r="M235" s="251">
        <f>Tornado!BU233</f>
        <v>1.953125E-3</v>
      </c>
      <c r="N235" s="252">
        <f>Tornado!BV233</f>
        <v>0.9658203125</v>
      </c>
      <c r="O235" s="250">
        <f>Tornado!BW233</f>
        <v>77.829642857142858</v>
      </c>
      <c r="P235" s="250">
        <f t="shared" si="12"/>
        <v>0.25549764187500001</v>
      </c>
      <c r="R235" s="235">
        <f t="shared" si="13"/>
        <v>1.0333574999998874E-3</v>
      </c>
      <c r="S235" s="251">
        <f t="shared" si="14"/>
        <v>0.99044144312499993</v>
      </c>
      <c r="T235" s="250">
        <f t="shared" si="15"/>
        <v>76.530749999999998</v>
      </c>
    </row>
    <row r="236" spans="13:20" x14ac:dyDescent="0.2">
      <c r="M236" s="251">
        <f>Tornado!BU234</f>
        <v>1.953125E-3</v>
      </c>
      <c r="N236" s="252">
        <f>Tornado!BV234</f>
        <v>0.9677734375</v>
      </c>
      <c r="O236" s="250">
        <f>Tornado!BW234</f>
        <v>81.031499999999994</v>
      </c>
      <c r="P236" s="250">
        <f t="shared" si="12"/>
        <v>0.25601432062500001</v>
      </c>
      <c r="R236" s="235">
        <f t="shared" si="13"/>
        <v>5.166787500000547E-4</v>
      </c>
      <c r="S236" s="251">
        <f t="shared" si="14"/>
        <v>0.99095812187499999</v>
      </c>
      <c r="T236" s="250">
        <f t="shared" si="15"/>
        <v>77.829642857142858</v>
      </c>
    </row>
    <row r="237" spans="13:20" x14ac:dyDescent="0.2">
      <c r="M237" s="251">
        <f>Tornado!BU235</f>
        <v>3.90625E-3</v>
      </c>
      <c r="N237" s="252">
        <f>Tornado!BV235</f>
        <v>0.9716796875</v>
      </c>
      <c r="O237" s="250">
        <f>Tornado!BW235</f>
        <v>83.333483333333334</v>
      </c>
      <c r="P237" s="250">
        <f t="shared" si="12"/>
        <v>0.25704767812500001</v>
      </c>
      <c r="R237" s="235">
        <f t="shared" si="13"/>
        <v>5.166787500000547E-4</v>
      </c>
      <c r="S237" s="251">
        <f t="shared" si="14"/>
        <v>0.99147480062500004</v>
      </c>
      <c r="T237" s="250">
        <f t="shared" si="15"/>
        <v>81.031499999999994</v>
      </c>
    </row>
    <row r="238" spans="13:20" x14ac:dyDescent="0.2">
      <c r="M238" s="251">
        <f>Tornado!BU236</f>
        <v>1.953125E-3</v>
      </c>
      <c r="N238" s="252">
        <f>Tornado!BV236</f>
        <v>0.9736328125</v>
      </c>
      <c r="O238" s="250">
        <f>Tornado!BW236</f>
        <v>84.747833333333332</v>
      </c>
      <c r="P238" s="250">
        <f t="shared" si="12"/>
        <v>0.25756435687500001</v>
      </c>
      <c r="R238" s="235">
        <f t="shared" si="13"/>
        <v>1.0333574999998874E-3</v>
      </c>
      <c r="S238" s="251">
        <f t="shared" si="14"/>
        <v>0.99250815812499993</v>
      </c>
      <c r="T238" s="250">
        <f t="shared" si="15"/>
        <v>83.333483333333334</v>
      </c>
    </row>
    <row r="239" spans="13:20" x14ac:dyDescent="0.2">
      <c r="M239" s="251">
        <f>Tornado!BU237</f>
        <v>3.90625E-3</v>
      </c>
      <c r="N239" s="252">
        <f>Tornado!BV237</f>
        <v>0.9775390625</v>
      </c>
      <c r="O239" s="250">
        <f>Tornado!BW237</f>
        <v>85.034166666666664</v>
      </c>
      <c r="P239" s="250">
        <f t="shared" si="12"/>
        <v>0.25859771437500001</v>
      </c>
      <c r="R239" s="235">
        <f t="shared" si="13"/>
        <v>5.166787500000547E-4</v>
      </c>
      <c r="S239" s="251">
        <f t="shared" si="14"/>
        <v>0.99302483687499998</v>
      </c>
      <c r="T239" s="250">
        <f t="shared" si="15"/>
        <v>84.747833333333332</v>
      </c>
    </row>
    <row r="240" spans="13:20" x14ac:dyDescent="0.2">
      <c r="M240" s="251">
        <f>Tornado!BU238</f>
        <v>9.765625E-4</v>
      </c>
      <c r="N240" s="252">
        <f>Tornado!BV238</f>
        <v>0.978515625</v>
      </c>
      <c r="O240" s="250">
        <f>Tornado!BW238</f>
        <v>89.285875000000004</v>
      </c>
      <c r="P240" s="250">
        <f t="shared" si="12"/>
        <v>0.25885605375000004</v>
      </c>
      <c r="R240" s="235">
        <f t="shared" si="13"/>
        <v>1.0333574999999984E-3</v>
      </c>
      <c r="S240" s="251">
        <f t="shared" si="14"/>
        <v>0.99405819437499998</v>
      </c>
      <c r="T240" s="250">
        <f t="shared" si="15"/>
        <v>85.034166666666664</v>
      </c>
    </row>
    <row r="241" spans="13:20" x14ac:dyDescent="0.2">
      <c r="M241" s="251">
        <f>Tornado!BU239</f>
        <v>3.90625E-3</v>
      </c>
      <c r="N241" s="252">
        <f>Tornado!BV239</f>
        <v>0.982421875</v>
      </c>
      <c r="O241" s="250">
        <f>Tornado!BW239</f>
        <v>91.70805</v>
      </c>
      <c r="P241" s="250">
        <f t="shared" si="12"/>
        <v>0.25988941125000004</v>
      </c>
      <c r="R241" s="235">
        <f t="shared" si="13"/>
        <v>2.5833937499997184E-4</v>
      </c>
      <c r="S241" s="251">
        <f t="shared" si="14"/>
        <v>0.99431653374999995</v>
      </c>
      <c r="T241" s="250">
        <f t="shared" si="15"/>
        <v>89.285875000000004</v>
      </c>
    </row>
    <row r="242" spans="13:20" x14ac:dyDescent="0.2">
      <c r="M242" s="251">
        <f>Tornado!BU240</f>
        <v>3.90625E-3</v>
      </c>
      <c r="N242" s="252">
        <f>Tornado!BV240</f>
        <v>0.986328125</v>
      </c>
      <c r="O242" s="250">
        <f>Tornado!BW240</f>
        <v>93.579642857142858</v>
      </c>
      <c r="P242" s="250">
        <f t="shared" si="12"/>
        <v>0.26092276875000003</v>
      </c>
      <c r="R242" s="235">
        <f t="shared" si="13"/>
        <v>1.0333575000001094E-3</v>
      </c>
      <c r="S242" s="251">
        <f t="shared" si="14"/>
        <v>0.99534989125000006</v>
      </c>
      <c r="T242" s="250">
        <f t="shared" si="15"/>
        <v>91.70805</v>
      </c>
    </row>
    <row r="243" spans="13:20" x14ac:dyDescent="0.2">
      <c r="M243" s="251">
        <f>Tornado!BU241</f>
        <v>3.90625E-3</v>
      </c>
      <c r="N243" s="252">
        <f>Tornado!BV241</f>
        <v>0.990234375</v>
      </c>
      <c r="O243" s="250">
        <f>Tornado!BW241</f>
        <v>101.89783333333332</v>
      </c>
      <c r="P243" s="250">
        <f t="shared" si="12"/>
        <v>0.26195612625000003</v>
      </c>
      <c r="R243" s="235">
        <f t="shared" si="13"/>
        <v>1.0333574999998874E-3</v>
      </c>
      <c r="S243" s="251">
        <f t="shared" si="14"/>
        <v>0.99638324874999995</v>
      </c>
      <c r="T243" s="250">
        <f t="shared" si="15"/>
        <v>93.579642857142858</v>
      </c>
    </row>
    <row r="244" spans="13:20" x14ac:dyDescent="0.2">
      <c r="M244" s="251">
        <f>Tornado!BU242</f>
        <v>1.953125E-3</v>
      </c>
      <c r="N244" s="252">
        <f>Tornado!BV242</f>
        <v>0.9921875</v>
      </c>
      <c r="O244" s="250">
        <f>Tornado!BW242</f>
        <v>107.14305</v>
      </c>
      <c r="P244" s="250">
        <f t="shared" si="12"/>
        <v>0.26247280500000003</v>
      </c>
      <c r="R244" s="235">
        <f t="shared" si="13"/>
        <v>1.0333575000001094E-3</v>
      </c>
      <c r="S244" s="251">
        <f t="shared" si="14"/>
        <v>0.99741660625000006</v>
      </c>
      <c r="T244" s="250">
        <f t="shared" si="15"/>
        <v>101.89783333333332</v>
      </c>
    </row>
    <row r="245" spans="13:20" x14ac:dyDescent="0.2">
      <c r="M245" s="251">
        <f>Tornado!BU243</f>
        <v>9.765625E-4</v>
      </c>
      <c r="N245" s="252">
        <f>Tornado!BV243</f>
        <v>0.9931640625</v>
      </c>
      <c r="O245" s="250">
        <f>Tornado!BW243</f>
        <v>108.9615</v>
      </c>
      <c r="P245" s="250">
        <f t="shared" si="12"/>
        <v>0.262731144375</v>
      </c>
      <c r="R245" s="235">
        <f t="shared" si="13"/>
        <v>5.1667874999994368E-4</v>
      </c>
      <c r="S245" s="251">
        <f t="shared" si="14"/>
        <v>0.997933285</v>
      </c>
      <c r="T245" s="250">
        <f t="shared" si="15"/>
        <v>107.14305</v>
      </c>
    </row>
    <row r="246" spans="13:20" x14ac:dyDescent="0.2">
      <c r="M246" s="251">
        <f>Tornado!BU244</f>
        <v>1.953125E-3</v>
      </c>
      <c r="N246" s="252">
        <f>Tornado!BV244</f>
        <v>0.9951171875</v>
      </c>
      <c r="O246" s="250">
        <f>Tornado!BW244</f>
        <v>109.32964285714286</v>
      </c>
      <c r="P246" s="250">
        <f t="shared" si="12"/>
        <v>0.263247823125</v>
      </c>
      <c r="R246" s="235">
        <f t="shared" si="13"/>
        <v>2.5833937499997184E-4</v>
      </c>
      <c r="S246" s="251">
        <f t="shared" si="14"/>
        <v>0.99819162437499998</v>
      </c>
      <c r="T246" s="250">
        <f t="shared" si="15"/>
        <v>108.9615</v>
      </c>
    </row>
    <row r="247" spans="13:20" x14ac:dyDescent="0.2">
      <c r="M247" s="251">
        <f>Tornado!BU245</f>
        <v>1.953125E-3</v>
      </c>
      <c r="N247" s="252">
        <f>Tornado!BV245</f>
        <v>0.9970703125</v>
      </c>
      <c r="O247" s="250">
        <f>Tornado!BW245</f>
        <v>119.04783333333332</v>
      </c>
      <c r="P247" s="250">
        <f t="shared" si="12"/>
        <v>0.263764501875</v>
      </c>
      <c r="R247" s="235">
        <f t="shared" si="13"/>
        <v>5.1667874999994368E-4</v>
      </c>
      <c r="S247" s="251">
        <f t="shared" si="14"/>
        <v>0.99870830312499992</v>
      </c>
      <c r="T247" s="250">
        <f t="shared" si="15"/>
        <v>109.32964285714286</v>
      </c>
    </row>
    <row r="248" spans="13:20" x14ac:dyDescent="0.2">
      <c r="M248" s="251">
        <f>Tornado!BU246</f>
        <v>1.953125E-3</v>
      </c>
      <c r="N248" s="252">
        <f>Tornado!BV246</f>
        <v>0.9990234375</v>
      </c>
      <c r="O248" s="250">
        <f>Tornado!BW246</f>
        <v>131.01150000000001</v>
      </c>
      <c r="P248" s="250">
        <f t="shared" si="12"/>
        <v>0.264281180625</v>
      </c>
      <c r="R248" s="235">
        <f t="shared" si="13"/>
        <v>5.166787500000547E-4</v>
      </c>
      <c r="S248" s="251">
        <f t="shared" si="14"/>
        <v>0.99922498187499997</v>
      </c>
      <c r="T248" s="250">
        <f t="shared" si="15"/>
        <v>119.04783333333332</v>
      </c>
    </row>
    <row r="249" spans="13:20" x14ac:dyDescent="0.2">
      <c r="M249" s="253">
        <f>Tornado!BU247</f>
        <v>9.765625E-4</v>
      </c>
      <c r="N249" s="254">
        <f>Tornado!BV247</f>
        <v>1</v>
      </c>
      <c r="O249" s="255">
        <f>Tornado!BW247</f>
        <v>153.0615</v>
      </c>
      <c r="P249" s="255">
        <f t="shared" si="12"/>
        <v>0.26453952000000003</v>
      </c>
      <c r="R249" s="235">
        <f t="shared" si="13"/>
        <v>5.166787500000547E-4</v>
      </c>
      <c r="S249" s="251">
        <f t="shared" si="14"/>
        <v>0.99974166062500003</v>
      </c>
      <c r="T249" s="250">
        <f t="shared" si="15"/>
        <v>131.01150000000001</v>
      </c>
    </row>
    <row r="250" spans="13:20" x14ac:dyDescent="0.2">
      <c r="R250" s="235">
        <f t="shared" si="13"/>
        <v>2.5833937499997184E-4</v>
      </c>
      <c r="S250" s="253">
        <f t="shared" si="14"/>
        <v>1</v>
      </c>
      <c r="T250" s="255">
        <f t="shared" si="15"/>
        <v>153.0615</v>
      </c>
    </row>
  </sheetData>
  <mergeCells count="1">
    <mergeCell ref="M5:O5"/>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6</vt:i4>
      </vt:variant>
      <vt:variant>
        <vt:lpstr>Named Ranges</vt:lpstr>
      </vt:variant>
      <vt:variant>
        <vt:i4>69</vt:i4>
      </vt:variant>
    </vt:vector>
  </HeadingPairs>
  <TitlesOfParts>
    <vt:vector size="75" baseType="lpstr">
      <vt:lpstr>License</vt:lpstr>
      <vt:lpstr>Model</vt:lpstr>
      <vt:lpstr>Uncertainty</vt:lpstr>
      <vt:lpstr>Tornado</vt:lpstr>
      <vt:lpstr>Life Stage Assessments</vt:lpstr>
      <vt:lpstr>Full Distribution</vt:lpstr>
      <vt:lpstr>CompanyName</vt:lpstr>
      <vt:lpstr>CrossChasm</vt:lpstr>
      <vt:lpstr>crossChasm_financial</vt:lpstr>
      <vt:lpstr>crossChasm_market</vt:lpstr>
      <vt:lpstr>crossChasm_product</vt:lpstr>
      <vt:lpstr>crossChasm_team</vt:lpstr>
      <vt:lpstr>CumeCostCrossChasm</vt:lpstr>
      <vt:lpstr>CumeCostEarlyStage</vt:lpstr>
      <vt:lpstr>Dilution</vt:lpstr>
      <vt:lpstr>earlyStage_financial</vt:lpstr>
      <vt:lpstr>earlyStage_market</vt:lpstr>
      <vt:lpstr>earlyStage_product</vt:lpstr>
      <vt:lpstr>earlyStage_team</vt:lpstr>
      <vt:lpstr>EarlySuccess</vt:lpstr>
      <vt:lpstr>EarningsMult</vt:lpstr>
      <vt:lpstr>exitValue</vt:lpstr>
      <vt:lpstr>InitialRoundSize</vt:lpstr>
      <vt:lpstr>inputTable</vt:lpstr>
      <vt:lpstr>Investment</vt:lpstr>
      <vt:lpstr>KingChance</vt:lpstr>
      <vt:lpstr>KingMktShare</vt:lpstr>
      <vt:lpstr>MainstreamSuccess</vt:lpstr>
      <vt:lpstr>MarketTree</vt:lpstr>
      <vt:lpstr>massMarket_financial</vt:lpstr>
      <vt:lpstr>massMarket_market</vt:lpstr>
      <vt:lpstr>massMarket_product</vt:lpstr>
      <vt:lpstr>massMarket_team</vt:lpstr>
      <vt:lpstr>NicheDilution</vt:lpstr>
      <vt:lpstr>NicheEarningsMultDisc</vt:lpstr>
      <vt:lpstr>NicheMarketShare</vt:lpstr>
      <vt:lpstr>NicheMultDisc</vt:lpstr>
      <vt:lpstr>NicheOwnershipAtExit</vt:lpstr>
      <vt:lpstr>NicheSize</vt:lpstr>
      <vt:lpstr>NicheTAM</vt:lpstr>
      <vt:lpstr>outputDefnTable</vt:lpstr>
      <vt:lpstr>outputTable</vt:lpstr>
      <vt:lpstr>ownershipAtExit</vt:lpstr>
      <vt:lpstr>pCrossChasm_total</vt:lpstr>
      <vt:lpstr>pFailCrossChasm</vt:lpstr>
      <vt:lpstr>pFailEarlyStage</vt:lpstr>
      <vt:lpstr>pMassMkt_total</vt:lpstr>
      <vt:lpstr>PreMoneyValue</vt:lpstr>
      <vt:lpstr>PrinceChance</vt:lpstr>
      <vt:lpstr>PrinceMktShare</vt:lpstr>
      <vt:lpstr>Model!RD_InputTable</vt:lpstr>
      <vt:lpstr>SalesMult</vt:lpstr>
      <vt:lpstr>SerfMktShare</vt:lpstr>
      <vt:lpstr>SmartOrgInputTable</vt:lpstr>
      <vt:lpstr>SweetSpotTABLE</vt:lpstr>
      <vt:lpstr>SweetspotTAM</vt:lpstr>
      <vt:lpstr>tam_sweetSpot</vt:lpstr>
      <vt:lpstr>tam_total</vt:lpstr>
      <vt:lpstr>Tornado_ChosenTableRangeName</vt:lpstr>
      <vt:lpstr>Tornado_Output1</vt:lpstr>
      <vt:lpstr>Tornado_Output10</vt:lpstr>
      <vt:lpstr>Tornado_Output2</vt:lpstr>
      <vt:lpstr>Tornado_Output3</vt:lpstr>
      <vt:lpstr>Tornado_Output4</vt:lpstr>
      <vt:lpstr>Tornado_Output5</vt:lpstr>
      <vt:lpstr>Tornado_Output6</vt:lpstr>
      <vt:lpstr>Tornado_Output7</vt:lpstr>
      <vt:lpstr>Tornado_Output8</vt:lpstr>
      <vt:lpstr>Tornado_Output9</vt:lpstr>
      <vt:lpstr>Tornado_OutputsList</vt:lpstr>
      <vt:lpstr>Tornado_SelectedOutputName</vt:lpstr>
      <vt:lpstr>Tornado_TableIndex</vt:lpstr>
      <vt:lpstr>TotalPWMOIC_SweetSpot_Given_CrossChasmSuccess</vt:lpstr>
      <vt:lpstr>TotalPWMOIC_SweetSpot_Given_MarketSuccess</vt:lpstr>
      <vt:lpstr>TotalTAM</vt:lpstr>
    </vt:vector>
  </TitlesOfParts>
  <Company>DQI, LLC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WFHM GTM Strategy Model</dc:title>
  <dc:creator>Clint Korver</dc:creator>
  <cp:lastModifiedBy>Somik Raha</cp:lastModifiedBy>
  <cp:lastPrinted>2017-02-02T01:23:03Z</cp:lastPrinted>
  <dcterms:created xsi:type="dcterms:W3CDTF">2000-05-24T16:45:44Z</dcterms:created>
  <dcterms:modified xsi:type="dcterms:W3CDTF">2019-02-26T19:59:25Z</dcterms:modified>
</cp:coreProperties>
</file>