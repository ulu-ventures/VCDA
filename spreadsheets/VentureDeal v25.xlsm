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codeName="{37A63EE7-654F-3FA9-A528-636911D70600}"/>
  <workbookPr date1904="1" showInkAnnotation="0" codeName="ThisWorkbook" autoCompressPictures="0"/>
  <mc:AlternateContent xmlns:mc="http://schemas.openxmlformats.org/markup-compatibility/2006">
    <mc:Choice Requires="x15">
      <x15ac:absPath xmlns:x15ac="http://schemas.microsoft.com/office/spreadsheetml/2010/11/ac" url="C:\Users\Katherine Weller\Ulu Ventures Dropbox\Venture DA Framework\Decision Models - Ulu\Market Mapping Template\Posted in GitHub\"/>
    </mc:Choice>
  </mc:AlternateContent>
  <xr:revisionPtr revIDLastSave="0" documentId="13_ncr:1_{96623F5C-B986-418E-B5A5-728443AF385D}" xr6:coauthVersionLast="47" xr6:coauthVersionMax="47" xr10:uidLastSave="{00000000-0000-0000-0000-000000000000}"/>
  <bookViews>
    <workbookView xWindow="-120" yWindow="-120" windowWidth="29040" windowHeight="15840" tabRatio="783" activeTab="1" xr2:uid="{00000000-000D-0000-FFFF-FFFF00000000}"/>
  </bookViews>
  <sheets>
    <sheet name="Market Map" sheetId="9" r:id="rId1"/>
    <sheet name="Model" sheetId="1" r:id="rId2"/>
    <sheet name="Life Stage Assessments" sheetId="2" r:id="rId3"/>
    <sheet name="Tornado" sheetId="4" r:id="rId4"/>
    <sheet name="Uncertainty" sheetId="8" r:id="rId5"/>
    <sheet name="Full Distribution" sheetId="5" r:id="rId6"/>
    <sheet name="License" sheetId="6" r:id="rId7"/>
    <sheet name="Version Control" sheetId="10" r:id="rId8"/>
  </sheets>
  <functionGroups builtInGroupCount="19"/>
  <definedNames>
    <definedName name="ChallengerChance">Model!$O$50</definedName>
    <definedName name="ChallengerMktShare">Model!$O$54</definedName>
    <definedName name="CompanyName">'Life Stage Assessments'!$C$2</definedName>
    <definedName name="CrossChasm">Model!$H$70</definedName>
    <definedName name="crossChasm_financial">'Life Stage Assessments'!$D$52</definedName>
    <definedName name="crossChasm_market">'Life Stage Assessments'!$D$34</definedName>
    <definedName name="crossChasm_product">'Life Stage Assessments'!$D$41</definedName>
    <definedName name="crossChasm_team">'Life Stage Assessments'!$D$47</definedName>
    <definedName name="CumeCostCrossChasm">Uncertainty!$Q$37</definedName>
    <definedName name="CumeCostEarlyStage">Uncertainty!$Q$39</definedName>
    <definedName name="Decisions">1</definedName>
    <definedName name="Dilution">Model!$O$45</definedName>
    <definedName name="earlyStage_financial">'Life Stage Assessments'!$D$28</definedName>
    <definedName name="earlyStage_market">'Life Stage Assessments'!$D$11</definedName>
    <definedName name="earlyStage_product">'Life Stage Assessments'!$D$17</definedName>
    <definedName name="earlyStage_team">'Life Stage Assessments'!$D$23</definedName>
    <definedName name="EarlySuccess">Model!$H$69</definedName>
    <definedName name="EarningsMult">Model!$O$60</definedName>
    <definedName name="exitValue">Model!$O$79:$O$89</definedName>
    <definedName name="FollowerMktShare">Model!$O$55</definedName>
    <definedName name="InitialRoundSize">Model!$O$44</definedName>
    <definedName name="inputTable">Model!$B$12:$L$63</definedName>
    <definedName name="IntlMult">Model!$O$39</definedName>
    <definedName name="Investment">Model!$O$42</definedName>
    <definedName name="LeaderChance">Model!$O$49</definedName>
    <definedName name="LeaderMktShare">Model!$O$53</definedName>
    <definedName name="MainstreamSuccess">Model!$H$71</definedName>
    <definedName name="MarketTree">Uncertainty!$A$10:$K$62</definedName>
    <definedName name="massMarket_financial">'Life Stage Assessments'!$D$75</definedName>
    <definedName name="massMarket_market">'Life Stage Assessments'!$D$58</definedName>
    <definedName name="massMarket_product">'Life Stage Assessments'!$D$64</definedName>
    <definedName name="massMarket_team">'Life Stage Assessments'!$D$69</definedName>
    <definedName name="ModelType">'Life Stage Assessments'!$D$135</definedName>
    <definedName name="NicheDilution">Model!$O$46</definedName>
    <definedName name="NicheEarningsMultDisc">Model!$O$61</definedName>
    <definedName name="NicheMarketShare">Model!$O$57</definedName>
    <definedName name="NicheMultDisc">Model!$O$61</definedName>
    <definedName name="NicheOwnershipAtExit">Model!$E$126</definedName>
    <definedName name="NicheSize">Model!$O$56</definedName>
    <definedName name="NicheTAM">Model!$E$111</definedName>
    <definedName name="outputDefnTable">Uncertainty!$B$3:$F$6</definedName>
    <definedName name="outputTable">Uncertainty!$A$1:$K$8</definedName>
    <definedName name="OwnershipAtExit">Model!$E$123</definedName>
    <definedName name="pCrossChasm_total">Uncertainty!$J$32</definedName>
    <definedName name="pFailCrossChasm">Uncertainty!$Q$38</definedName>
    <definedName name="pFailEarlyStage">Uncertainty!$Q$40</definedName>
    <definedName name="pMassMkt_total">Uncertainty!$J$33</definedName>
    <definedName name="PreMoneyValue">Model!$O$43</definedName>
    <definedName name="RD_InputTable" localSheetId="1">Model!$C$11:$P$61</definedName>
    <definedName name="SalesMult">Model!$O$60</definedName>
    <definedName name="SmartOrgInputTable">Model!$O$12:$Q$63</definedName>
    <definedName name="SweetSpotTABLE">Uncertainty!$O$18:$S$28</definedName>
    <definedName name="SweetspotTAM">Model!$E$109</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Model!$E$113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2" l="1"/>
  <c r="A10" i="2"/>
  <c r="E113" i="1" l="1"/>
  <c r="E109" i="1" l="1"/>
  <c r="E11" i="2" l="1"/>
  <c r="Q22" i="8" l="1"/>
  <c r="E69" i="2" l="1"/>
  <c r="E75" i="2"/>
  <c r="E64" i="2"/>
  <c r="E58" i="2"/>
  <c r="E52" i="2"/>
  <c r="E47" i="2"/>
  <c r="E41" i="2"/>
  <c r="E34" i="2"/>
  <c r="E28" i="2"/>
  <c r="E23" i="2"/>
  <c r="E17" i="2"/>
  <c r="E45" i="8" l="1"/>
  <c r="E43" i="8"/>
  <c r="Q39" i="8"/>
  <c r="Q37" i="8"/>
  <c r="Q21" i="8"/>
  <c r="E19" i="8"/>
  <c r="E17" i="8"/>
  <c r="E47" i="8" l="1"/>
  <c r="E21" i="8"/>
  <c r="R27" i="8"/>
  <c r="R25" i="8"/>
  <c r="E125" i="1"/>
  <c r="E6" i="2" l="1"/>
  <c r="E70" i="1" s="1"/>
  <c r="O8" i="5" l="1"/>
  <c r="O9" i="5"/>
  <c r="O10" i="5"/>
  <c r="O11" i="5"/>
  <c r="T12" i="5" s="1"/>
  <c r="O12" i="5"/>
  <c r="T13" i="5" s="1"/>
  <c r="O13" i="5"/>
  <c r="T14" i="5" s="1"/>
  <c r="O14" i="5"/>
  <c r="T15" i="5" s="1"/>
  <c r="O15" i="5"/>
  <c r="T16" i="5" s="1"/>
  <c r="O16" i="5"/>
  <c r="O17" i="5"/>
  <c r="T18" i="5" s="1"/>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T52" i="5" s="1"/>
  <c r="O52" i="5"/>
  <c r="T53" i="5" s="1"/>
  <c r="O53" i="5"/>
  <c r="T54" i="5" s="1"/>
  <c r="O54" i="5"/>
  <c r="T55" i="5" s="1"/>
  <c r="O55" i="5"/>
  <c r="T56" i="5" s="1"/>
  <c r="O56" i="5"/>
  <c r="O57" i="5"/>
  <c r="O58" i="5"/>
  <c r="T59" i="5" s="1"/>
  <c r="O59" i="5"/>
  <c r="T60" i="5" s="1"/>
  <c r="O60" i="5"/>
  <c r="T61" i="5" s="1"/>
  <c r="O61" i="5"/>
  <c r="T62" i="5" s="1"/>
  <c r="O62" i="5"/>
  <c r="T63" i="5" s="1"/>
  <c r="O63" i="5"/>
  <c r="T64" i="5" s="1"/>
  <c r="O64" i="5"/>
  <c r="O65" i="5"/>
  <c r="O66" i="5"/>
  <c r="O67" i="5"/>
  <c r="T68" i="5" s="1"/>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T83" i="5" s="1"/>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T106" i="5" s="1"/>
  <c r="O106" i="5"/>
  <c r="T107" i="5" s="1"/>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T139" i="5" s="1"/>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T153" i="5" s="1"/>
  <c r="O153" i="5"/>
  <c r="T154" i="5" s="1"/>
  <c r="O154" i="5"/>
  <c r="T155" i="5" s="1"/>
  <c r="O155" i="5"/>
  <c r="T156" i="5" s="1"/>
  <c r="O156" i="5"/>
  <c r="T157" i="5" s="1"/>
  <c r="O157" i="5"/>
  <c r="T158" i="5" s="1"/>
  <c r="O158" i="5"/>
  <c r="T159" i="5" s="1"/>
  <c r="O159" i="5"/>
  <c r="T160" i="5" s="1"/>
  <c r="O160" i="5"/>
  <c r="T161" i="5" s="1"/>
  <c r="O161" i="5"/>
  <c r="O162" i="5"/>
  <c r="T163" i="5" s="1"/>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T178" i="5" s="1"/>
  <c r="O178" i="5"/>
  <c r="T179" i="5" s="1"/>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T209" i="5" s="1"/>
  <c r="O209" i="5"/>
  <c r="T210" i="5" s="1"/>
  <c r="O210" i="5"/>
  <c r="T211" i="5" s="1"/>
  <c r="O211" i="5"/>
  <c r="T212" i="5" s="1"/>
  <c r="O212" i="5"/>
  <c r="T213" i="5" s="1"/>
  <c r="O213" i="5"/>
  <c r="T214" i="5" s="1"/>
  <c r="O214" i="5"/>
  <c r="T215" i="5" s="1"/>
  <c r="O215" i="5"/>
  <c r="T216" i="5" s="1"/>
  <c r="O216" i="5"/>
  <c r="T217" i="5" s="1"/>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02" i="5"/>
  <c r="T201" i="5"/>
  <c r="T194" i="5"/>
  <c r="T193" i="5"/>
  <c r="T186" i="5"/>
  <c r="T185" i="5"/>
  <c r="T177" i="5"/>
  <c r="T170" i="5"/>
  <c r="T169" i="5"/>
  <c r="T162" i="5"/>
  <c r="T146" i="5"/>
  <c r="T147" i="5"/>
  <c r="T145" i="5"/>
  <c r="T138" i="5"/>
  <c r="T137" i="5"/>
  <c r="T129" i="5"/>
  <c r="T122" i="5"/>
  <c r="T123" i="5"/>
  <c r="T121" i="5"/>
  <c r="T114" i="5"/>
  <c r="T113" i="5"/>
  <c r="T105" i="5"/>
  <c r="T98" i="5"/>
  <c r="T99" i="5"/>
  <c r="T97" i="5"/>
  <c r="T92" i="5"/>
  <c r="T90" i="5"/>
  <c r="T91" i="5"/>
  <c r="T89" i="5"/>
  <c r="T82" i="5"/>
  <c r="T81" i="5"/>
  <c r="T74" i="5"/>
  <c r="T73" i="5"/>
  <c r="T67" i="5"/>
  <c r="T65" i="5"/>
  <c r="T66" i="5"/>
  <c r="T57" i="5"/>
  <c r="T58" i="5"/>
  <c r="T51" i="5"/>
  <c r="T49" i="5"/>
  <c r="T50" i="5"/>
  <c r="T43" i="5"/>
  <c r="T41" i="5"/>
  <c r="T42" i="5"/>
  <c r="T35" i="5"/>
  <c r="T36" i="5"/>
  <c r="T33" i="5"/>
  <c r="T34" i="5"/>
  <c r="T27" i="5"/>
  <c r="T25" i="5"/>
  <c r="T26" i="5"/>
  <c r="T19" i="5"/>
  <c r="T20" i="5"/>
  <c r="T17" i="5"/>
  <c r="T11" i="5"/>
  <c r="T10" i="5"/>
  <c r="T8" i="5"/>
  <c r="T9" i="5"/>
  <c r="R19" i="4" l="1"/>
  <c r="S19" i="4" s="1"/>
  <c r="S12" i="4"/>
  <c r="S11" i="4"/>
  <c r="S10" i="4"/>
  <c r="S9" i="4"/>
  <c r="S7" i="4"/>
  <c r="S8" i="4"/>
  <c r="E116" i="1" l="1"/>
  <c r="E117" i="1"/>
  <c r="E118" i="1"/>
  <c r="G7" i="2"/>
  <c r="G71" i="1" s="1"/>
  <c r="F7" i="2"/>
  <c r="F71" i="1" s="1"/>
  <c r="E7" i="2"/>
  <c r="E71" i="1" s="1"/>
  <c r="D7" i="2"/>
  <c r="D71" i="1" s="1"/>
  <c r="G6" i="2"/>
  <c r="G70" i="1" s="1"/>
  <c r="F6" i="2"/>
  <c r="F70" i="1" s="1"/>
  <c r="D6" i="2"/>
  <c r="D70" i="1" s="1"/>
  <c r="G5" i="2"/>
  <c r="G69" i="1" s="1"/>
  <c r="F5" i="2"/>
  <c r="F69" i="1" s="1"/>
  <c r="E5" i="2"/>
  <c r="E69" i="1" s="1"/>
  <c r="D5" i="2"/>
  <c r="D69" i="1" s="1"/>
  <c r="L80" i="1"/>
  <c r="E122" i="1"/>
  <c r="L102" i="1"/>
  <c r="H71" i="1" l="1"/>
  <c r="K102" i="1" s="1"/>
  <c r="H70" i="1"/>
  <c r="C51" i="8" s="1"/>
  <c r="H69" i="1"/>
  <c r="Q40" i="8" s="1"/>
  <c r="H5" i="2"/>
  <c r="L100" i="1"/>
  <c r="H7" i="2"/>
  <c r="H6" i="2"/>
  <c r="E119" i="1"/>
  <c r="E121" i="1" s="1"/>
  <c r="E126" i="1" s="1"/>
  <c r="L82" i="1"/>
  <c r="L84" i="1" s="1"/>
  <c r="I111" i="1" l="1"/>
  <c r="M109" i="1" s="1"/>
  <c r="Q109" i="1" s="1"/>
  <c r="I106" i="1"/>
  <c r="B23" i="8"/>
  <c r="B28" i="8"/>
  <c r="F27" i="8" s="1"/>
  <c r="J27" i="8" s="1"/>
  <c r="C21" i="8"/>
  <c r="C25" i="8"/>
  <c r="J104" i="1"/>
  <c r="J88" i="1"/>
  <c r="C47" i="8"/>
  <c r="J84" i="1"/>
  <c r="J108" i="1"/>
  <c r="K106" i="1"/>
  <c r="D23" i="8"/>
  <c r="D19" i="8"/>
  <c r="D49" i="8"/>
  <c r="K86" i="1"/>
  <c r="D45" i="8"/>
  <c r="K82" i="1"/>
  <c r="B49" i="8"/>
  <c r="F50" i="8" s="1"/>
  <c r="J50" i="8" s="1"/>
  <c r="I86" i="1"/>
  <c r="I91" i="1"/>
  <c r="M89" i="1" s="1"/>
  <c r="Q89" i="1" s="1"/>
  <c r="Q38" i="8"/>
  <c r="J60" i="8" s="1"/>
  <c r="B54" i="8"/>
  <c r="F53" i="8" s="1"/>
  <c r="J53" i="8" s="1"/>
  <c r="J61" i="8"/>
  <c r="J35" i="8"/>
  <c r="L104" i="1"/>
  <c r="E123" i="1"/>
  <c r="M107" i="1" l="1"/>
  <c r="Q107" i="1" s="1"/>
  <c r="M101" i="1"/>
  <c r="F24" i="8"/>
  <c r="J24" i="8" s="1"/>
  <c r="F22" i="8"/>
  <c r="M105" i="1"/>
  <c r="M103" i="1"/>
  <c r="F18" i="8"/>
  <c r="M87" i="1"/>
  <c r="Q87" i="1" s="1"/>
  <c r="M99" i="1"/>
  <c r="M83" i="1"/>
  <c r="M85" i="1"/>
  <c r="F48" i="8"/>
  <c r="M79" i="1"/>
  <c r="F42" i="8"/>
  <c r="M81" i="1"/>
  <c r="F16" i="8"/>
  <c r="F20" i="8"/>
  <c r="J34" i="8"/>
  <c r="F46" i="8"/>
  <c r="F44" i="8"/>
  <c r="M111" i="1" l="1"/>
  <c r="M91" i="1"/>
  <c r="J32" i="8"/>
  <c r="P227" i="5" s="1"/>
  <c r="F29" i="8"/>
  <c r="J33" i="8"/>
  <c r="J59" i="8"/>
  <c r="J58" i="8"/>
  <c r="F55" i="8"/>
  <c r="P87" i="5" l="1"/>
  <c r="P238" i="5"/>
  <c r="P150" i="5"/>
  <c r="P47" i="5"/>
  <c r="P198" i="5"/>
  <c r="P158" i="5"/>
  <c r="P115" i="5"/>
  <c r="P121" i="5"/>
  <c r="P180" i="5"/>
  <c r="P91" i="5"/>
  <c r="P33" i="5"/>
  <c r="P94" i="5"/>
  <c r="P151" i="5"/>
  <c r="P111" i="5"/>
  <c r="P204" i="5"/>
  <c r="P11" i="5"/>
  <c r="P72" i="5"/>
  <c r="P225" i="5"/>
  <c r="P210" i="5"/>
  <c r="P122" i="5"/>
  <c r="P117" i="5"/>
  <c r="P178" i="5"/>
  <c r="P119" i="5"/>
  <c r="P46" i="5"/>
  <c r="P190" i="5"/>
  <c r="P70" i="5"/>
  <c r="P103" i="5"/>
  <c r="P86" i="5"/>
  <c r="P183" i="5"/>
  <c r="P149" i="5"/>
  <c r="P219" i="5"/>
  <c r="P35" i="5"/>
  <c r="P85" i="5"/>
  <c r="P229" i="5"/>
  <c r="P216" i="5"/>
  <c r="P132" i="5"/>
  <c r="P153" i="5"/>
  <c r="P144" i="5"/>
  <c r="P30" i="5"/>
  <c r="P63" i="5"/>
  <c r="P31" i="5"/>
  <c r="P231" i="5"/>
  <c r="P175" i="5"/>
  <c r="P23" i="5"/>
  <c r="P242" i="5"/>
  <c r="P155" i="5"/>
  <c r="P224" i="5"/>
  <c r="P41" i="5"/>
  <c r="P96" i="5"/>
  <c r="P213" i="5"/>
  <c r="P25" i="5"/>
  <c r="P217" i="5"/>
  <c r="P169" i="5"/>
  <c r="P143" i="5"/>
  <c r="P95" i="5"/>
  <c r="P249" i="5"/>
  <c r="P161" i="5"/>
  <c r="P44" i="5"/>
  <c r="P105" i="5"/>
  <c r="P214" i="5"/>
  <c r="P71" i="5"/>
  <c r="P167" i="5"/>
  <c r="P239" i="5"/>
  <c r="P135" i="5"/>
  <c r="P22" i="5"/>
  <c r="P188" i="5"/>
  <c r="P165" i="5"/>
  <c r="P240" i="5"/>
  <c r="P51" i="5"/>
  <c r="P110" i="5"/>
  <c r="P57" i="5"/>
  <c r="S7" i="5"/>
  <c r="P28" i="5"/>
  <c r="P226" i="5"/>
  <c r="P199" i="5"/>
  <c r="P66" i="5"/>
  <c r="P176" i="5"/>
  <c r="P88" i="5"/>
  <c r="P142" i="5"/>
  <c r="P39" i="5"/>
  <c r="P139" i="5"/>
  <c r="P134" i="5"/>
  <c r="P246" i="5"/>
  <c r="P166" i="5"/>
  <c r="P159" i="5"/>
  <c r="P34" i="5"/>
  <c r="P234" i="5"/>
  <c r="P106" i="5"/>
  <c r="P45" i="5"/>
  <c r="P236" i="5"/>
  <c r="P202" i="5"/>
  <c r="P55" i="5"/>
  <c r="P15" i="5"/>
  <c r="P247" i="5"/>
  <c r="P14" i="5"/>
  <c r="P62" i="5"/>
  <c r="S63" i="5" s="1"/>
  <c r="P126" i="5"/>
  <c r="P228" i="5"/>
  <c r="P184" i="5"/>
  <c r="P245" i="5"/>
  <c r="P56" i="5"/>
  <c r="P140" i="5"/>
  <c r="P81" i="5"/>
  <c r="P21" i="5"/>
  <c r="S22" i="5" s="1"/>
  <c r="P170" i="5"/>
  <c r="P130" i="5"/>
  <c r="P191" i="5"/>
  <c r="P79" i="5"/>
  <c r="P215" i="5"/>
  <c r="P118" i="5"/>
  <c r="P223" i="5"/>
  <c r="P206" i="5"/>
  <c r="S207" i="5" s="1"/>
  <c r="P29" i="5"/>
  <c r="P194" i="5"/>
  <c r="P179" i="5"/>
  <c r="P60" i="5"/>
  <c r="P171" i="5"/>
  <c r="P156" i="5"/>
  <c r="P82" i="5"/>
  <c r="P80" i="5"/>
  <c r="S81" i="5" s="1"/>
  <c r="P74" i="5"/>
  <c r="P207" i="5"/>
  <c r="P222" i="5"/>
  <c r="P76" i="5"/>
  <c r="P189" i="5"/>
  <c r="P131" i="5"/>
  <c r="P7" i="5"/>
  <c r="P141" i="5"/>
  <c r="S142" i="5" s="1"/>
  <c r="P42" i="5"/>
  <c r="P18" i="5"/>
  <c r="P114" i="5"/>
  <c r="P200" i="5"/>
  <c r="P136" i="5"/>
  <c r="P125" i="5"/>
  <c r="P152" i="5"/>
  <c r="P102" i="5"/>
  <c r="S103" i="5" s="1"/>
  <c r="P64" i="5"/>
  <c r="P138" i="5"/>
  <c r="P50" i="5"/>
  <c r="P59" i="5"/>
  <c r="P89" i="5"/>
  <c r="P154" i="5"/>
  <c r="P32" i="5"/>
  <c r="P201" i="5"/>
  <c r="P20" i="5"/>
  <c r="P168" i="5"/>
  <c r="P78" i="5"/>
  <c r="P12" i="5"/>
  <c r="P237" i="5"/>
  <c r="P203" i="5"/>
  <c r="P129" i="5"/>
  <c r="P9" i="5"/>
  <c r="S10" i="5" s="1"/>
  <c r="P218" i="5"/>
  <c r="P100" i="5"/>
  <c r="P220" i="5"/>
  <c r="P101" i="5"/>
  <c r="P230" i="5"/>
  <c r="P67" i="5"/>
  <c r="P181" i="5"/>
  <c r="P52" i="5"/>
  <c r="S53" i="5" s="1"/>
  <c r="P54" i="5"/>
  <c r="P147" i="5"/>
  <c r="P43" i="5"/>
  <c r="P244" i="5"/>
  <c r="P146" i="5"/>
  <c r="P221" i="5"/>
  <c r="P99" i="5"/>
  <c r="P92" i="5"/>
  <c r="S93" i="5" s="1"/>
  <c r="P173" i="5"/>
  <c r="P109" i="5"/>
  <c r="P37" i="5"/>
  <c r="P98" i="5"/>
  <c r="P182" i="5"/>
  <c r="P243" i="5"/>
  <c r="P13" i="5"/>
  <c r="P93" i="5"/>
  <c r="S94" i="5" s="1"/>
  <c r="P164" i="5"/>
  <c r="P186" i="5"/>
  <c r="P160" i="5"/>
  <c r="P49" i="5"/>
  <c r="P107" i="5"/>
  <c r="P193" i="5"/>
  <c r="P19" i="5"/>
  <c r="P24" i="5"/>
  <c r="S25" i="5" s="1"/>
  <c r="P104" i="5"/>
  <c r="P174" i="5"/>
  <c r="P77" i="5"/>
  <c r="P172" i="5"/>
  <c r="P235" i="5"/>
  <c r="P16" i="5"/>
  <c r="P112" i="5"/>
  <c r="P162" i="5"/>
  <c r="S163" i="5" s="1"/>
  <c r="P248" i="5"/>
  <c r="P36" i="5"/>
  <c r="P113" i="5"/>
  <c r="P192" i="5"/>
  <c r="P10" i="5"/>
  <c r="P58" i="5"/>
  <c r="P123" i="5"/>
  <c r="P197" i="5"/>
  <c r="S198" i="5" s="1"/>
  <c r="P75" i="5"/>
  <c r="P38" i="5"/>
  <c r="P108" i="5"/>
  <c r="P187" i="5"/>
  <c r="P241" i="5"/>
  <c r="P97" i="5"/>
  <c r="P195" i="5"/>
  <c r="P65" i="5"/>
  <c r="S66" i="5" s="1"/>
  <c r="P17" i="5"/>
  <c r="P127" i="5"/>
  <c r="P177" i="5"/>
  <c r="P84" i="5"/>
  <c r="P48" i="5"/>
  <c r="P128" i="5"/>
  <c r="P211" i="5"/>
  <c r="P8" i="5"/>
  <c r="S9" i="5" s="1"/>
  <c r="P68" i="5"/>
  <c r="P133" i="5"/>
  <c r="P212" i="5"/>
  <c r="P209" i="5"/>
  <c r="P53" i="5"/>
  <c r="P124" i="5"/>
  <c r="P208" i="5"/>
  <c r="P90" i="5"/>
  <c r="S91" i="5" s="1"/>
  <c r="P185" i="5"/>
  <c r="P26" i="5"/>
  <c r="P116" i="5"/>
  <c r="P205" i="5"/>
  <c r="P120" i="5"/>
  <c r="P61" i="5"/>
  <c r="P137" i="5"/>
  <c r="P196" i="5"/>
  <c r="S197" i="5" s="1"/>
  <c r="P40" i="5"/>
  <c r="P73" i="5"/>
  <c r="P157" i="5"/>
  <c r="P232" i="5"/>
  <c r="P27" i="5"/>
  <c r="P83" i="5"/>
  <c r="P163" i="5"/>
  <c r="P233" i="5"/>
  <c r="S234" i="5" s="1"/>
  <c r="P145" i="5"/>
  <c r="P69" i="5"/>
  <c r="P148" i="5"/>
  <c r="S58" i="5" l="1"/>
  <c r="S64" i="5"/>
  <c r="S220" i="5"/>
  <c r="S136" i="5"/>
  <c r="S107" i="5"/>
  <c r="S42" i="5"/>
  <c r="S141" i="5"/>
  <c r="R142" i="5" s="1"/>
  <c r="S236" i="5"/>
  <c r="S235" i="5"/>
  <c r="R235" i="5" s="1"/>
  <c r="S184" i="5"/>
  <c r="S146" i="5"/>
  <c r="S41" i="5"/>
  <c r="S186" i="5"/>
  <c r="S69" i="5"/>
  <c r="S18" i="5"/>
  <c r="S76" i="5"/>
  <c r="S249" i="5"/>
  <c r="S105" i="5"/>
  <c r="S165" i="5"/>
  <c r="S174" i="5"/>
  <c r="S55" i="5"/>
  <c r="S219" i="5"/>
  <c r="S21" i="5"/>
  <c r="R22" i="5" s="1"/>
  <c r="S127" i="5"/>
  <c r="S181" i="5"/>
  <c r="S47" i="5"/>
  <c r="S122" i="5"/>
  <c r="R7" i="5"/>
  <c r="S120" i="5"/>
  <c r="S40" i="5"/>
  <c r="S204" i="5"/>
  <c r="S33" i="5"/>
  <c r="S156" i="5"/>
  <c r="S228" i="5"/>
  <c r="S82" i="5"/>
  <c r="R82" i="5" s="1"/>
  <c r="S84" i="5"/>
  <c r="S62" i="5"/>
  <c r="R63" i="5" s="1"/>
  <c r="S244" i="5"/>
  <c r="S179" i="5"/>
  <c r="S96" i="5"/>
  <c r="S205" i="5"/>
  <c r="S83" i="5"/>
  <c r="S245" i="5"/>
  <c r="S60" i="5"/>
  <c r="S201" i="5"/>
  <c r="S77" i="5"/>
  <c r="S61" i="5"/>
  <c r="S80" i="5"/>
  <c r="R81" i="5" s="1"/>
  <c r="S246" i="5"/>
  <c r="S56" i="5"/>
  <c r="S167" i="5"/>
  <c r="S155" i="5"/>
  <c r="S31" i="5"/>
  <c r="S79" i="5"/>
  <c r="S51" i="5"/>
  <c r="S115" i="5"/>
  <c r="S223" i="5"/>
  <c r="S151" i="5"/>
  <c r="S132" i="5"/>
  <c r="S225" i="5"/>
  <c r="S116" i="5"/>
  <c r="S70" i="5"/>
  <c r="R70" i="5" s="1"/>
  <c r="S74" i="5"/>
  <c r="S128" i="5"/>
  <c r="S110" i="5"/>
  <c r="S139" i="5"/>
  <c r="S19" i="5"/>
  <c r="S208" i="5"/>
  <c r="R208" i="5" s="1"/>
  <c r="S195" i="5"/>
  <c r="S131" i="5"/>
  <c r="S229" i="5"/>
  <c r="S237" i="5"/>
  <c r="S135" i="5"/>
  <c r="S227" i="5"/>
  <c r="S189" i="5"/>
  <c r="S45" i="5"/>
  <c r="S214" i="5"/>
  <c r="S232" i="5"/>
  <c r="S230" i="5"/>
  <c r="S92" i="5"/>
  <c r="R93" i="5" s="1"/>
  <c r="S67" i="5"/>
  <c r="R67" i="5" s="1"/>
  <c r="S241" i="5"/>
  <c r="S215" i="5"/>
  <c r="S218" i="5"/>
  <c r="S24" i="5"/>
  <c r="R25" i="5" s="1"/>
  <c r="S133" i="5"/>
  <c r="S87" i="5"/>
  <c r="S185" i="5"/>
  <c r="S203" i="5"/>
  <c r="S247" i="5"/>
  <c r="S200" i="5"/>
  <c r="S166" i="5"/>
  <c r="S106" i="5"/>
  <c r="S26" i="5"/>
  <c r="R26" i="5" s="1"/>
  <c r="S176" i="5"/>
  <c r="S217" i="5"/>
  <c r="S104" i="5"/>
  <c r="R104" i="5" s="1"/>
  <c r="S211" i="5"/>
  <c r="S34" i="5"/>
  <c r="S123" i="5"/>
  <c r="S95" i="5"/>
  <c r="R95" i="5" s="1"/>
  <c r="S250" i="5"/>
  <c r="S36" i="5"/>
  <c r="S12" i="5"/>
  <c r="S90" i="5"/>
  <c r="R91" i="5" s="1"/>
  <c r="S23" i="5"/>
  <c r="S117" i="5"/>
  <c r="S150" i="5"/>
  <c r="S164" i="5"/>
  <c r="R164" i="5" s="1"/>
  <c r="S138" i="5"/>
  <c r="S209" i="5"/>
  <c r="S212" i="5"/>
  <c r="S196" i="5"/>
  <c r="R197" i="5" s="1"/>
  <c r="S124" i="5"/>
  <c r="S113" i="5"/>
  <c r="S20" i="5"/>
  <c r="S14" i="5"/>
  <c r="S100" i="5"/>
  <c r="S182" i="5"/>
  <c r="S130" i="5"/>
  <c r="S65" i="5"/>
  <c r="S30" i="5"/>
  <c r="S171" i="5"/>
  <c r="S46" i="5"/>
  <c r="S140" i="5"/>
  <c r="S29" i="5"/>
  <c r="S97" i="5"/>
  <c r="S240" i="5"/>
  <c r="S162" i="5"/>
  <c r="R163" i="5" s="1"/>
  <c r="S43" i="5"/>
  <c r="S48" i="5"/>
  <c r="S191" i="5"/>
  <c r="S88" i="5"/>
  <c r="S28" i="5"/>
  <c r="S121" i="5"/>
  <c r="S54" i="5"/>
  <c r="R54" i="5" s="1"/>
  <c r="S49" i="5"/>
  <c r="S242" i="5"/>
  <c r="S11" i="5"/>
  <c r="R11" i="5" s="1"/>
  <c r="S108" i="5"/>
  <c r="S183" i="5"/>
  <c r="S147" i="5"/>
  <c r="S231" i="5"/>
  <c r="S119" i="5"/>
  <c r="S35" i="5"/>
  <c r="S144" i="5"/>
  <c r="S233" i="5"/>
  <c r="R234" i="5" s="1"/>
  <c r="S210" i="5"/>
  <c r="S85" i="5"/>
  <c r="R85" i="5" s="1"/>
  <c r="S188" i="5"/>
  <c r="S193" i="5"/>
  <c r="S173" i="5"/>
  <c r="R174" i="5" s="1"/>
  <c r="S50" i="5"/>
  <c r="S99" i="5"/>
  <c r="S102" i="5"/>
  <c r="R103" i="5" s="1"/>
  <c r="S238" i="5"/>
  <c r="S126" i="5"/>
  <c r="S157" i="5"/>
  <c r="S248" i="5"/>
  <c r="S89" i="5"/>
  <c r="S111" i="5"/>
  <c r="S168" i="5"/>
  <c r="S145" i="5"/>
  <c r="S72" i="5"/>
  <c r="S75" i="5"/>
  <c r="S159" i="5"/>
  <c r="S239" i="5"/>
  <c r="S15" i="5"/>
  <c r="S206" i="5"/>
  <c r="R207" i="5" s="1"/>
  <c r="S8" i="5"/>
  <c r="R8" i="5" s="1"/>
  <c r="S143" i="5"/>
  <c r="R143" i="5" s="1"/>
  <c r="S199" i="5"/>
  <c r="S149" i="5"/>
  <c r="S158" i="5"/>
  <c r="S213" i="5"/>
  <c r="S178" i="5"/>
  <c r="S109" i="5"/>
  <c r="R110" i="5" s="1"/>
  <c r="S114" i="5"/>
  <c r="S78" i="5"/>
  <c r="S161" i="5"/>
  <c r="S38" i="5"/>
  <c r="S44" i="5"/>
  <c r="S221" i="5"/>
  <c r="S13" i="5"/>
  <c r="S137" i="5"/>
  <c r="S190" i="5"/>
  <c r="S172" i="5"/>
  <c r="S216" i="5"/>
  <c r="S57" i="5"/>
  <c r="R58" i="5" s="1"/>
  <c r="S16" i="5"/>
  <c r="S160" i="5"/>
  <c r="S177" i="5"/>
  <c r="S52" i="5"/>
  <c r="R53" i="5" s="1"/>
  <c r="S170" i="5"/>
  <c r="S243" i="5"/>
  <c r="S154" i="5"/>
  <c r="S118" i="5"/>
  <c r="S152" i="5"/>
  <c r="S112" i="5"/>
  <c r="S71" i="5"/>
  <c r="S226" i="5"/>
  <c r="S32" i="5"/>
  <c r="S86" i="5"/>
  <c r="S73" i="5"/>
  <c r="S192" i="5"/>
  <c r="S125" i="5"/>
  <c r="S129" i="5"/>
  <c r="S98" i="5"/>
  <c r="S59" i="5"/>
  <c r="S17" i="5"/>
  <c r="S194" i="5"/>
  <c r="S222" i="5"/>
  <c r="S68" i="5"/>
  <c r="S180" i="5"/>
  <c r="S169" i="5"/>
  <c r="S153" i="5"/>
  <c r="S202" i="5"/>
  <c r="S27" i="5"/>
  <c r="S134" i="5"/>
  <c r="S39" i="5"/>
  <c r="S37" i="5"/>
  <c r="S175" i="5"/>
  <c r="S187" i="5"/>
  <c r="S148" i="5"/>
  <c r="S101" i="5"/>
  <c r="S224" i="5"/>
  <c r="R64" i="5"/>
  <c r="R94" i="5"/>
  <c r="R41" i="5"/>
  <c r="R10" i="5"/>
  <c r="R198" i="5"/>
  <c r="R46" i="5" l="1"/>
  <c r="R111" i="5"/>
  <c r="R42" i="5"/>
  <c r="R228" i="5"/>
  <c r="R221" i="5"/>
  <c r="R220" i="5"/>
  <c r="R187" i="5"/>
  <c r="R56" i="5"/>
  <c r="R65" i="5"/>
  <c r="R61" i="5"/>
  <c r="R160" i="5"/>
  <c r="R237" i="5"/>
  <c r="R231" i="5"/>
  <c r="R158" i="5"/>
  <c r="R155" i="5"/>
  <c r="R156" i="5"/>
  <c r="R146" i="5"/>
  <c r="R137" i="5"/>
  <c r="R136" i="5"/>
  <c r="R128" i="5"/>
  <c r="R50" i="5"/>
  <c r="R13" i="5"/>
  <c r="R230" i="5"/>
  <c r="R71" i="5"/>
  <c r="R120" i="5"/>
  <c r="R131" i="5"/>
  <c r="R186" i="5"/>
  <c r="R48" i="5"/>
  <c r="R204" i="5"/>
  <c r="R77" i="5"/>
  <c r="R69" i="5"/>
  <c r="R244" i="5"/>
  <c r="R205" i="5"/>
  <c r="R250" i="5"/>
  <c r="R175" i="5"/>
  <c r="R236" i="5"/>
  <c r="R126" i="5"/>
  <c r="R130" i="5"/>
  <c r="R39" i="5"/>
  <c r="R225" i="5"/>
  <c r="R80" i="5"/>
  <c r="R121" i="5"/>
  <c r="R159" i="5"/>
  <c r="R76" i="5"/>
  <c r="R18" i="5"/>
  <c r="R33" i="5"/>
  <c r="R83" i="5"/>
  <c r="R108" i="5"/>
  <c r="R60" i="5"/>
  <c r="R43" i="5"/>
  <c r="R84" i="5"/>
  <c r="R182" i="5"/>
  <c r="R127" i="5"/>
  <c r="R141" i="5"/>
  <c r="R219" i="5"/>
  <c r="R19" i="5"/>
  <c r="R132" i="5"/>
  <c r="R245" i="5"/>
  <c r="R181" i="5"/>
  <c r="R129" i="5"/>
  <c r="R247" i="5"/>
  <c r="R140" i="5"/>
  <c r="R57" i="5"/>
  <c r="R49" i="5"/>
  <c r="R241" i="5"/>
  <c r="R229" i="5"/>
  <c r="R168" i="5"/>
  <c r="R147" i="5"/>
  <c r="R184" i="5"/>
  <c r="R165" i="5"/>
  <c r="R106" i="5"/>
  <c r="R201" i="5"/>
  <c r="R211" i="5"/>
  <c r="R21" i="5"/>
  <c r="R151" i="5"/>
  <c r="R166" i="5"/>
  <c r="R179" i="5"/>
  <c r="R96" i="5"/>
  <c r="R55" i="5"/>
  <c r="R157" i="5"/>
  <c r="R116" i="5"/>
  <c r="R62" i="5"/>
  <c r="R223" i="5"/>
  <c r="R87" i="5"/>
  <c r="R238" i="5"/>
  <c r="R27" i="5"/>
  <c r="R173" i="5"/>
  <c r="R79" i="5"/>
  <c r="R118" i="5"/>
  <c r="R34" i="5"/>
  <c r="R133" i="5"/>
  <c r="R167" i="5"/>
  <c r="R246" i="5"/>
  <c r="R135" i="5"/>
  <c r="R72" i="5"/>
  <c r="R75" i="5"/>
  <c r="R101" i="5"/>
  <c r="R226" i="5"/>
  <c r="R212" i="5"/>
  <c r="R134" i="5"/>
  <c r="R32" i="5"/>
  <c r="R124" i="5"/>
  <c r="R107" i="5"/>
  <c r="R202" i="5"/>
  <c r="R191" i="5"/>
  <c r="R92" i="5"/>
  <c r="R47" i="5"/>
  <c r="R24" i="5"/>
  <c r="R215" i="5"/>
  <c r="R20" i="5"/>
  <c r="R239" i="5"/>
  <c r="R189" i="5"/>
  <c r="R139" i="5"/>
  <c r="R214" i="5"/>
  <c r="R248" i="5"/>
  <c r="R117" i="5"/>
  <c r="R162" i="5"/>
  <c r="R37" i="5"/>
  <c r="R233" i="5"/>
  <c r="R12" i="5"/>
  <c r="R123" i="5"/>
  <c r="R78" i="5"/>
  <c r="R105" i="5"/>
  <c r="R206" i="5"/>
  <c r="R196" i="5"/>
  <c r="R145" i="5"/>
  <c r="R113" i="5"/>
  <c r="R172" i="5"/>
  <c r="R218" i="5"/>
  <c r="R119" i="5"/>
  <c r="R51" i="5"/>
  <c r="R154" i="5"/>
  <c r="R216" i="5"/>
  <c r="R200" i="5"/>
  <c r="R52" i="5"/>
  <c r="R171" i="5"/>
  <c r="R114" i="5"/>
  <c r="R99" i="5"/>
  <c r="R144" i="5"/>
  <c r="R243" i="5"/>
  <c r="R90" i="5"/>
  <c r="R183" i="5"/>
  <c r="R88" i="5"/>
  <c r="R185" i="5"/>
  <c r="R30" i="5"/>
  <c r="R125" i="5"/>
  <c r="R149" i="5"/>
  <c r="R35" i="5"/>
  <c r="R177" i="5"/>
  <c r="R178" i="5"/>
  <c r="R242" i="5"/>
  <c r="R199" i="5"/>
  <c r="R170" i="5"/>
  <c r="R14" i="5"/>
  <c r="R31" i="5"/>
  <c r="R240" i="5"/>
  <c r="R98" i="5"/>
  <c r="R210" i="5"/>
  <c r="R115" i="5"/>
  <c r="R190" i="5"/>
  <c r="R59" i="5"/>
  <c r="R180" i="5"/>
  <c r="R153" i="5"/>
  <c r="R16" i="5"/>
  <c r="R44" i="5"/>
  <c r="R188" i="5"/>
  <c r="R28" i="5"/>
  <c r="R29" i="5"/>
  <c r="R100" i="5"/>
  <c r="R23" i="5"/>
  <c r="R227" i="5"/>
  <c r="R9" i="5"/>
  <c r="R176" i="5"/>
  <c r="R194" i="5"/>
  <c r="R73" i="5"/>
  <c r="R38" i="5"/>
  <c r="R150" i="5"/>
  <c r="R86" i="5"/>
  <c r="R15" i="5"/>
  <c r="R224" i="5"/>
  <c r="R45" i="5"/>
  <c r="R122" i="5"/>
  <c r="R97" i="5"/>
  <c r="R195" i="5"/>
  <c r="R66" i="5"/>
  <c r="R89" i="5"/>
  <c r="R36" i="5"/>
  <c r="R74" i="5"/>
  <c r="R112" i="5"/>
  <c r="R152" i="5"/>
  <c r="R193" i="5"/>
  <c r="R213" i="5"/>
  <c r="R249" i="5"/>
  <c r="R109" i="5"/>
  <c r="R161" i="5"/>
  <c r="R192" i="5"/>
  <c r="R169" i="5"/>
  <c r="R138" i="5"/>
  <c r="R209" i="5"/>
  <c r="R40" i="5"/>
  <c r="R232" i="5"/>
  <c r="R17" i="5"/>
  <c r="R217" i="5"/>
  <c r="R102" i="5"/>
  <c r="R203" i="5"/>
  <c r="R68" i="5"/>
  <c r="R148" i="5"/>
  <c r="R222" i="5"/>
  <c r="D2" i="5" l="1"/>
  <c r="G16" i="8"/>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99" i="1"/>
  <c r="O99" i="1" s="1"/>
  <c r="P99" i="1" s="1"/>
  <c r="N101" i="1"/>
  <c r="O101" i="1" s="1"/>
  <c r="N83" i="1"/>
  <c r="O83" i="1" s="1"/>
  <c r="E111" i="1"/>
  <c r="N79" i="1"/>
  <c r="O79" i="1" s="1"/>
  <c r="P79" i="1" s="1"/>
  <c r="N81" i="1"/>
  <c r="O81" i="1" s="1"/>
  <c r="N103" i="1"/>
  <c r="O103" i="1" s="1"/>
  <c r="P103" i="1" l="1"/>
  <c r="Q103" i="1" s="1"/>
  <c r="P101" i="1"/>
  <c r="Q101" i="1" s="1"/>
  <c r="J42" i="8"/>
  <c r="J57" i="8" s="1"/>
  <c r="P81" i="1"/>
  <c r="Q81" i="1" s="1"/>
  <c r="G48" i="8"/>
  <c r="H48" i="8" s="1"/>
  <c r="I48" i="8" s="1"/>
  <c r="J48" i="8" s="1"/>
  <c r="G22" i="8"/>
  <c r="H22" i="8" s="1"/>
  <c r="I22" i="8" s="1"/>
  <c r="J22" i="8" s="1"/>
  <c r="P83" i="1"/>
  <c r="Q83" i="1" s="1"/>
  <c r="J16" i="8"/>
  <c r="J31" i="8" s="1"/>
  <c r="N85" i="1"/>
  <c r="O85" i="1" s="1"/>
  <c r="N105" i="1"/>
  <c r="O105" i="1" s="1"/>
  <c r="Q99" i="1"/>
  <c r="Q79" i="1"/>
  <c r="P105" i="1" l="1"/>
  <c r="Q105" i="1" s="1"/>
  <c r="J29" i="8" a="1"/>
  <c r="J29" i="8" s="1"/>
  <c r="J30" i="8" s="1"/>
  <c r="F6" i="8" s="1"/>
  <c r="J55" i="8" a="1"/>
  <c r="J55" i="8" s="1"/>
  <c r="J56" i="8" s="1"/>
  <c r="P85" i="1"/>
  <c r="Q85" i="1" s="1"/>
  <c r="Q91" i="1" l="1" a="1"/>
  <c r="Q91" i="1" s="1"/>
  <c r="F5" i="1" s="1"/>
  <c r="F3" i="8" s="1"/>
  <c r="Q111" i="1" a="1"/>
  <c r="Q111" i="1" s="1"/>
  <c r="F6" i="1" s="1"/>
  <c r="F4" i="8" s="1"/>
</calcChain>
</file>

<file path=xl/sharedStrings.xml><?xml version="1.0" encoding="utf-8"?>
<sst xmlns="http://schemas.openxmlformats.org/spreadsheetml/2006/main" count="685" uniqueCount="234">
  <si>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</si>
  <si>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</si>
  <si>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</si>
  <si>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</si>
  <si>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</si>
  <si>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</si>
  <si>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</si>
  <si>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</si>
  <si>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</si>
  <si>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</si>
  <si>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</si>
  <si>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</si>
  <si>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</si>
  <si>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</si>
  <si>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</si>
  <si>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</si>
  <si>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</si>
  <si>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</si>
  <si>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</si>
  <si>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</si>
  <si>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</si>
  <si>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</si>
  <si>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</si>
  <si>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</si>
  <si>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</si>
  <si>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</si>
  <si>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</si>
  <si>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</si>
  <si>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</si>
  <si>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</si>
  <si>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</si>
  <si>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</si>
  <si>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</si>
  <si>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</si>
  <si>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</si>
  <si>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</si>
  <si>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</si>
  <si>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</si>
  <si>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</si>
  <si>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</si>
  <si>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Niche Dilution</t>
  </si>
  <si>
    <t>NicheDilution</t>
  </si>
  <si>
    <t>NicheMultDisc</t>
    <phoneticPr fontId="0" type="noConversion"/>
  </si>
  <si>
    <t>PW</t>
  </si>
  <si>
    <t>Niche Exit Mult Disc</t>
  </si>
  <si>
    <t>No cross</t>
  </si>
  <si>
    <t>Revenue</t>
  </si>
  <si>
    <t>Prob</t>
  </si>
  <si>
    <t>Exit</t>
  </si>
  <si>
    <t>dec</t>
    <phoneticPr fontId="0" type="noConversion"/>
  </si>
  <si>
    <t>Exit Multiple (Sales)</t>
  </si>
  <si>
    <t>SalesMult</t>
  </si>
  <si>
    <t>Market</t>
  </si>
  <si>
    <t>Product</t>
  </si>
  <si>
    <t>Team</t>
  </si>
  <si>
    <t>Financial</t>
  </si>
  <si>
    <t>Total</t>
  </si>
  <si>
    <t>Mass Market</t>
  </si>
  <si>
    <t>Market Share</t>
  </si>
  <si>
    <t>King Market Share</t>
  </si>
  <si>
    <t>Prince Market Share</t>
  </si>
  <si>
    <t>Serf Market Share</t>
  </si>
  <si>
    <t>MOIC</t>
  </si>
  <si>
    <t>Pre-money Valuation</t>
  </si>
  <si>
    <t>Investment size</t>
  </si>
  <si>
    <t>Total TAM</t>
  </si>
  <si>
    <t>Total Market</t>
  </si>
  <si>
    <t>TotalTAM</t>
  </si>
  <si>
    <t>NicheSize</t>
  </si>
  <si>
    <t>Niche Market Share</t>
  </si>
  <si>
    <t>NicheMarketShare</t>
  </si>
  <si>
    <t>Niche Size - of sweetspot TAM</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</si>
  <si>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</si>
  <si>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</si>
  <si>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</si>
  <si>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</si>
  <si>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</si>
  <si>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</si>
  <si>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</si>
  <si>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</si>
  <si>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</si>
  <si>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</si>
  <si>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</si>
  <si>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</si>
  <si>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</si>
  <si>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</si>
  <si>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</si>
  <si>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</si>
  <si>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</si>
  <si>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</si>
  <si>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</si>
  <si>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</si>
  <si>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</si>
  <si>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</si>
  <si>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</si>
  <si>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</si>
  <si>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</si>
  <si>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</si>
  <si>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</si>
  <si>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</si>
  <si>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</si>
  <si>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Technical capabilities to build the product</t>
  </si>
  <si>
    <t>Do not run out of money</t>
  </si>
  <si>
    <t>Plausible business model</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</si>
  <si>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</si>
  <si>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</si>
  <si>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</si>
  <si>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</si>
  <si>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</si>
  <si>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</si>
  <si>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</si>
  <si>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</si>
  <si>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</si>
  <si>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</si>
  <si>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</si>
  <si>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</si>
  <si>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</si>
  <si>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</si>
  <si>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</si>
  <si>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</si>
  <si>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</si>
  <si>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</si>
  <si>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</si>
  <si>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</si>
  <si>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</si>
  <si>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</si>
  <si>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</si>
  <si>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</si>
  <si>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</si>
  <si>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</si>
  <si>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</si>
  <si>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</si>
  <si>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</si>
  <si>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</si>
  <si>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</si>
  <si>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</si>
  <si>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</si>
  <si>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</si>
  <si>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</si>
  <si>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</si>
  <si>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</si>
  <si>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</si>
  <si>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Standard</t>
  </si>
  <si>
    <t>Investment amount doesn't change PWMOIC</t>
  </si>
  <si>
    <t>Move from early adopter customers to mainstream customers</t>
  </si>
  <si>
    <t>Founders open to direction from people with more experience</t>
  </si>
  <si>
    <t>Proven gross margins - strong core unit economics</t>
  </si>
  <si>
    <t>Able to raise sufficient capital - most likely a Series A &amp;  B</t>
  </si>
  <si>
    <t>Customers really use it</t>
  </si>
  <si>
    <t>Working Minimum Viable Product</t>
  </si>
  <si>
    <t>Clear compelling reasons to buy - solid need, plausible value prop</t>
  </si>
  <si>
    <t>Standard SaaS Multiples</t>
  </si>
  <si>
    <t>Sweet Spot Mkt: PWMOIC</t>
  </si>
  <si>
    <t>Sweet Spot Market</t>
  </si>
  <si>
    <t>Future Dilution</t>
  </si>
  <si>
    <t>Ownership | Mass Mkt Exit</t>
  </si>
  <si>
    <t>Ownership | Niche Exit</t>
  </si>
  <si>
    <t>Niche TAM</t>
  </si>
  <si>
    <t>NicheTAM</t>
  </si>
  <si>
    <t xml:space="preserve">Life Stage Assessments </t>
  </si>
  <si>
    <t>Output: Sweet Spot Mkt: PWMOIC</t>
  </si>
  <si>
    <t>Company Name</t>
  </si>
  <si>
    <t xml:space="preserve">Remainder </t>
  </si>
  <si>
    <t>Assessment</t>
  </si>
  <si>
    <t>Supporting Proof Points/Concerns</t>
  </si>
  <si>
    <t>Criteria for Success</t>
  </si>
  <si>
    <t xml:space="preserve">ARR &gt;= $20M </t>
  </si>
  <si>
    <t>Total US TAM</t>
  </si>
  <si>
    <t>Total Int'l TAM</t>
  </si>
  <si>
    <t>Sample</t>
  </si>
  <si>
    <t>International Multiplier</t>
  </si>
  <si>
    <t>mult</t>
  </si>
  <si>
    <t>Multiple of US</t>
  </si>
  <si>
    <t>IntlMult</t>
  </si>
  <si>
    <t>YOU CAN IGNORE THIS.</t>
  </si>
  <si>
    <t>Segment 1</t>
  </si>
  <si>
    <t>Segment 3</t>
  </si>
  <si>
    <t>Segment 2</t>
  </si>
  <si>
    <t>Typically these are visionary customers who are willing to take risks, be contrarian, avoid the herd, make intuitive decisions, and seek revolutionary advances.</t>
  </si>
  <si>
    <t>Critical mass in niche</t>
  </si>
  <si>
    <t>&gt; $200k ARR</t>
  </si>
  <si>
    <t>Investment Amount</t>
  </si>
  <si>
    <t>ARR &gt; $200m</t>
  </si>
  <si>
    <t>#</t>
  </si>
  <si>
    <t>Market Mapping Session</t>
  </si>
  <si>
    <t>SweetspotTAM: Define</t>
  </si>
  <si>
    <t>$mm/yr</t>
  </si>
  <si>
    <t>Capabilities match degree of difficulty.</t>
  </si>
  <si>
    <t>Team / market fit - have the background experience to plausibly identify and solve problem (domain expertise, customer insight)</t>
  </si>
  <si>
    <t>Team / stage fit - able to be scrappy in managing cash, finding customers, recruiting team members with few if any proof points (motivated, fast learner, spring loaded, professional, startup experience)</t>
  </si>
  <si>
    <t>90% = Standard</t>
  </si>
  <si>
    <t>80% = Standard</t>
  </si>
  <si>
    <t>70% = Standard</t>
  </si>
  <si>
    <t>Total Addressable Market 2026</t>
  </si>
  <si>
    <t>Consumer</t>
  </si>
  <si>
    <t>Enterprise IT</t>
  </si>
  <si>
    <t>Model Type</t>
  </si>
  <si>
    <t>Typical market w/ 10 major players</t>
  </si>
  <si>
    <t>Standard ranges: 70/80/90 for Seed, 60/70/80 Post-seed, 50/60/70 Series A</t>
  </si>
  <si>
    <t>Version Control</t>
  </si>
  <si>
    <t>Version</t>
  </si>
  <si>
    <t>Change</t>
  </si>
  <si>
    <t>Date</t>
  </si>
  <si>
    <t>Hardwired to result in niche revenue of $30M-$50M.</t>
  </si>
  <si>
    <t>Participants</t>
  </si>
  <si>
    <t>Header #1</t>
  </si>
  <si>
    <t>Header #2</t>
  </si>
  <si>
    <t>1 leader * 35% = 35%</t>
  </si>
  <si>
    <t>3 challengers * 10% = 30%</t>
  </si>
  <si>
    <t>6 followers * 3% = 18%</t>
  </si>
  <si>
    <t>LeaderMktShare</t>
  </si>
  <si>
    <t>ChallengerMktShare</t>
  </si>
  <si>
    <t>FollowerMktShare</t>
  </si>
  <si>
    <t>Leader</t>
  </si>
  <si>
    <t>Challenger</t>
  </si>
  <si>
    <t>Follower</t>
  </si>
  <si>
    <t>1 leader, as likely as anyone to be king, but not more likely</t>
  </si>
  <si>
    <t>3 challengers, as likely as anyone to be a prince, but not more likely</t>
  </si>
  <si>
    <t>LeaderChance</t>
  </si>
  <si>
    <t>ChallengerChance</t>
  </si>
  <si>
    <t>February 8, 2023</t>
  </si>
  <si>
    <t>Values as of 2028</t>
  </si>
  <si>
    <t>Leader Chance</t>
  </si>
  <si>
    <t>Challenger Chance</t>
  </si>
  <si>
    <t>Leader Market Share</t>
  </si>
  <si>
    <t>Challenger Market Share</t>
  </si>
  <si>
    <t>Follower Market Share</t>
  </si>
  <si>
    <t>VentureDeal: Awesome Company Series Seed</t>
  </si>
  <si>
    <t>Awesome Company</t>
  </si>
  <si>
    <t>Copyright © 2023, Clint Korver, Somik Raha, Ulu Ventures</t>
  </si>
  <si>
    <t>Version 25.0</t>
  </si>
  <si>
    <t>v25</t>
  </si>
  <si>
    <t>Multiple changes to template posted to GitHub</t>
  </si>
  <si>
    <t>Trina Weller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</si>
</sst>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59">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indexed="8"/>
      <name val="Calibri"/>
      <family val="2"/>
      <scheme val="minor"/>
    </font>
    <font>
      <sz val="14"/>
      <name val="Geneva"/>
      <family val="2"/>
    </font>
    <font>
      <b/>
      <i/>
      <sz val="10"/>
      <name val="Geneva"/>
      <family val="2"/>
    </font>
    <font>
      <b/>
      <sz val="14"/>
      <name val="Geneva"/>
      <family val="2"/>
    </font>
    <font>
      <sz val="14"/>
      <color rgb="FF444444"/>
      <name val="Arial"/>
      <family val="2"/>
    </font>
    <font>
      <b/>
      <sz val="18"/>
      <color rgb="FF444444"/>
      <name val="Arial"/>
      <family val="2"/>
    </font>
    <font>
      <sz val="10"/>
      <name val="Geneva"/>
      <family val="2"/>
    </font>
    <font>
      <b/>
      <sz val="10"/>
      <name val="Geneva"/>
      <family val="2"/>
    </font>
    <font>
      <sz val="10"/>
      <color rgb="FF0070C0"/>
      <name val="Geneva"/>
      <family val="2"/>
    </font>
    <font>
      <b/>
      <sz val="10"/>
      <color rgb="FF0070C0"/>
      <name val="Geneva"/>
      <family val="2"/>
    </font>
    <font>
      <sz val="10"/>
      <color rgb="FFFF0000"/>
      <name val="Geneva"/>
      <family val="2"/>
    </font>
    <font>
      <u/>
      <sz val="10"/>
      <name val="Geneva"/>
      <family val="2"/>
    </font>
    <font>
      <b/>
      <u/>
      <sz val="12"/>
      <color rgb="FF0070C0"/>
      <name val="Geneva"/>
      <family val="2"/>
    </font>
    <font>
      <b/>
      <sz val="12"/>
      <color rgb="FF0070C0"/>
      <name val="Geneva"/>
      <family val="2"/>
    </font>
    <font>
      <sz val="12"/>
      <color rgb="FF0070C0"/>
      <name val="Geneva"/>
      <family val="2"/>
    </font>
    <font>
      <i/>
      <sz val="10"/>
      <color rgb="FF00B050"/>
      <name val="Geneva"/>
      <family val="2"/>
    </font>
    <font>
      <sz val="10"/>
      <color rgb="FF000000"/>
      <name val="Arial"/>
      <family val="2"/>
    </font>
    <font>
      <i/>
      <sz val="10"/>
      <color rgb="FF333333"/>
      <name val="Arial"/>
      <family val="2"/>
    </font>
    <font>
      <i/>
      <sz val="10"/>
      <color rgb="FF000000"/>
      <name val="Arial"/>
      <family val="2"/>
    </font>
    <font>
      <i/>
      <sz val="10"/>
      <name val="Geneva"/>
      <family val="2"/>
    </font>
    <font>
      <b/>
      <i/>
      <sz val="9"/>
      <name val="Geneva"/>
      <family val="2"/>
    </font>
    <font>
      <i/>
      <sz val="10"/>
      <color theme="3" tint="0.39997558519241921"/>
      <name val="Geneva"/>
      <family val="2"/>
    </font>
    <font>
      <sz val="16"/>
      <color rgb="FF000000"/>
      <name val="Apple Chancery"/>
    </font>
    <font>
      <sz val="20"/>
      <color rgb="FF000000"/>
      <name val="Apple Chancery"/>
    </font>
    <font>
      <u/>
      <sz val="10"/>
      <name val="Geneva"/>
    </font>
  </fonts>
  <fills count="22">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theme="6" tint="0.39997558519241921"/>
        <bgColor indexed="64"/>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s>
  <cellStyleXfs count="212">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4" borderId="0" applyNumberFormat="0" applyBorder="0" applyAlignment="0" applyProtection="0"/>
    <xf numFmtId="0" fontId="14" fillId="6" borderId="0" applyNumberFormat="0" applyBorder="0" applyAlignment="0" applyProtection="0"/>
    <xf numFmtId="0" fontId="14" fillId="3"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6" borderId="0" applyNumberFormat="0" applyBorder="0" applyAlignment="0" applyProtection="0"/>
    <xf numFmtId="0" fontId="14" fillId="4" borderId="0" applyNumberFormat="0" applyBorder="0" applyAlignment="0" applyProtection="0"/>
    <xf numFmtId="0" fontId="15" fillId="6"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8" borderId="0" applyNumberFormat="0" applyBorder="0" applyAlignment="0" applyProtection="0"/>
    <xf numFmtId="0" fontId="15" fillId="6" borderId="0" applyNumberFormat="0" applyBorder="0" applyAlignment="0" applyProtection="0"/>
    <xf numFmtId="0" fontId="15" fillId="3"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6" fillId="15" borderId="0" applyNumberFormat="0" applyBorder="0" applyAlignment="0" applyProtection="0"/>
    <xf numFmtId="0" fontId="17" fillId="16" borderId="12" applyNumberFormat="0" applyAlignment="0" applyProtection="0"/>
    <xf numFmtId="0" fontId="18" fillId="17"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7" borderId="12" applyNumberFormat="0" applyAlignment="0" applyProtection="0"/>
    <xf numFmtId="0" fontId="25" fillId="0" borderId="17" applyNumberFormat="0" applyFill="0" applyAlignment="0" applyProtection="0"/>
    <xf numFmtId="0" fontId="26" fillId="7" borderId="0" applyNumberFormat="0" applyBorder="0" applyAlignment="0" applyProtection="0"/>
    <xf numFmtId="0" fontId="5" fillId="4" borderId="18" applyNumberFormat="0" applyFont="0" applyAlignment="0" applyProtection="0"/>
    <xf numFmtId="0" fontId="27" fillId="16"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4" fillId="0" borderId="0"/>
    <xf numFmtId="43" fontId="34"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39">
    <xf numFmtId="0" fontId="0" fillId="0" borderId="0" xfId="0"/>
    <xf numFmtId="0" fontId="0" fillId="0" borderId="0" xfId="0"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8" fillId="0" borderId="0" xfId="0" applyFont="1"/>
    <xf numFmtId="0" fontId="3" fillId="0" borderId="0" xfId="0" applyFont="1" applyAlignment="1">
      <alignment horizontal="center"/>
    </xf>
    <xf numFmtId="0" fontId="4" fillId="0" borderId="0" xfId="0" applyFont="1"/>
    <xf numFmtId="0" fontId="9" fillId="0" borderId="0" xfId="0" applyFont="1"/>
    <xf numFmtId="0" fontId="10" fillId="0" borderId="0" xfId="0" applyFont="1"/>
    <xf numFmtId="0" fontId="0" fillId="0" borderId="0" xfId="0" applyAlignment="1">
      <alignment horizontal="left"/>
    </xf>
    <xf numFmtId="3" fontId="0" fillId="0" borderId="0" xfId="0" applyNumberFormat="1" applyAlignment="1">
      <alignment horizontal="right"/>
    </xf>
    <xf numFmtId="0" fontId="11" fillId="0" borderId="0" xfId="0" applyFont="1" applyAlignment="1">
      <alignment horizontal="center"/>
    </xf>
    <xf numFmtId="0" fontId="7" fillId="0" borderId="0" xfId="0" applyFont="1" applyAlignment="1">
      <alignment horizontal="center"/>
    </xf>
    <xf numFmtId="1" fontId="0" fillId="0" borderId="0" xfId="0" applyNumberFormat="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5" fillId="0" borderId="0" xfId="0" applyNumberFormat="1" applyFont="1" applyAlignment="1">
      <alignment horizontal="center"/>
    </xf>
    <xf numFmtId="0" fontId="12" fillId="0" borderId="0" xfId="0" applyFont="1"/>
    <xf numFmtId="0" fontId="3" fillId="0" borderId="1" xfId="0" applyFont="1" applyBorder="1"/>
    <xf numFmtId="0" fontId="0" fillId="0" borderId="5" xfId="0" applyBorder="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10" fillId="0" borderId="0" xfId="0" applyFont="1" applyAlignment="1">
      <alignment horizontal="center"/>
    </xf>
    <xf numFmtId="0" fontId="9" fillId="0" borderId="0" xfId="0" applyFont="1" applyAlignment="1">
      <alignment horizontal="left"/>
    </xf>
    <xf numFmtId="0" fontId="0" fillId="0" borderId="2" xfId="0" applyBorder="1"/>
    <xf numFmtId="0" fontId="0" fillId="0" borderId="4" xfId="0" applyBorder="1"/>
    <xf numFmtId="38" fontId="0" fillId="0" borderId="0" xfId="0" applyNumberFormat="1" applyAlignment="1">
      <alignment horizontal="right"/>
    </xf>
    <xf numFmtId="0" fontId="0" fillId="0" borderId="8" xfId="0" applyBorder="1"/>
    <xf numFmtId="0" fontId="0" fillId="0" borderId="0" xfId="0" applyAlignment="1">
      <alignment horizontal="right"/>
    </xf>
    <xf numFmtId="0" fontId="6" fillId="0" borderId="0" xfId="0" applyFont="1"/>
    <xf numFmtId="0" fontId="3" fillId="0" borderId="0" xfId="0" applyFont="1" applyAlignment="1">
      <alignment horizontal="left"/>
    </xf>
    <xf numFmtId="0" fontId="3" fillId="0" borderId="2" xfId="0" applyFont="1" applyBorder="1"/>
    <xf numFmtId="0" fontId="0" fillId="0" borderId="3" xfId="0" applyBorder="1"/>
    <xf numFmtId="0" fontId="0" fillId="0" borderId="2" xfId="0" applyBorder="1" applyAlignment="1">
      <alignment horizontal="center"/>
    </xf>
    <xf numFmtId="0" fontId="0" fillId="0" borderId="7" xfId="0" applyBorder="1"/>
    <xf numFmtId="0" fontId="0" fillId="0" borderId="3" xfId="0" applyBorder="1" applyAlignment="1">
      <alignment horizontal="center"/>
    </xf>
    <xf numFmtId="0" fontId="0" fillId="0" borderId="9" xfId="0" applyBorder="1" applyAlignment="1">
      <alignment horizontal="center"/>
    </xf>
    <xf numFmtId="1" fontId="0" fillId="0" borderId="8" xfId="0" applyNumberFormat="1" applyBorder="1" applyAlignment="1">
      <alignment horizontal="center"/>
    </xf>
    <xf numFmtId="0" fontId="0" fillId="0" borderId="1" xfId="0" applyBorder="1" applyAlignment="1">
      <alignment horizontal="left"/>
    </xf>
    <xf numFmtId="38" fontId="0" fillId="0" borderId="0" xfId="0" applyNumberFormat="1"/>
    <xf numFmtId="0" fontId="5" fillId="0" borderId="9" xfId="0" applyFont="1" applyBorder="1" applyAlignment="1">
      <alignment horizontal="center"/>
    </xf>
    <xf numFmtId="164" fontId="5" fillId="0" borderId="10" xfId="28" applyNumberFormat="1" applyFont="1" applyBorder="1" applyAlignment="1">
      <alignment horizontal="right"/>
    </xf>
    <xf numFmtId="6" fontId="0" fillId="0" borderId="0" xfId="0" applyNumberFormat="1" applyAlignment="1">
      <alignment horizontal="center"/>
    </xf>
    <xf numFmtId="9" fontId="0" fillId="0" borderId="0" xfId="40" applyFont="1" applyBorder="1" applyAlignment="1">
      <alignment horizontal="center"/>
    </xf>
    <xf numFmtId="0" fontId="0" fillId="0" borderId="7" xfId="0" applyBorder="1" applyAlignment="1">
      <alignment horizontal="center"/>
    </xf>
    <xf numFmtId="0" fontId="0" fillId="0" borderId="10" xfId="0" applyBorder="1" applyAlignment="1">
      <alignment horizontal="center"/>
    </xf>
    <xf numFmtId="1" fontId="0" fillId="0" borderId="5" xfId="0" applyNumberFormat="1" applyBorder="1" applyAlignment="1">
      <alignment horizontal="center"/>
    </xf>
    <xf numFmtId="0" fontId="5" fillId="0" borderId="10" xfId="0" applyFont="1" applyBorder="1" applyAlignment="1">
      <alignment horizontal="center"/>
    </xf>
    <xf numFmtId="37" fontId="0" fillId="0" borderId="0" xfId="0" applyNumberFormat="1"/>
    <xf numFmtId="37" fontId="0" fillId="0" borderId="0" xfId="0" applyNumberFormat="1" applyAlignment="1">
      <alignment horizontal="center"/>
    </xf>
    <xf numFmtId="165" fontId="3" fillId="0" borderId="0" xfId="0" applyNumberFormat="1" applyFont="1"/>
    <xf numFmtId="9" fontId="5" fillId="0" borderId="10" xfId="40" applyFont="1" applyBorder="1" applyAlignment="1">
      <alignment horizontal="right"/>
    </xf>
    <xf numFmtId="0" fontId="0" fillId="0" borderId="1" xfId="0" applyBorder="1"/>
    <xf numFmtId="39" fontId="0" fillId="0" borderId="0" xfId="0" applyNumberFormat="1" applyAlignment="1">
      <alignment horizontal="center"/>
    </xf>
    <xf numFmtId="39" fontId="0" fillId="0" borderId="1" xfId="0" applyNumberFormat="1" applyBorder="1" applyAlignment="1">
      <alignment horizontal="center"/>
    </xf>
    <xf numFmtId="37" fontId="0" fillId="0" borderId="1" xfId="0" applyNumberForma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7" fontId="0" fillId="0" borderId="7" xfId="0" applyNumberFormat="1" applyBorder="1"/>
    <xf numFmtId="37" fontId="0" fillId="0" borderId="6" xfId="0" applyNumberFormat="1" applyBorder="1"/>
    <xf numFmtId="37" fontId="0" fillId="0" borderId="8" xfId="0" applyNumberFormat="1" applyBorder="1" applyAlignment="1">
      <alignment horizontal="center"/>
    </xf>
    <xf numFmtId="39" fontId="0" fillId="0" borderId="2" xfId="0" applyNumberFormat="1" applyBorder="1" applyAlignment="1">
      <alignment horizontal="center"/>
    </xf>
    <xf numFmtId="9" fontId="0" fillId="0" borderId="0" xfId="40" applyFont="1"/>
    <xf numFmtId="37" fontId="0" fillId="0" borderId="0" xfId="0" applyNumberFormat="1" applyAlignment="1">
      <alignment horizontal="right"/>
    </xf>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Font="1" applyBorder="1" applyAlignment="1">
      <alignment horizontal="right"/>
    </xf>
    <xf numFmtId="166" fontId="0" fillId="0" borderId="0" xfId="0" applyNumberFormat="1"/>
    <xf numFmtId="1" fontId="0" fillId="0" borderId="0" xfId="0" applyNumberFormat="1"/>
    <xf numFmtId="37" fontId="3" fillId="0" borderId="0" xfId="0" applyNumberFormat="1" applyFont="1" applyAlignment="1">
      <alignment horizontal="left"/>
    </xf>
    <xf numFmtId="38" fontId="13" fillId="0" borderId="0" xfId="0" applyNumberFormat="1" applyFont="1"/>
    <xf numFmtId="165" fontId="0" fillId="0" borderId="0" xfId="28" applyNumberFormat="1" applyFont="1" applyBorder="1"/>
    <xf numFmtId="165" fontId="0" fillId="0" borderId="0" xfId="28" applyNumberFormat="1" applyFont="1" applyBorder="1" applyAlignment="1">
      <alignment horizontal="center"/>
    </xf>
    <xf numFmtId="9" fontId="5" fillId="0" borderId="3" xfId="40" applyFont="1" applyBorder="1" applyAlignment="1">
      <alignment horizontal="center"/>
    </xf>
    <xf numFmtId="9" fontId="5" fillId="0" borderId="2" xfId="40" applyFont="1" applyFill="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3" fontId="0" fillId="0" borderId="0" xfId="28" applyNumberFormat="1" applyFont="1" applyBorder="1" applyAlignment="1">
      <alignment horizontal="right"/>
    </xf>
    <xf numFmtId="2" fontId="0" fillId="0" borderId="0" xfId="0" applyNumberFormat="1"/>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Alignment="1">
      <alignment horizontal="center"/>
    </xf>
    <xf numFmtId="165" fontId="5" fillId="0" borderId="0" xfId="28" applyNumberFormat="1" applyFont="1" applyBorder="1" applyAlignment="1"/>
    <xf numFmtId="6" fontId="0" fillId="0" borderId="0" xfId="0" applyNumberFormat="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37" fontId="4" fillId="0" borderId="0" xfId="0" applyNumberFormat="1" applyFont="1"/>
    <xf numFmtId="167" fontId="0" fillId="0" borderId="0" xfId="0" applyNumberFormat="1"/>
    <xf numFmtId="0" fontId="0" fillId="18" borderId="0" xfId="0" applyFill="1"/>
    <xf numFmtId="0" fontId="0" fillId="18" borderId="1" xfId="0" applyFill="1" applyBorder="1"/>
    <xf numFmtId="0" fontId="0" fillId="18" borderId="5" xfId="0" applyFill="1" applyBorder="1"/>
    <xf numFmtId="0" fontId="3" fillId="0" borderId="0" xfId="0" applyFont="1" applyAlignment="1">
      <alignment horizontal="right"/>
    </xf>
    <xf numFmtId="0" fontId="5" fillId="18" borderId="0" xfId="0" applyFont="1" applyFill="1"/>
    <xf numFmtId="0" fontId="3" fillId="18" borderId="6" xfId="0" applyFont="1" applyFill="1" applyBorder="1" applyAlignment="1">
      <alignment horizontal="right"/>
    </xf>
    <xf numFmtId="0" fontId="3" fillId="18" borderId="7" xfId="0" applyFont="1" applyFill="1" applyBorder="1" applyAlignment="1">
      <alignment horizontal="right"/>
    </xf>
    <xf numFmtId="0" fontId="3" fillId="18" borderId="8" xfId="0" applyFont="1" applyFill="1" applyBorder="1" applyAlignment="1">
      <alignment horizontal="right"/>
    </xf>
    <xf numFmtId="0" fontId="0" fillId="18" borderId="8" xfId="0" applyFill="1" applyBorder="1"/>
    <xf numFmtId="0" fontId="0" fillId="18" borderId="6" xfId="0" applyFill="1" applyBorder="1"/>
    <xf numFmtId="0" fontId="3" fillId="18" borderId="11" xfId="0" applyFont="1" applyFill="1" applyBorder="1" applyAlignment="1">
      <alignment horizontal="right"/>
    </xf>
    <xf numFmtId="0" fontId="0" fillId="18" borderId="2" xfId="0" applyFill="1" applyBorder="1"/>
    <xf numFmtId="0" fontId="0" fillId="18" borderId="3" xfId="0" applyFill="1" applyBorder="1"/>
    <xf numFmtId="0" fontId="0" fillId="18" borderId="4" xfId="0" applyFill="1" applyBorder="1"/>
    <xf numFmtId="0" fontId="5" fillId="18" borderId="0" xfId="0" applyFont="1" applyFill="1" applyAlignment="1">
      <alignment horizontal="center"/>
    </xf>
    <xf numFmtId="0" fontId="5" fillId="18" borderId="1" xfId="0" applyFont="1" applyFill="1" applyBorder="1"/>
    <xf numFmtId="0" fontId="5" fillId="18" borderId="21" xfId="0" applyFont="1" applyFill="1" applyBorder="1" applyAlignment="1">
      <alignment horizontal="center"/>
    </xf>
    <xf numFmtId="0" fontId="5" fillId="18" borderId="34" xfId="0" applyFont="1" applyFill="1" applyBorder="1" applyAlignment="1">
      <alignment horizontal="center"/>
    </xf>
    <xf numFmtId="0" fontId="5" fillId="18" borderId="35" xfId="0" applyFont="1" applyFill="1" applyBorder="1" applyAlignment="1">
      <alignment horizontal="center"/>
    </xf>
    <xf numFmtId="0" fontId="5" fillId="18" borderId="33" xfId="0" applyFont="1" applyFill="1" applyBorder="1" applyAlignment="1">
      <alignment horizontal="center"/>
    </xf>
    <xf numFmtId="0" fontId="36" fillId="18" borderId="36" xfId="0" applyFont="1" applyFill="1" applyBorder="1"/>
    <xf numFmtId="0" fontId="0" fillId="19" borderId="37" xfId="0" applyFill="1" applyBorder="1"/>
    <xf numFmtId="2" fontId="0" fillId="18" borderId="0" xfId="0" applyNumberFormat="1" applyFill="1"/>
    <xf numFmtId="2" fontId="0" fillId="18" borderId="5" xfId="0" applyNumberFormat="1" applyFill="1" applyBorder="1"/>
    <xf numFmtId="0" fontId="4" fillId="18" borderId="0" xfId="0" applyFont="1" applyFill="1"/>
    <xf numFmtId="0" fontId="36" fillId="18" borderId="0" xfId="0" applyFont="1" applyFill="1" applyAlignment="1">
      <alignment horizontal="right"/>
    </xf>
    <xf numFmtId="0" fontId="4" fillId="18" borderId="38" xfId="0" applyFont="1" applyFill="1" applyBorder="1" applyAlignment="1">
      <alignment horizontal="right"/>
    </xf>
    <xf numFmtId="0" fontId="36" fillId="18" borderId="39" xfId="0" applyFont="1" applyFill="1" applyBorder="1" applyAlignment="1">
      <alignment horizontal="right"/>
    </xf>
    <xf numFmtId="0" fontId="5" fillId="18" borderId="40" xfId="0" applyFont="1" applyFill="1" applyBorder="1"/>
    <xf numFmtId="0" fontId="0" fillId="18" borderId="41" xfId="0" applyFill="1" applyBorder="1"/>
    <xf numFmtId="0" fontId="0" fillId="18" borderId="0" xfId="0" applyFill="1" applyAlignment="1">
      <alignment wrapText="1"/>
    </xf>
    <xf numFmtId="0" fontId="0" fillId="18" borderId="0" xfId="0" applyFill="1" applyAlignment="1">
      <alignment horizontal="center"/>
    </xf>
    <xf numFmtId="0" fontId="0" fillId="18" borderId="2" xfId="0" applyFill="1" applyBorder="1" applyAlignment="1">
      <alignment wrapText="1"/>
    </xf>
    <xf numFmtId="9" fontId="5" fillId="18" borderId="3" xfId="40" applyFont="1" applyFill="1" applyBorder="1" applyAlignment="1">
      <alignment horizontal="center"/>
    </xf>
    <xf numFmtId="0" fontId="0" fillId="18" borderId="1" xfId="0" applyFill="1" applyBorder="1" applyAlignment="1">
      <alignment wrapText="1"/>
    </xf>
    <xf numFmtId="9" fontId="0" fillId="18" borderId="0" xfId="40" applyFont="1" applyFill="1" applyBorder="1" applyAlignment="1">
      <alignment horizontal="center"/>
    </xf>
    <xf numFmtId="0" fontId="0" fillId="18" borderId="6" xfId="0" applyFill="1" applyBorder="1" applyAlignment="1">
      <alignment wrapText="1"/>
    </xf>
    <xf numFmtId="9" fontId="0" fillId="18" borderId="7" xfId="40" applyFont="1" applyFill="1" applyBorder="1" applyAlignment="1">
      <alignment horizontal="center"/>
    </xf>
    <xf numFmtId="9" fontId="0" fillId="18" borderId="0" xfId="40" applyFont="1" applyFill="1"/>
    <xf numFmtId="165" fontId="0" fillId="18" borderId="0" xfId="28" applyNumberFormat="1" applyFont="1" applyFill="1" applyBorder="1" applyAlignment="1">
      <alignment horizontal="center" wrapText="1"/>
    </xf>
    <xf numFmtId="9" fontId="5" fillId="18" borderId="3" xfId="40" applyFont="1" applyFill="1" applyBorder="1" applyAlignment="1">
      <alignment horizontal="center" wrapText="1"/>
    </xf>
    <xf numFmtId="9" fontId="0" fillId="18" borderId="0" xfId="40" applyFont="1" applyFill="1" applyBorder="1" applyAlignment="1">
      <alignment horizontal="center" wrapText="1"/>
    </xf>
    <xf numFmtId="9" fontId="0" fillId="18" borderId="7" xfId="40" applyFont="1" applyFill="1" applyBorder="1" applyAlignment="1">
      <alignment horizontal="center" wrapText="1"/>
    </xf>
    <xf numFmtId="0" fontId="5" fillId="18" borderId="0" xfId="0" applyFont="1" applyFill="1" applyAlignment="1">
      <alignment wrapText="1"/>
    </xf>
    <xf numFmtId="0" fontId="3" fillId="18" borderId="0" xfId="0" applyFont="1" applyFill="1"/>
    <xf numFmtId="0" fontId="3" fillId="18" borderId="7" xfId="0" applyFont="1" applyFill="1" applyBorder="1"/>
    <xf numFmtId="0" fontId="3" fillId="18" borderId="7" xfId="0" applyFont="1" applyFill="1" applyBorder="1" applyAlignment="1">
      <alignment wrapText="1"/>
    </xf>
    <xf numFmtId="9" fontId="0" fillId="0" borderId="43" xfId="40" applyFont="1" applyBorder="1"/>
    <xf numFmtId="0" fontId="0" fillId="0" borderId="43" xfId="0" applyBorder="1"/>
    <xf numFmtId="166" fontId="5" fillId="0" borderId="43" xfId="0" applyNumberFormat="1" applyFont="1" applyBorder="1"/>
    <xf numFmtId="0" fontId="5" fillId="0" borderId="1" xfId="0" applyFont="1" applyBorder="1" applyAlignment="1">
      <alignment horizontal="left"/>
    </xf>
    <xf numFmtId="0" fontId="37" fillId="18" borderId="22" xfId="211" applyFont="1" applyFill="1" applyBorder="1"/>
    <xf numFmtId="2" fontId="37" fillId="18" borderId="24" xfId="211" applyNumberFormat="1" applyFont="1" applyFill="1" applyBorder="1"/>
    <xf numFmtId="0" fontId="5" fillId="18" borderId="0" xfId="211" applyFill="1"/>
    <xf numFmtId="0" fontId="5" fillId="18" borderId="0" xfId="211" applyFill="1" applyAlignment="1">
      <alignment horizontal="left"/>
    </xf>
    <xf numFmtId="0" fontId="3" fillId="18" borderId="10" xfId="211" applyFont="1" applyFill="1" applyBorder="1" applyAlignment="1">
      <alignment horizontal="right"/>
    </xf>
    <xf numFmtId="0" fontId="3" fillId="18" borderId="5" xfId="211" applyFont="1" applyFill="1" applyBorder="1" applyAlignment="1">
      <alignment horizontal="right"/>
    </xf>
    <xf numFmtId="0" fontId="3" fillId="18" borderId="5" xfId="211" applyFont="1" applyFill="1" applyBorder="1" applyAlignment="1">
      <alignment horizontal="center"/>
    </xf>
    <xf numFmtId="0" fontId="5" fillId="18" borderId="1" xfId="211" applyFill="1" applyBorder="1"/>
    <xf numFmtId="0" fontId="5" fillId="18" borderId="5" xfId="211" applyFill="1" applyBorder="1" applyAlignment="1">
      <alignment horizontal="right"/>
    </xf>
    <xf numFmtId="0" fontId="5" fillId="18" borderId="44" xfId="211" applyFill="1" applyBorder="1"/>
    <xf numFmtId="0" fontId="5" fillId="18" borderId="43" xfId="211" applyFill="1" applyBorder="1"/>
    <xf numFmtId="0" fontId="5" fillId="18" borderId="45" xfId="211" applyFill="1" applyBorder="1"/>
    <xf numFmtId="0" fontId="5" fillId="18" borderId="5" xfId="211" applyFill="1" applyBorder="1"/>
    <xf numFmtId="0" fontId="5" fillId="18" borderId="6" xfId="211" applyFill="1" applyBorder="1"/>
    <xf numFmtId="0" fontId="5" fillId="18" borderId="7" xfId="211" applyFill="1" applyBorder="1"/>
    <xf numFmtId="0" fontId="5" fillId="18" borderId="8" xfId="211" applyFill="1" applyBorder="1"/>
    <xf numFmtId="0" fontId="5" fillId="0" borderId="7" xfId="0" applyFont="1" applyBorder="1"/>
    <xf numFmtId="49" fontId="38" fillId="18" borderId="0" xfId="0" applyNumberFormat="1" applyFont="1" applyFill="1" applyAlignment="1">
      <alignment wrapText="1"/>
    </xf>
    <xf numFmtId="49" fontId="39" fillId="18" borderId="0" xfId="0" applyNumberFormat="1" applyFont="1" applyFill="1" applyAlignment="1">
      <alignment wrapText="1"/>
    </xf>
    <xf numFmtId="0" fontId="3" fillId="0" borderId="6" xfId="0" applyFont="1" applyBorder="1"/>
    <xf numFmtId="1" fontId="5" fillId="0" borderId="7" xfId="0" applyNumberFormat="1" applyFont="1" applyBorder="1" applyAlignment="1">
      <alignment horizontal="center"/>
    </xf>
    <xf numFmtId="0" fontId="0" fillId="0" borderId="6" xfId="0" applyBorder="1" applyAlignment="1">
      <alignment horizontal="left"/>
    </xf>
    <xf numFmtId="43" fontId="5" fillId="0" borderId="11" xfId="28" applyFont="1" applyBorder="1" applyAlignment="1">
      <alignment horizontal="right"/>
    </xf>
    <xf numFmtId="0" fontId="0" fillId="18" borderId="3" xfId="0" applyFill="1" applyBorder="1" applyAlignment="1">
      <alignment horizontal="center"/>
    </xf>
    <xf numFmtId="0" fontId="5" fillId="0" borderId="1" xfId="0" applyFont="1" applyBorder="1"/>
    <xf numFmtId="9" fontId="5" fillId="0" borderId="0" xfId="40" applyFont="1" applyAlignment="1">
      <alignment horizontal="right"/>
    </xf>
    <xf numFmtId="10" fontId="5" fillId="0" borderId="43" xfId="40" applyNumberFormat="1" applyFont="1" applyBorder="1" applyAlignment="1">
      <alignment horizontal="right"/>
    </xf>
    <xf numFmtId="0" fontId="9" fillId="18" borderId="0" xfId="0" applyFont="1" applyFill="1" applyAlignment="1">
      <alignment horizontal="left"/>
    </xf>
    <xf numFmtId="0" fontId="10" fillId="18" borderId="0" xfId="0" applyFont="1" applyFill="1"/>
    <xf numFmtId="0" fontId="10" fillId="18" borderId="0" xfId="0" applyFont="1" applyFill="1" applyAlignment="1">
      <alignment horizontal="center"/>
    </xf>
    <xf numFmtId="0" fontId="3" fillId="18" borderId="0" xfId="0" applyFont="1" applyFill="1" applyAlignment="1">
      <alignment horizontal="center"/>
    </xf>
    <xf numFmtId="37" fontId="0" fillId="18" borderId="0" xfId="0" applyNumberFormat="1" applyFill="1" applyAlignment="1">
      <alignment horizontal="center"/>
    </xf>
    <xf numFmtId="0" fontId="3" fillId="18" borderId="0" xfId="0" applyFont="1" applyFill="1" applyAlignment="1">
      <alignment horizontal="left"/>
    </xf>
    <xf numFmtId="0" fontId="3" fillId="18" borderId="0" xfId="0" applyFont="1" applyFill="1" applyAlignment="1">
      <alignment horizontal="right"/>
    </xf>
    <xf numFmtId="0" fontId="5" fillId="18" borderId="0" xfId="0" applyFont="1" applyFill="1" applyAlignment="1">
      <alignment horizontal="right"/>
    </xf>
    <xf numFmtId="165" fontId="5" fillId="18" borderId="0" xfId="28" applyNumberFormat="1" applyFont="1" applyFill="1" applyBorder="1" applyAlignment="1">
      <alignment horizontal="right"/>
    </xf>
    <xf numFmtId="165" fontId="0" fillId="18" borderId="0" xfId="28" applyNumberFormat="1" applyFont="1" applyFill="1" applyBorder="1" applyAlignment="1"/>
    <xf numFmtId="0" fontId="5" fillId="18" borderId="2" xfId="0" applyFont="1" applyFill="1" applyBorder="1" applyAlignment="1">
      <alignment horizontal="left"/>
    </xf>
    <xf numFmtId="166" fontId="0" fillId="18" borderId="3" xfId="40" applyNumberFormat="1" applyFont="1" applyFill="1" applyBorder="1" applyAlignment="1">
      <alignment horizontal="right"/>
    </xf>
    <xf numFmtId="166" fontId="0" fillId="18" borderId="25" xfId="0" applyNumberFormat="1" applyFill="1" applyBorder="1" applyAlignment="1">
      <alignment horizontal="right"/>
    </xf>
    <xf numFmtId="166" fontId="5" fillId="18" borderId="26" xfId="0" applyNumberFormat="1" applyFont="1" applyFill="1" applyBorder="1" applyAlignment="1">
      <alignment horizontal="right"/>
    </xf>
    <xf numFmtId="166" fontId="5" fillId="18" borderId="27" xfId="28" applyNumberFormat="1" applyFont="1" applyFill="1" applyBorder="1" applyAlignment="1">
      <alignment horizontal="right"/>
    </xf>
    <xf numFmtId="165" fontId="5" fillId="18" borderId="0" xfId="28" applyNumberFormat="1" applyFont="1" applyFill="1" applyBorder="1" applyAlignment="1"/>
    <xf numFmtId="0" fontId="0" fillId="18" borderId="1" xfId="0" applyFill="1" applyBorder="1" applyAlignment="1">
      <alignment horizontal="left"/>
    </xf>
    <xf numFmtId="166" fontId="0" fillId="18" borderId="0" xfId="40" applyNumberFormat="1" applyFont="1" applyFill="1" applyBorder="1" applyAlignment="1">
      <alignment horizontal="right"/>
    </xf>
    <xf numFmtId="166" fontId="0" fillId="18" borderId="28" xfId="0" applyNumberFormat="1" applyFill="1" applyBorder="1" applyAlignment="1">
      <alignment horizontal="right"/>
    </xf>
    <xf numFmtId="166" fontId="5" fillId="18" borderId="0" xfId="0" applyNumberFormat="1" applyFont="1" applyFill="1" applyAlignment="1">
      <alignment horizontal="right"/>
    </xf>
    <xf numFmtId="166" fontId="5" fillId="18" borderId="29" xfId="28" applyNumberFormat="1" applyFont="1" applyFill="1" applyBorder="1" applyAlignment="1">
      <alignment horizontal="right"/>
    </xf>
    <xf numFmtId="165" fontId="0" fillId="18" borderId="0" xfId="28" applyNumberFormat="1" applyFont="1" applyFill="1" applyBorder="1" applyAlignment="1">
      <alignment horizontal="right"/>
    </xf>
    <xf numFmtId="165" fontId="0" fillId="18" borderId="28" xfId="28" applyNumberFormat="1" applyFont="1" applyFill="1" applyBorder="1" applyAlignment="1">
      <alignment horizontal="right"/>
    </xf>
    <xf numFmtId="165" fontId="5" fillId="18" borderId="29" xfId="28" applyNumberFormat="1" applyFont="1" applyFill="1" applyBorder="1" applyAlignment="1">
      <alignment horizontal="right"/>
    </xf>
    <xf numFmtId="3" fontId="0" fillId="18" borderId="0" xfId="0" applyNumberFormat="1" applyFill="1" applyAlignment="1">
      <alignment horizontal="right"/>
    </xf>
    <xf numFmtId="0" fontId="5" fillId="18" borderId="6" xfId="0" applyFont="1" applyFill="1" applyBorder="1" applyAlignment="1">
      <alignment horizontal="left"/>
    </xf>
    <xf numFmtId="0" fontId="0" fillId="18" borderId="7" xfId="0" applyFill="1" applyBorder="1" applyAlignment="1">
      <alignment horizontal="center"/>
    </xf>
    <xf numFmtId="0" fontId="5" fillId="18" borderId="7" xfId="0" applyFont="1" applyFill="1" applyBorder="1" applyAlignment="1">
      <alignment horizontal="center"/>
    </xf>
    <xf numFmtId="0" fontId="0" fillId="18" borderId="7" xfId="0" applyFill="1" applyBorder="1"/>
    <xf numFmtId="166" fontId="0" fillId="18" borderId="7" xfId="0" applyNumberFormat="1" applyFill="1" applyBorder="1" applyAlignment="1">
      <alignment horizontal="right"/>
    </xf>
    <xf numFmtId="166" fontId="0" fillId="18" borderId="30" xfId="0" applyNumberFormat="1" applyFill="1" applyBorder="1" applyAlignment="1">
      <alignment horizontal="right"/>
    </xf>
    <xf numFmtId="166" fontId="0" fillId="18" borderId="31" xfId="0" applyNumberFormat="1" applyFill="1" applyBorder="1" applyAlignment="1">
      <alignment horizontal="right"/>
    </xf>
    <xf numFmtId="166" fontId="5" fillId="18" borderId="31" xfId="0" applyNumberFormat="1" applyFont="1" applyFill="1" applyBorder="1" applyAlignment="1">
      <alignment horizontal="right"/>
    </xf>
    <xf numFmtId="166" fontId="5" fillId="18" borderId="32" xfId="28" applyNumberFormat="1" applyFont="1" applyFill="1" applyBorder="1" applyAlignment="1">
      <alignment horizontal="right"/>
    </xf>
    <xf numFmtId="0" fontId="0" fillId="18" borderId="0" xfId="0" applyFill="1" applyAlignment="1">
      <alignment horizontal="right"/>
    </xf>
    <xf numFmtId="6" fontId="0" fillId="18" borderId="0" xfId="0" applyNumberFormat="1" applyFill="1" applyAlignment="1">
      <alignment horizontal="right"/>
    </xf>
    <xf numFmtId="166" fontId="0" fillId="18" borderId="0" xfId="0" applyNumberFormat="1" applyFill="1" applyAlignment="1">
      <alignment horizontal="right"/>
    </xf>
    <xf numFmtId="166" fontId="5" fillId="18" borderId="0" xfId="28" applyNumberFormat="1" applyFont="1" applyFill="1" applyBorder="1" applyAlignment="1">
      <alignment horizontal="right"/>
    </xf>
    <xf numFmtId="0" fontId="5" fillId="0" borderId="44" xfId="0" applyFont="1" applyBorder="1" applyAlignment="1">
      <alignment horizontal="left"/>
    </xf>
    <xf numFmtId="0" fontId="0" fillId="0" borderId="43" xfId="0"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5" fillId="0" borderId="7" xfId="0" applyFont="1" applyBorder="1" applyAlignment="1">
      <alignment horizontal="center"/>
    </xf>
    <xf numFmtId="165" fontId="0" fillId="0" borderId="8" xfId="28" applyNumberFormat="1" applyFont="1" applyFill="1" applyBorder="1" applyAlignment="1">
      <alignment horizontal="right"/>
    </xf>
    <xf numFmtId="37" fontId="0" fillId="18" borderId="0" xfId="0" applyNumberFormat="1" applyFill="1"/>
    <xf numFmtId="167" fontId="0" fillId="18" borderId="0" xfId="0" applyNumberFormat="1" applyFill="1"/>
    <xf numFmtId="37" fontId="0" fillId="18" borderId="0" xfId="0" applyNumberFormat="1" applyFill="1" applyAlignment="1">
      <alignment horizontal="right"/>
    </xf>
    <xf numFmtId="37" fontId="3" fillId="18" borderId="0" xfId="0" applyNumberFormat="1" applyFont="1" applyFill="1" applyAlignment="1">
      <alignment horizontal="left"/>
    </xf>
    <xf numFmtId="1" fontId="0" fillId="18" borderId="0" xfId="0" applyNumberFormat="1" applyFill="1"/>
    <xf numFmtId="37" fontId="0" fillId="18" borderId="7" xfId="0" applyNumberFormat="1" applyFill="1" applyBorder="1"/>
    <xf numFmtId="167" fontId="0" fillId="18" borderId="0" xfId="40" applyNumberFormat="1" applyFont="1" applyFill="1"/>
    <xf numFmtId="166" fontId="0" fillId="18" borderId="0" xfId="0" applyNumberFormat="1" applyFill="1"/>
    <xf numFmtId="37" fontId="0" fillId="18" borderId="7" xfId="0" applyNumberFormat="1" applyFill="1" applyBorder="1" applyAlignment="1">
      <alignment horizontal="center"/>
    </xf>
    <xf numFmtId="37" fontId="0" fillId="18" borderId="6" xfId="0" applyNumberFormat="1" applyFill="1" applyBorder="1"/>
    <xf numFmtId="39" fontId="0" fillId="18" borderId="1" xfId="0" applyNumberFormat="1" applyFill="1" applyBorder="1" applyAlignment="1">
      <alignment horizontal="center"/>
    </xf>
    <xf numFmtId="37" fontId="0" fillId="18" borderId="1" xfId="0" applyNumberFormat="1" applyFill="1" applyBorder="1" applyAlignment="1">
      <alignment horizontal="center"/>
    </xf>
    <xf numFmtId="0" fontId="3" fillId="18" borderId="36" xfId="0" applyFont="1" applyFill="1" applyBorder="1"/>
    <xf numFmtId="0" fontId="3" fillId="18" borderId="47" xfId="0" applyFont="1" applyFill="1" applyBorder="1" applyAlignment="1">
      <alignment horizontal="center"/>
    </xf>
    <xf numFmtId="0" fontId="3" fillId="18" borderId="37" xfId="0" applyFont="1" applyFill="1" applyBorder="1" applyAlignment="1">
      <alignment horizontal="center"/>
    </xf>
    <xf numFmtId="0" fontId="5" fillId="18" borderId="38" xfId="0" applyFont="1" applyFill="1" applyBorder="1"/>
    <xf numFmtId="168" fontId="0" fillId="18" borderId="49" xfId="0" applyNumberFormat="1" applyFill="1" applyBorder="1" applyAlignment="1">
      <alignment horizontal="center"/>
    </xf>
    <xf numFmtId="0" fontId="0" fillId="18" borderId="39" xfId="0" applyFill="1" applyBorder="1" applyAlignment="1">
      <alignment horizontal="center"/>
    </xf>
    <xf numFmtId="37" fontId="0" fillId="18" borderId="8" xfId="0" applyNumberFormat="1" applyFill="1" applyBorder="1" applyAlignment="1">
      <alignment horizontal="center"/>
    </xf>
    <xf numFmtId="37" fontId="0" fillId="18" borderId="6" xfId="0" applyNumberFormat="1" applyFill="1" applyBorder="1" applyAlignment="1">
      <alignment horizontal="center"/>
    </xf>
    <xf numFmtId="168" fontId="0" fillId="18" borderId="48" xfId="0" applyNumberFormat="1" applyFill="1" applyBorder="1" applyAlignment="1">
      <alignment horizontal="center"/>
    </xf>
    <xf numFmtId="0" fontId="0" fillId="18" borderId="41" xfId="0" applyFill="1" applyBorder="1" applyAlignment="1">
      <alignment horizontal="center"/>
    </xf>
    <xf numFmtId="39" fontId="0" fillId="18" borderId="2" xfId="0" applyNumberFormat="1" applyFill="1" applyBorder="1" applyAlignment="1">
      <alignment horizontal="center"/>
    </xf>
    <xf numFmtId="0" fontId="0" fillId="18" borderId="1" xfId="0" applyFill="1" applyBorder="1" applyAlignment="1">
      <alignment horizontal="center"/>
    </xf>
    <xf numFmtId="39" fontId="0" fillId="18" borderId="0" xfId="0" applyNumberFormat="1" applyFill="1" applyAlignment="1">
      <alignment horizontal="center"/>
    </xf>
    <xf numFmtId="168" fontId="0" fillId="18" borderId="0" xfId="0" applyNumberFormat="1" applyFill="1"/>
    <xf numFmtId="9" fontId="0" fillId="18" borderId="43" xfId="40" applyFont="1" applyFill="1" applyBorder="1"/>
    <xf numFmtId="0" fontId="0" fillId="18" borderId="43" xfId="0" applyFill="1" applyBorder="1"/>
    <xf numFmtId="166" fontId="5" fillId="18" borderId="43" xfId="0" applyNumberFormat="1" applyFont="1" applyFill="1" applyBorder="1"/>
    <xf numFmtId="166" fontId="5" fillId="18" borderId="0" xfId="0" applyNumberFormat="1" applyFont="1" applyFill="1"/>
    <xf numFmtId="167" fontId="5" fillId="18" borderId="0" xfId="0" applyNumberFormat="1" applyFont="1" applyFill="1"/>
    <xf numFmtId="9" fontId="5" fillId="18" borderId="0" xfId="0" applyNumberFormat="1" applyFont="1" applyFill="1"/>
    <xf numFmtId="0" fontId="5" fillId="18" borderId="44" xfId="0" applyFont="1" applyFill="1" applyBorder="1"/>
    <xf numFmtId="166" fontId="5" fillId="18" borderId="45" xfId="0" applyNumberFormat="1" applyFont="1" applyFill="1" applyBorder="1"/>
    <xf numFmtId="9" fontId="5" fillId="18" borderId="5" xfId="40" applyFont="1" applyFill="1" applyBorder="1"/>
    <xf numFmtId="166" fontId="5" fillId="18" borderId="5" xfId="0" applyNumberFormat="1" applyFont="1" applyFill="1" applyBorder="1"/>
    <xf numFmtId="0" fontId="5" fillId="18" borderId="6" xfId="0" applyFont="1" applyFill="1" applyBorder="1"/>
    <xf numFmtId="9" fontId="5" fillId="18" borderId="8" xfId="40" applyFont="1" applyFill="1" applyBorder="1"/>
    <xf numFmtId="168" fontId="0" fillId="18" borderId="0" xfId="0" applyNumberFormat="1" applyFill="1" applyAlignment="1">
      <alignment horizontal="center"/>
    </xf>
    <xf numFmtId="9" fontId="5" fillId="18" borderId="0" xfId="40" applyFont="1" applyFill="1" applyBorder="1"/>
    <xf numFmtId="0" fontId="42" fillId="0" borderId="10" xfId="0" applyFont="1" applyBorder="1" applyAlignment="1">
      <alignment horizontal="center"/>
    </xf>
    <xf numFmtId="168" fontId="42" fillId="0" borderId="0" xfId="0" applyNumberFormat="1" applyFont="1" applyAlignment="1">
      <alignment horizontal="center"/>
    </xf>
    <xf numFmtId="168" fontId="42" fillId="0" borderId="5" xfId="0" applyNumberFormat="1" applyFont="1" applyBorder="1" applyAlignment="1">
      <alignment horizontal="center"/>
    </xf>
    <xf numFmtId="0" fontId="42" fillId="0" borderId="0" xfId="0" applyFont="1" applyAlignment="1">
      <alignment horizontal="center"/>
    </xf>
    <xf numFmtId="0" fontId="42" fillId="0" borderId="5" xfId="0" applyFont="1" applyBorder="1" applyAlignment="1">
      <alignment horizontal="center"/>
    </xf>
    <xf numFmtId="9" fontId="42" fillId="0" borderId="0" xfId="40" applyFont="1" applyBorder="1" applyAlignment="1">
      <alignment horizontal="center"/>
    </xf>
    <xf numFmtId="9" fontId="42" fillId="0" borderId="5" xfId="40" applyFont="1" applyBorder="1" applyAlignment="1">
      <alignment horizontal="center"/>
    </xf>
    <xf numFmtId="9" fontId="43" fillId="0" borderId="0" xfId="40" applyFont="1" applyBorder="1" applyAlignment="1">
      <alignment horizontal="center"/>
    </xf>
    <xf numFmtId="0" fontId="42" fillId="0" borderId="11" xfId="0" applyFont="1" applyBorder="1" applyAlignment="1">
      <alignment horizontal="center"/>
    </xf>
    <xf numFmtId="9" fontId="42" fillId="0" borderId="7" xfId="40" applyFont="1" applyBorder="1" applyAlignment="1">
      <alignment horizontal="center"/>
    </xf>
    <xf numFmtId="9" fontId="42" fillId="0" borderId="8" xfId="40" applyFont="1" applyBorder="1" applyAlignment="1">
      <alignment horizontal="center"/>
    </xf>
    <xf numFmtId="0" fontId="0" fillId="21" borderId="0" xfId="0" applyFill="1"/>
    <xf numFmtId="0" fontId="41" fillId="21" borderId="0" xfId="0" applyFont="1" applyFill="1" applyAlignment="1">
      <alignment wrapText="1"/>
    </xf>
    <xf numFmtId="0" fontId="41" fillId="21" borderId="0" xfId="0" applyFont="1" applyFill="1"/>
    <xf numFmtId="0" fontId="42" fillId="18" borderId="0" xfId="0" applyFont="1" applyFill="1" applyAlignment="1">
      <alignment wrapText="1"/>
    </xf>
    <xf numFmtId="9" fontId="41" fillId="21" borderId="0" xfId="40" applyFont="1" applyFill="1" applyAlignment="1">
      <alignment horizontal="center"/>
    </xf>
    <xf numFmtId="9" fontId="42" fillId="18" borderId="7" xfId="40" applyFont="1" applyFill="1" applyBorder="1" applyAlignment="1">
      <alignment horizontal="center"/>
    </xf>
    <xf numFmtId="9" fontId="0" fillId="18" borderId="0" xfId="40" applyFont="1" applyFill="1" applyAlignment="1">
      <alignment horizontal="center"/>
    </xf>
    <xf numFmtId="0" fontId="42" fillId="18" borderId="0" xfId="0" applyFont="1" applyFill="1" applyAlignment="1">
      <alignment horizontal="left" wrapText="1"/>
    </xf>
    <xf numFmtId="9" fontId="5" fillId="18" borderId="46" xfId="40" applyFont="1" applyFill="1" applyBorder="1" applyAlignment="1">
      <alignment horizontal="center"/>
    </xf>
    <xf numFmtId="9" fontId="5" fillId="18" borderId="10" xfId="40" applyFont="1" applyFill="1" applyBorder="1" applyAlignment="1">
      <alignment horizontal="center"/>
    </xf>
    <xf numFmtId="9" fontId="5" fillId="18" borderId="11" xfId="40" applyFont="1" applyFill="1" applyBorder="1" applyAlignment="1">
      <alignment horizontal="center"/>
    </xf>
    <xf numFmtId="9" fontId="40" fillId="18" borderId="0" xfId="40" applyFont="1" applyFill="1" applyBorder="1" applyAlignment="1">
      <alignment horizontal="center"/>
    </xf>
    <xf numFmtId="9" fontId="40" fillId="18" borderId="7" xfId="40" applyFont="1" applyFill="1" applyBorder="1" applyAlignment="1">
      <alignment horizontal="center"/>
    </xf>
    <xf numFmtId="0" fontId="4" fillId="0" borderId="44" xfId="0" applyFont="1" applyBorder="1"/>
    <xf numFmtId="1" fontId="0" fillId="0" borderId="45" xfId="0" applyNumberFormat="1" applyBorder="1" applyAlignment="1">
      <alignment horizontal="center"/>
    </xf>
    <xf numFmtId="0" fontId="5" fillId="18" borderId="10" xfId="211" applyFill="1" applyBorder="1"/>
    <xf numFmtId="0" fontId="5" fillId="18" borderId="11" xfId="211" applyFill="1" applyBorder="1"/>
    <xf numFmtId="0" fontId="5" fillId="18" borderId="50" xfId="211" applyFill="1" applyBorder="1"/>
    <xf numFmtId="0" fontId="41" fillId="18" borderId="11" xfId="211" applyFont="1" applyFill="1" applyBorder="1"/>
    <xf numFmtId="0" fontId="41" fillId="18" borderId="50" xfId="211" applyFont="1" applyFill="1" applyBorder="1"/>
    <xf numFmtId="0" fontId="41" fillId="18" borderId="22" xfId="211" applyFont="1" applyFill="1" applyBorder="1"/>
    <xf numFmtId="0" fontId="41" fillId="18" borderId="24" xfId="211" applyFont="1" applyFill="1" applyBorder="1" applyAlignment="1">
      <alignment horizontal="right"/>
    </xf>
    <xf numFmtId="0" fontId="41" fillId="0" borderId="0" xfId="0" applyFont="1" applyAlignment="1">
      <alignment horizontal="center"/>
    </xf>
    <xf numFmtId="165" fontId="5" fillId="0" borderId="10" xfId="28" applyNumberFormat="1" applyBorder="1" applyAlignment="1">
      <alignment horizontal="right"/>
    </xf>
    <xf numFmtId="0" fontId="44" fillId="18" borderId="0" xfId="0" applyFont="1" applyFill="1"/>
    <xf numFmtId="0" fontId="45" fillId="0" borderId="0" xfId="0" applyFont="1"/>
    <xf numFmtId="165" fontId="0" fillId="0" borderId="0" xfId="0" applyNumberFormat="1"/>
    <xf numFmtId="0" fontId="45" fillId="0" borderId="0" xfId="0" applyFont="1" applyAlignment="1">
      <alignment horizontal="center"/>
    </xf>
    <xf numFmtId="0" fontId="46" fillId="0" borderId="1" xfId="0" applyFont="1" applyBorder="1"/>
    <xf numFmtId="0" fontId="47" fillId="0" borderId="0" xfId="0" applyFont="1"/>
    <xf numFmtId="0" fontId="48" fillId="0" borderId="0" xfId="0" applyFont="1"/>
    <xf numFmtId="0" fontId="48" fillId="0" borderId="0" xfId="0" applyFont="1" applyAlignment="1">
      <alignment horizontal="center"/>
    </xf>
    <xf numFmtId="0" fontId="49" fillId="0" borderId="0" xfId="0" applyFont="1"/>
    <xf numFmtId="0" fontId="50" fillId="18" borderId="0" xfId="0" applyFont="1" applyFill="1" applyAlignment="1">
      <alignment horizontal="left" vertical="center" wrapText="1" readingOrder="1"/>
    </xf>
    <xf numFmtId="0" fontId="51" fillId="18" borderId="0" xfId="0" applyFont="1" applyFill="1" applyAlignment="1">
      <alignment wrapText="1"/>
    </xf>
    <xf numFmtId="0" fontId="52" fillId="18" borderId="0" xfId="0" applyFont="1" applyFill="1" applyAlignment="1">
      <alignment horizontal="left" vertical="center" wrapText="1" readingOrder="1"/>
    </xf>
    <xf numFmtId="0" fontId="36" fillId="18" borderId="7" xfId="0" applyFont="1" applyFill="1" applyBorder="1" applyAlignment="1">
      <alignment wrapText="1"/>
    </xf>
    <xf numFmtId="0" fontId="52" fillId="18" borderId="0" xfId="0" applyFont="1" applyFill="1" applyAlignment="1">
      <alignment wrapText="1"/>
    </xf>
    <xf numFmtId="0" fontId="53" fillId="18" borderId="0" xfId="0" applyFont="1" applyFill="1" applyAlignment="1">
      <alignment wrapText="1"/>
    </xf>
    <xf numFmtId="0" fontId="54" fillId="18" borderId="0" xfId="0" applyFont="1" applyFill="1"/>
    <xf numFmtId="0" fontId="0" fillId="18" borderId="50" xfId="0" applyFill="1" applyBorder="1" applyAlignment="1">
      <alignment wrapText="1"/>
    </xf>
    <xf numFmtId="0" fontId="0" fillId="18" borderId="50" xfId="0" applyFill="1" applyBorder="1"/>
    <xf numFmtId="0" fontId="41" fillId="18" borderId="50" xfId="0" applyFont="1" applyFill="1" applyBorder="1" applyAlignment="1">
      <alignment wrapText="1"/>
    </xf>
    <xf numFmtId="43" fontId="5" fillId="0" borderId="0" xfId="28" applyFont="1" applyBorder="1" applyAlignment="1">
      <alignment horizontal="right"/>
    </xf>
    <xf numFmtId="0" fontId="41" fillId="0" borderId="0" xfId="0" applyFont="1"/>
    <xf numFmtId="0" fontId="55" fillId="0" borderId="2" xfId="0" applyFont="1" applyBorder="1"/>
    <xf numFmtId="0" fontId="55" fillId="0" borderId="1" xfId="0" applyFont="1" applyBorder="1"/>
    <xf numFmtId="0" fontId="42" fillId="0" borderId="0" xfId="0" applyFont="1" applyAlignment="1">
      <alignment horizontal="left"/>
    </xf>
    <xf numFmtId="0" fontId="42" fillId="0" borderId="0" xfId="0" quotePrefix="1" applyFont="1"/>
    <xf numFmtId="0" fontId="58" fillId="0" borderId="0" xfId="0" applyFont="1"/>
    <xf numFmtId="0" fontId="35" fillId="20" borderId="22" xfId="0" applyFont="1" applyFill="1" applyBorder="1" applyAlignment="1">
      <alignment horizontal="center"/>
    </xf>
    <xf numFmtId="0" fontId="35" fillId="20" borderId="23" xfId="0" applyFont="1" applyFill="1" applyBorder="1" applyAlignment="1">
      <alignment horizontal="center"/>
    </xf>
    <xf numFmtId="0" fontId="35" fillId="20" borderId="42" xfId="0" applyFont="1" applyFill="1" applyBorder="1" applyAlignment="1">
      <alignment horizontal="center"/>
    </xf>
    <xf numFmtId="0" fontId="5" fillId="18" borderId="2" xfId="0" applyFont="1" applyFill="1" applyBorder="1" applyAlignment="1">
      <alignment horizontal="center"/>
    </xf>
    <xf numFmtId="0" fontId="0" fillId="18" borderId="3" xfId="0" applyFill="1" applyBorder="1" applyAlignment="1">
      <alignment horizontal="center"/>
    </xf>
    <xf numFmtId="0" fontId="0" fillId="18" borderId="4" xfId="0" applyFill="1" applyBorder="1" applyAlignment="1">
      <alignment horizontal="center"/>
    </xf>
    <xf numFmtId="0" fontId="35" fillId="18" borderId="22" xfId="0" applyFont="1" applyFill="1" applyBorder="1" applyAlignment="1">
      <alignment horizontal="center"/>
    </xf>
    <xf numFmtId="0" fontId="35" fillId="18" borderId="23" xfId="0" applyFont="1" applyFill="1" applyBorder="1" applyAlignment="1">
      <alignment horizontal="center"/>
    </xf>
    <xf numFmtId="0" fontId="35" fillId="18" borderId="24" xfId="0" applyFont="1" applyFill="1" applyBorder="1" applyAlignment="1">
      <alignment horizontal="center"/>
    </xf>
    <xf numFmtId="0" fontId="5" fillId="18" borderId="22" xfId="211" applyFill="1" applyBorder="1" applyAlignment="1">
      <alignment horizontal="center"/>
    </xf>
    <xf numFmtId="0" fontId="5" fillId="18" borderId="23" xfId="211" applyFill="1" applyBorder="1" applyAlignment="1">
      <alignment horizontal="center"/>
    </xf>
    <xf numFmtId="0" fontId="5" fillId="18" borderId="24" xfId="211" applyFill="1" applyBorder="1" applyAlignment="1">
      <alignment horizontal="center"/>
    </xf>
    <xf numFmtId="0" fontId="42" fillId="0" borderId="0" xfId="0" applyFont="1" applyAlignment="1">
      <alignment wrapText="1"/>
    </xf>
    <xf numFmtId="14" fontId="0" fillId="0" borderId="0" xfId="0" applyNumberFormat="1"/>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5">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0.7</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7"/>
              <c:pt idx="0">
                <c:v>Combined Unc</c:v>
              </c:pt>
              <c:pt idx="1">
                <c:v>Prince Market Share</c:v>
              </c:pt>
              <c:pt idx="2">
                <c:v>Serf Market Share</c:v>
              </c:pt>
              <c:pt idx="3">
                <c:v>Niche Dilution</c:v>
              </c:pt>
              <c:pt idx="4">
                <c:v>King Market Share</c:v>
              </c:pt>
              <c:pt idx="5">
                <c:v>Exit Multiple (Sales)</c:v>
              </c:pt>
              <c:pt idx="6">
                <c:v>Niche Exit Mult Disc</c:v>
              </c:pt>
              <c:pt idx="7">
                <c:v>Niche Size - of sweetspot TAM</c:v>
              </c:pt>
              <c:pt idx="8">
                <c:v>Niche Market Share</c:v>
              </c:pt>
              <c:pt idx="9">
                <c:v>Sample</c:v>
              </c:pt>
              <c:pt idx="10">
                <c:v>International Multiplier</c:v>
              </c:pt>
              <c:pt idx="11">
                <c:v>Sample</c:v>
              </c:pt>
              <c:pt idx="12">
                <c:v>Sample</c:v>
              </c:pt>
              <c:pt idx="13">
                <c:v>Investment size</c:v>
              </c:pt>
              <c:pt idx="14">
                <c:v>Dilution</c:v>
              </c:pt>
              <c:pt idx="15">
                <c:v>Investment Amount</c:v>
              </c:pt>
              <c:pt idx="16">
                <c:v>Pre-money Valuation</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C35-B44D-BED3-FD2662CF8EF4}"/>
                </c:ext>
              </c:extLst>
            </c:dLbl>
            <c:dLbl>
              <c:idx val="1"/>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AC35-B44D-BED3-FD2662CF8EF4}"/>
                </c:ext>
              </c:extLst>
            </c:dLbl>
            <c:dLbl>
              <c:idx val="2"/>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C35-B44D-BED3-FD2662CF8EF4}"/>
                </c:ext>
              </c:extLst>
            </c:dLbl>
            <c:dLbl>
              <c:idx val="4"/>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AC35-B44D-BED3-FD2662CF8EF4}"/>
                </c:ext>
              </c:extLst>
            </c:dLbl>
            <c:dLbl>
              <c:idx val="5"/>
              <c:tx>
                <c:rich>
                  <a:bodyPr/>
                  <a:lstStyle/>
                  <a:p>
                    <a:r>
                      <a:rPr lang="en-US"/>
                      <a:t>20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AC35-B44D-BED3-FD2662CF8EF4}"/>
                </c:ext>
              </c:extLst>
            </c:dLbl>
            <c:dLbl>
              <c:idx val="6"/>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AC35-B44D-BED3-FD2662CF8EF4}"/>
                </c:ext>
              </c:extLst>
            </c:dLbl>
            <c:dLbl>
              <c:idx val="7"/>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AC35-B44D-BED3-FD2662CF8EF4}"/>
                </c:ext>
              </c:extLst>
            </c:dLbl>
            <c:dLbl>
              <c:idx val="8"/>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AC35-B44D-BED3-FD2662CF8EF4}"/>
                </c:ext>
              </c:extLst>
            </c:dLbl>
            <c:dLbl>
              <c:idx val="9"/>
              <c:tx>
                <c:rich>
                  <a:bodyPr/>
                  <a:lstStyle/>
                  <a:p>
                    <a:r>
                      <a:rPr lang="en-US"/>
                      <a:t>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AC35-B44D-BED3-FD2662CF8EF4}"/>
                </c:ext>
              </c:extLst>
            </c:dLbl>
            <c:dLbl>
              <c:idx val="10"/>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AC35-B44D-BED3-FD2662CF8EF4}"/>
                </c:ext>
              </c:extLst>
            </c:dLbl>
            <c:dLbl>
              <c:idx val="11"/>
              <c:tx>
                <c:rich>
                  <a:bodyPr/>
                  <a:lstStyle/>
                  <a:p>
                    <a:r>
                      <a:rPr lang="en-US"/>
                      <a:t>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AC35-B44D-BED3-FD2662CF8EF4}"/>
                </c:ext>
              </c:extLst>
            </c:dLbl>
            <c:dLbl>
              <c:idx val="12"/>
              <c:tx>
                <c:rich>
                  <a:bodyPr/>
                  <a:lstStyle/>
                  <a:p>
                    <a:r>
                      <a:rPr lang="en-US"/>
                      <a:t>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AC35-B44D-BED3-FD2662CF8EF4}"/>
                </c:ext>
              </c:extLst>
            </c:dLbl>
            <c:dLbl>
              <c:idx val="13"/>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AC35-B44D-BED3-FD2662CF8EF4}"/>
                </c:ext>
              </c:extLst>
            </c:dLbl>
            <c:dLbl>
              <c:idx val="14"/>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AC35-B44D-BED3-FD2662CF8EF4}"/>
                </c:ext>
              </c:extLst>
            </c:dLbl>
            <c:dLbl>
              <c:idx val="15"/>
              <c:tx>
                <c:rich>
                  <a:bodyPr/>
                  <a:lstStyle/>
                  <a:p>
                    <a:r>
                      <a:rPr lang="en-US"/>
                      <a:t>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AC35-B44D-BED3-FD2662CF8EF4}"/>
                </c:ext>
              </c:extLst>
            </c:dLbl>
            <c:dLbl>
              <c:idx val="16"/>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0"/>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Lit>
          </c:xVal>
          <c:yVal>
            <c:numLit>
              <c:formatCode>General</c:formatCode>
              <c:ptCount val="243"/>
              <c:pt idx="0">
                <c:v>9.765625E-4</c:v>
              </c:pt>
              <c:pt idx="1">
                <c:v>2.9296875E-3</c:v>
              </c:pt>
              <c:pt idx="2">
                <c:v>6.8359375E-3</c:v>
              </c:pt>
              <c:pt idx="3">
                <c:v>8.7890625E-3</c:v>
              </c:pt>
              <c:pt idx="4">
                <c:v>1.26953125E-2</c:v>
              </c:pt>
              <c:pt idx="5">
                <c:v>1.46484375E-2</c:v>
              </c:pt>
              <c:pt idx="6">
                <c:v>1.5625E-2</c:v>
              </c:pt>
              <c:pt idx="7">
                <c:v>1.7578125E-2</c:v>
              </c:pt>
              <c:pt idx="8">
                <c:v>2.1484375E-2</c:v>
              </c:pt>
              <c:pt idx="9">
                <c:v>2.34375E-2</c:v>
              </c:pt>
              <c:pt idx="10">
                <c:v>2.734375E-2</c:v>
              </c:pt>
              <c:pt idx="11">
                <c:v>2.9296875E-2</c:v>
              </c:pt>
              <c:pt idx="12">
                <c:v>3.3203125E-2</c:v>
              </c:pt>
              <c:pt idx="13">
                <c:v>4.1015625E-2</c:v>
              </c:pt>
              <c:pt idx="14">
                <c:v>4.4921875E-2</c:v>
              </c:pt>
              <c:pt idx="15">
                <c:v>4.6875E-2</c:v>
              </c:pt>
              <c:pt idx="16">
                <c:v>5.078125E-2</c:v>
              </c:pt>
              <c:pt idx="17">
                <c:v>5.859375E-2</c:v>
              </c:pt>
              <c:pt idx="18">
                <c:v>6.25E-2</c:v>
              </c:pt>
              <c:pt idx="19">
                <c:v>6.4453125E-2</c:v>
              </c:pt>
              <c:pt idx="20">
                <c:v>6.54296875E-2</c:v>
              </c:pt>
              <c:pt idx="21">
                <c:v>6.73828125E-2</c:v>
              </c:pt>
              <c:pt idx="22">
                <c:v>7.12890625E-2</c:v>
              </c:pt>
              <c:pt idx="23">
                <c:v>7.32421875E-2</c:v>
              </c:pt>
              <c:pt idx="24">
                <c:v>7.421875E-2</c:v>
              </c:pt>
              <c:pt idx="25">
                <c:v>7.6171875E-2</c:v>
              </c:pt>
              <c:pt idx="26">
                <c:v>7.71484375E-2</c:v>
              </c:pt>
              <c:pt idx="27">
                <c:v>7.91015625E-2</c:v>
              </c:pt>
              <c:pt idx="28">
                <c:v>8.30078125E-2</c:v>
              </c:pt>
              <c:pt idx="29">
                <c:v>8.49609375E-2</c:v>
              </c:pt>
              <c:pt idx="30">
                <c:v>8.88671875E-2</c:v>
              </c:pt>
              <c:pt idx="31">
                <c:v>9.66796875E-2</c:v>
              </c:pt>
              <c:pt idx="32">
                <c:v>0.1123046875</c:v>
              </c:pt>
              <c:pt idx="33">
                <c:v>0.1201171875</c:v>
              </c:pt>
              <c:pt idx="34">
                <c:v>0.1240234375</c:v>
              </c:pt>
              <c:pt idx="35">
                <c:v>0.1259765625</c:v>
              </c:pt>
              <c:pt idx="36">
                <c:v>0.1298828125</c:v>
              </c:pt>
              <c:pt idx="37">
                <c:v>0.1376953125</c:v>
              </c:pt>
              <c:pt idx="38">
                <c:v>0.1533203125</c:v>
              </c:pt>
              <c:pt idx="39">
                <c:v>0.1611328125</c:v>
              </c:pt>
              <c:pt idx="40">
                <c:v>0.1767578125</c:v>
              </c:pt>
              <c:pt idx="41">
                <c:v>0.1845703125</c:v>
              </c:pt>
              <c:pt idx="42">
                <c:v>0.1884765625</c:v>
              </c:pt>
              <c:pt idx="43">
                <c:v>0.1962890625</c:v>
              </c:pt>
              <c:pt idx="44">
                <c:v>0.2001953125</c:v>
              </c:pt>
              <c:pt idx="45">
                <c:v>0.2080078125</c:v>
              </c:pt>
              <c:pt idx="46">
                <c:v>0.2119140625</c:v>
              </c:pt>
              <c:pt idx="47">
                <c:v>0.2197265625</c:v>
              </c:pt>
              <c:pt idx="48">
                <c:v>0.2353515625</c:v>
              </c:pt>
              <c:pt idx="49">
                <c:v>0.2431640625</c:v>
              </c:pt>
              <c:pt idx="50">
                <c:v>0.2470703125</c:v>
              </c:pt>
              <c:pt idx="51">
                <c:v>0.2548828125</c:v>
              </c:pt>
              <c:pt idx="52">
                <c:v>0.2587890625</c:v>
              </c:pt>
              <c:pt idx="53">
                <c:v>0.2666015625</c:v>
              </c:pt>
              <c:pt idx="54">
                <c:v>0.2705078125</c:v>
              </c:pt>
              <c:pt idx="55">
                <c:v>0.2724609375</c:v>
              </c:pt>
              <c:pt idx="56">
                <c:v>0.2763671875</c:v>
              </c:pt>
              <c:pt idx="57">
                <c:v>0.2783203125</c:v>
              </c:pt>
              <c:pt idx="58">
                <c:v>0.2822265625</c:v>
              </c:pt>
              <c:pt idx="59">
                <c:v>0.2841796875</c:v>
              </c:pt>
              <c:pt idx="60">
                <c:v>0.28515625</c:v>
              </c:pt>
              <c:pt idx="61">
                <c:v>0.287109375</c:v>
              </c:pt>
              <c:pt idx="62">
                <c:v>0.2880859375</c:v>
              </c:pt>
              <c:pt idx="63">
                <c:v>0.2900390625</c:v>
              </c:pt>
              <c:pt idx="64">
                <c:v>0.291015625</c:v>
              </c:pt>
              <c:pt idx="65">
                <c:v>0.29296875</c:v>
              </c:pt>
              <c:pt idx="66">
                <c:v>0.296875</c:v>
              </c:pt>
              <c:pt idx="67">
                <c:v>0.298828125</c:v>
              </c:pt>
              <c:pt idx="68">
                <c:v>0.302734375</c:v>
              </c:pt>
              <c:pt idx="69">
                <c:v>0.3046875</c:v>
              </c:pt>
              <c:pt idx="70">
                <c:v>0.30859375</c:v>
              </c:pt>
              <c:pt idx="71">
                <c:v>0.310546875</c:v>
              </c:pt>
              <c:pt idx="72">
                <c:v>0.3115234375</c:v>
              </c:pt>
              <c:pt idx="73">
                <c:v>0.3134765625</c:v>
              </c:pt>
              <c:pt idx="74">
                <c:v>0.314453125</c:v>
              </c:pt>
              <c:pt idx="75">
                <c:v>0.31640625</c:v>
              </c:pt>
              <c:pt idx="76">
                <c:v>0.3203125</c:v>
              </c:pt>
              <c:pt idx="77">
                <c:v>0.322265625</c:v>
              </c:pt>
              <c:pt idx="78">
                <c:v>0.3232421875</c:v>
              </c:pt>
              <c:pt idx="79">
                <c:v>0.3251953125</c:v>
              </c:pt>
              <c:pt idx="80">
                <c:v>0.326171875</c:v>
              </c:pt>
              <c:pt idx="81">
                <c:v>0.328125</c:v>
              </c:pt>
              <c:pt idx="82">
                <c:v>0.3291015625</c:v>
              </c:pt>
              <c:pt idx="83">
                <c:v>0.3310546875</c:v>
              </c:pt>
              <c:pt idx="84">
                <c:v>0.3349609375</c:v>
              </c:pt>
              <c:pt idx="85">
                <c:v>0.3427734375</c:v>
              </c:pt>
              <c:pt idx="86">
                <c:v>0.3466796875</c:v>
              </c:pt>
              <c:pt idx="87">
                <c:v>0.3486328125</c:v>
              </c:pt>
              <c:pt idx="88">
                <c:v>0.349609375</c:v>
              </c:pt>
              <c:pt idx="89">
                <c:v>0.3515625</c:v>
              </c:pt>
              <c:pt idx="90">
                <c:v>0.35546875</c:v>
              </c:pt>
              <c:pt idx="91">
                <c:v>0.36328125</c:v>
              </c:pt>
              <c:pt idx="92">
                <c:v>0.3671875</c:v>
              </c:pt>
              <c:pt idx="93">
                <c:v>0.369140625</c:v>
              </c:pt>
              <c:pt idx="94">
                <c:v>0.373046875</c:v>
              </c:pt>
              <c:pt idx="95">
                <c:v>0.375</c:v>
              </c:pt>
              <c:pt idx="96">
                <c:v>0.37890625</c:v>
              </c:pt>
              <c:pt idx="97">
                <c:v>0.380859375</c:v>
              </c:pt>
              <c:pt idx="98">
                <c:v>0.384765625</c:v>
              </c:pt>
              <c:pt idx="99">
                <c:v>0.38671875</c:v>
              </c:pt>
              <c:pt idx="100">
                <c:v>0.390625</c:v>
              </c:pt>
              <c:pt idx="101">
                <c:v>0.392578125</c:v>
              </c:pt>
              <c:pt idx="102">
                <c:v>0.3935546875</c:v>
              </c:pt>
              <c:pt idx="103">
                <c:v>0.3955078125</c:v>
              </c:pt>
              <c:pt idx="104">
                <c:v>0.396484375</c:v>
              </c:pt>
              <c:pt idx="105">
                <c:v>0.3984375</c:v>
              </c:pt>
              <c:pt idx="106">
                <c:v>0.40234375</c:v>
              </c:pt>
              <c:pt idx="107">
                <c:v>0.404296875</c:v>
              </c:pt>
              <c:pt idx="108">
                <c:v>0.408203125</c:v>
              </c:pt>
              <c:pt idx="109">
                <c:v>0.41015625</c:v>
              </c:pt>
              <c:pt idx="110">
                <c:v>0.4140625</c:v>
              </c:pt>
              <c:pt idx="111">
                <c:v>0.421875</c:v>
              </c:pt>
              <c:pt idx="112">
                <c:v>0.42578125</c:v>
              </c:pt>
              <c:pt idx="113">
                <c:v>0.43359375</c:v>
              </c:pt>
              <c:pt idx="114">
                <c:v>0.4375</c:v>
              </c:pt>
              <c:pt idx="115">
                <c:v>0.4453125</c:v>
              </c:pt>
              <c:pt idx="116">
                <c:v>0.44921875</c:v>
              </c:pt>
              <c:pt idx="117">
                <c:v>0.45703125</c:v>
              </c:pt>
              <c:pt idx="118">
                <c:v>0.4609375</c:v>
              </c:pt>
              <c:pt idx="119">
                <c:v>0.46875</c:v>
              </c:pt>
              <c:pt idx="120">
                <c:v>0.484375</c:v>
              </c:pt>
              <c:pt idx="121">
                <c:v>0.515625</c:v>
              </c:pt>
              <c:pt idx="122">
                <c:v>0.53125</c:v>
              </c:pt>
              <c:pt idx="123">
                <c:v>0.5390625</c:v>
              </c:pt>
              <c:pt idx="124">
                <c:v>0.54296875</c:v>
              </c:pt>
              <c:pt idx="125">
                <c:v>0.55078125</c:v>
              </c:pt>
              <c:pt idx="126">
                <c:v>0.5546875</c:v>
              </c:pt>
              <c:pt idx="127">
                <c:v>0.5625</c:v>
              </c:pt>
              <c:pt idx="128">
                <c:v>0.56640625</c:v>
              </c:pt>
              <c:pt idx="129">
                <c:v>0.57421875</c:v>
              </c:pt>
              <c:pt idx="130">
                <c:v>0.578125</c:v>
              </c:pt>
              <c:pt idx="131">
                <c:v>0.5859375</c:v>
              </c:pt>
              <c:pt idx="132">
                <c:v>0.58984375</c:v>
              </c:pt>
              <c:pt idx="133">
                <c:v>0.591796875</c:v>
              </c:pt>
              <c:pt idx="134">
                <c:v>0.595703125</c:v>
              </c:pt>
              <c:pt idx="135">
                <c:v>0.59765625</c:v>
              </c:pt>
              <c:pt idx="136">
                <c:v>0.6015625</c:v>
              </c:pt>
              <c:pt idx="137">
                <c:v>0.603515625</c:v>
              </c:pt>
              <c:pt idx="138">
                <c:v>0.6044921875</c:v>
              </c:pt>
              <c:pt idx="139">
                <c:v>0.6064453125</c:v>
              </c:pt>
              <c:pt idx="140">
                <c:v>0.607421875</c:v>
              </c:pt>
              <c:pt idx="141">
                <c:v>0.609375</c:v>
              </c:pt>
              <c:pt idx="142">
                <c:v>0.61328125</c:v>
              </c:pt>
              <c:pt idx="143">
                <c:v>0.615234375</c:v>
              </c:pt>
              <c:pt idx="144">
                <c:v>0.619140625</c:v>
              </c:pt>
              <c:pt idx="145">
                <c:v>0.62109375</c:v>
              </c:pt>
              <c:pt idx="146">
                <c:v>0.625</c:v>
              </c:pt>
              <c:pt idx="147">
                <c:v>0.626953125</c:v>
              </c:pt>
              <c:pt idx="148">
                <c:v>0.630859375</c:v>
              </c:pt>
              <c:pt idx="149">
                <c:v>0.6328125</c:v>
              </c:pt>
              <c:pt idx="150">
                <c:v>0.63671875</c:v>
              </c:pt>
              <c:pt idx="151">
                <c:v>0.64453125</c:v>
              </c:pt>
              <c:pt idx="152">
                <c:v>0.6484375</c:v>
              </c:pt>
              <c:pt idx="153">
                <c:v>0.650390625</c:v>
              </c:pt>
              <c:pt idx="154">
                <c:v>0.6513671875</c:v>
              </c:pt>
              <c:pt idx="155">
                <c:v>0.6533203125</c:v>
              </c:pt>
              <c:pt idx="156">
                <c:v>0.6572265625</c:v>
              </c:pt>
              <c:pt idx="157">
                <c:v>0.6650390625</c:v>
              </c:pt>
              <c:pt idx="158">
                <c:v>0.6689453125</c:v>
              </c:pt>
              <c:pt idx="159">
                <c:v>0.6708984375</c:v>
              </c:pt>
              <c:pt idx="160">
                <c:v>0.671875</c:v>
              </c:pt>
              <c:pt idx="161">
                <c:v>0.673828125</c:v>
              </c:pt>
              <c:pt idx="162">
                <c:v>0.6748046875</c:v>
              </c:pt>
              <c:pt idx="163">
                <c:v>0.6767578125</c:v>
              </c:pt>
              <c:pt idx="164">
                <c:v>0.677734375</c:v>
              </c:pt>
              <c:pt idx="165">
                <c:v>0.6796875</c:v>
              </c:pt>
              <c:pt idx="166">
                <c:v>0.68359375</c:v>
              </c:pt>
              <c:pt idx="167">
                <c:v>0.685546875</c:v>
              </c:pt>
              <c:pt idx="168">
                <c:v>0.6865234375</c:v>
              </c:pt>
              <c:pt idx="169">
                <c:v>0.6884765625</c:v>
              </c:pt>
              <c:pt idx="170">
                <c:v>0.689453125</c:v>
              </c:pt>
              <c:pt idx="171">
                <c:v>0.69140625</c:v>
              </c:pt>
              <c:pt idx="172">
                <c:v>0.6953125</c:v>
              </c:pt>
              <c:pt idx="173">
                <c:v>0.697265625</c:v>
              </c:pt>
              <c:pt idx="174">
                <c:v>0.701171875</c:v>
              </c:pt>
              <c:pt idx="175">
                <c:v>0.703125</c:v>
              </c:pt>
              <c:pt idx="176">
                <c:v>0.70703125</c:v>
              </c:pt>
              <c:pt idx="177">
                <c:v>0.708984375</c:v>
              </c:pt>
              <c:pt idx="178">
                <c:v>0.7099609375</c:v>
              </c:pt>
              <c:pt idx="179">
                <c:v>0.7119140625</c:v>
              </c:pt>
              <c:pt idx="180">
                <c:v>0.712890625</c:v>
              </c:pt>
              <c:pt idx="181">
                <c:v>0.71484375</c:v>
              </c:pt>
              <c:pt idx="182">
                <c:v>0.7158203125</c:v>
              </c:pt>
              <c:pt idx="183">
                <c:v>0.7177734375</c:v>
              </c:pt>
              <c:pt idx="184">
                <c:v>0.7216796875</c:v>
              </c:pt>
              <c:pt idx="185">
                <c:v>0.7236328125</c:v>
              </c:pt>
              <c:pt idx="186">
                <c:v>0.7275390625</c:v>
              </c:pt>
              <c:pt idx="187">
                <c:v>0.7294921875</c:v>
              </c:pt>
              <c:pt idx="188">
                <c:v>0.7333984375</c:v>
              </c:pt>
              <c:pt idx="189">
                <c:v>0.7412109375</c:v>
              </c:pt>
              <c:pt idx="190">
                <c:v>0.7451171875</c:v>
              </c:pt>
              <c:pt idx="191">
                <c:v>0.7529296875</c:v>
              </c:pt>
              <c:pt idx="192">
                <c:v>0.7568359375</c:v>
              </c:pt>
              <c:pt idx="193">
                <c:v>0.7646484375</c:v>
              </c:pt>
              <c:pt idx="194">
                <c:v>0.7802734375</c:v>
              </c:pt>
              <c:pt idx="195">
                <c:v>0.7880859375</c:v>
              </c:pt>
              <c:pt idx="196">
                <c:v>0.7919921875</c:v>
              </c:pt>
              <c:pt idx="197">
                <c:v>0.7998046875</c:v>
              </c:pt>
              <c:pt idx="198">
                <c:v>0.8037109375</c:v>
              </c:pt>
              <c:pt idx="199">
                <c:v>0.8115234375</c:v>
              </c:pt>
              <c:pt idx="200">
                <c:v>0.8154296875</c:v>
              </c:pt>
              <c:pt idx="201">
                <c:v>0.8232421875</c:v>
              </c:pt>
              <c:pt idx="202">
                <c:v>0.8388671875</c:v>
              </c:pt>
              <c:pt idx="203">
                <c:v>0.8466796875</c:v>
              </c:pt>
              <c:pt idx="204">
                <c:v>0.8623046875</c:v>
              </c:pt>
              <c:pt idx="205">
                <c:v>0.8701171875</c:v>
              </c:pt>
              <c:pt idx="206">
                <c:v>0.8740234375</c:v>
              </c:pt>
              <c:pt idx="207">
                <c:v>0.8759765625</c:v>
              </c:pt>
              <c:pt idx="208">
                <c:v>0.8798828125</c:v>
              </c:pt>
              <c:pt idx="209">
                <c:v>0.8876953125</c:v>
              </c:pt>
              <c:pt idx="210">
                <c:v>0.9033203125</c:v>
              </c:pt>
              <c:pt idx="211">
                <c:v>0.9111328125</c:v>
              </c:pt>
              <c:pt idx="212">
                <c:v>0.9150390625</c:v>
              </c:pt>
              <c:pt idx="213">
                <c:v>0.9169921875</c:v>
              </c:pt>
              <c:pt idx="214">
                <c:v>0.9208984375</c:v>
              </c:pt>
              <c:pt idx="215">
                <c:v>0.9228515625</c:v>
              </c:pt>
              <c:pt idx="216">
                <c:v>0.923828125</c:v>
              </c:pt>
              <c:pt idx="217">
                <c:v>0.92578125</c:v>
              </c:pt>
              <c:pt idx="218">
                <c:v>0.9267578125</c:v>
              </c:pt>
              <c:pt idx="219">
                <c:v>0.9287109375</c:v>
              </c:pt>
              <c:pt idx="220">
                <c:v>0.9326171875</c:v>
              </c:pt>
              <c:pt idx="221">
                <c:v>0.9345703125</c:v>
              </c:pt>
              <c:pt idx="222">
                <c:v>0.935546875</c:v>
              </c:pt>
              <c:pt idx="223">
                <c:v>0.9375</c:v>
              </c:pt>
              <c:pt idx="224">
                <c:v>0.94140625</c:v>
              </c:pt>
              <c:pt idx="225">
                <c:v>0.94921875</c:v>
              </c:pt>
              <c:pt idx="226">
                <c:v>0.953125</c:v>
              </c:pt>
              <c:pt idx="227">
                <c:v>0.955078125</c:v>
              </c:pt>
              <c:pt idx="228">
                <c:v>0.958984375</c:v>
              </c:pt>
              <c:pt idx="229">
                <c:v>0.966796875</c:v>
              </c:pt>
              <c:pt idx="230">
                <c:v>0.970703125</c:v>
              </c:pt>
              <c:pt idx="231">
                <c:v>0.97265625</c:v>
              </c:pt>
              <c:pt idx="232">
                <c:v>0.9765625</c:v>
              </c:pt>
              <c:pt idx="233">
                <c:v>0.978515625</c:v>
              </c:pt>
              <c:pt idx="234">
                <c:v>0.982421875</c:v>
              </c:pt>
              <c:pt idx="235">
                <c:v>0.984375</c:v>
              </c:pt>
              <c:pt idx="236">
                <c:v>0.9853515625</c:v>
              </c:pt>
              <c:pt idx="237">
                <c:v>0.9873046875</c:v>
              </c:pt>
              <c:pt idx="238">
                <c:v>0.9912109375</c:v>
              </c:pt>
              <c:pt idx="239">
                <c:v>0.9931640625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50" b="0" i="0" baseline="0">
                    <a:effectLst/>
                  </a:rPr>
                  <a:t>Cumulative Probability</a:t>
                </a:r>
                <a:endParaRPr lang="en-US" sz="5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numCache>
            </c:numRef>
          </c:xVal>
          <c:yVal>
            <c:numRef>
              <c:f>'Full Distribution'!$S$6:$S$250</c:f>
              <c:numCache>
                <c:formatCode>General</c:formatCode>
                <c:ptCount val="245"/>
                <c:pt idx="0">
                  <c:v>0</c:v>
                </c:pt>
                <c:pt idx="1">
                  <c:v>0.73126143999999993</c:v>
                </c:pt>
                <c:pt idx="2">
                  <c:v>0.7315238799999999</c:v>
                </c:pt>
                <c:pt idx="3">
                  <c:v>0.73204875999999997</c:v>
                </c:pt>
                <c:pt idx="4">
                  <c:v>0.73309851999999998</c:v>
                </c:pt>
                <c:pt idx="5">
                  <c:v>0.73362339999999993</c:v>
                </c:pt>
                <c:pt idx="6">
                  <c:v>0.73467315999999994</c:v>
                </c:pt>
                <c:pt idx="7">
                  <c:v>0.73519803999999989</c:v>
                </c:pt>
                <c:pt idx="8">
                  <c:v>0.73546047999999997</c:v>
                </c:pt>
                <c:pt idx="9">
                  <c:v>0.73598535999999992</c:v>
                </c:pt>
                <c:pt idx="10">
                  <c:v>0.73703511999999993</c:v>
                </c:pt>
                <c:pt idx="11">
                  <c:v>0.73755999999999988</c:v>
                </c:pt>
                <c:pt idx="12">
                  <c:v>0.73860975999999989</c:v>
                </c:pt>
                <c:pt idx="13">
                  <c:v>0.73913463999999995</c:v>
                </c:pt>
                <c:pt idx="14">
                  <c:v>0.74018439999999996</c:v>
                </c:pt>
                <c:pt idx="15">
                  <c:v>0.74228391999999999</c:v>
                </c:pt>
                <c:pt idx="16">
                  <c:v>0.74333367999999989</c:v>
                </c:pt>
                <c:pt idx="17">
                  <c:v>0.74385855999999995</c:v>
                </c:pt>
                <c:pt idx="18">
                  <c:v>0.74490831999999996</c:v>
                </c:pt>
                <c:pt idx="19">
                  <c:v>0.74700783999999998</c:v>
                </c:pt>
                <c:pt idx="20">
                  <c:v>0.74805759999999999</c:v>
                </c:pt>
                <c:pt idx="21">
                  <c:v>0.74858247999999994</c:v>
                </c:pt>
                <c:pt idx="22">
                  <c:v>0.74884491999999991</c:v>
                </c:pt>
                <c:pt idx="23">
                  <c:v>0.74936979999999997</c:v>
                </c:pt>
                <c:pt idx="24">
                  <c:v>0.75041955999999999</c:v>
                </c:pt>
                <c:pt idx="25">
                  <c:v>0.75094443999999994</c:v>
                </c:pt>
                <c:pt idx="26">
                  <c:v>0.75120687999999991</c:v>
                </c:pt>
                <c:pt idx="27">
                  <c:v>0.75173175999999997</c:v>
                </c:pt>
                <c:pt idx="28">
                  <c:v>0.75199419999999995</c:v>
                </c:pt>
                <c:pt idx="29">
                  <c:v>0.7525190799999999</c:v>
                </c:pt>
                <c:pt idx="30">
                  <c:v>0.75356883999999991</c:v>
                </c:pt>
                <c:pt idx="31">
                  <c:v>0.75409371999999997</c:v>
                </c:pt>
                <c:pt idx="32">
                  <c:v>0.75514347999999998</c:v>
                </c:pt>
                <c:pt idx="33">
                  <c:v>0.75724299999999989</c:v>
                </c:pt>
                <c:pt idx="34">
                  <c:v>0.76144203999999993</c:v>
                </c:pt>
                <c:pt idx="35">
                  <c:v>0.76354155999999995</c:v>
                </c:pt>
                <c:pt idx="36">
                  <c:v>0.76459131999999996</c:v>
                </c:pt>
                <c:pt idx="37">
                  <c:v>0.76511619999999991</c:v>
                </c:pt>
                <c:pt idx="38">
                  <c:v>0.76616595999999992</c:v>
                </c:pt>
                <c:pt idx="39">
                  <c:v>0.76826547999999995</c:v>
                </c:pt>
                <c:pt idx="40">
                  <c:v>0.77246451999999999</c:v>
                </c:pt>
                <c:pt idx="41">
                  <c:v>0.7745640399999999</c:v>
                </c:pt>
                <c:pt idx="42">
                  <c:v>0.77876307999999994</c:v>
                </c:pt>
                <c:pt idx="43">
                  <c:v>0.78086259999999996</c:v>
                </c:pt>
                <c:pt idx="44">
                  <c:v>0.78191235999999997</c:v>
                </c:pt>
                <c:pt idx="45">
                  <c:v>0.78401187999999999</c:v>
                </c:pt>
                <c:pt idx="46">
                  <c:v>0.78506164000000001</c:v>
                </c:pt>
                <c:pt idx="47">
                  <c:v>0.78716115999999992</c:v>
                </c:pt>
                <c:pt idx="48">
                  <c:v>0.78821091999999993</c:v>
                </c:pt>
                <c:pt idx="49">
                  <c:v>0.79031043999999995</c:v>
                </c:pt>
                <c:pt idx="50">
                  <c:v>0.79450947999999999</c:v>
                </c:pt>
                <c:pt idx="51">
                  <c:v>0.7966089999999999</c:v>
                </c:pt>
                <c:pt idx="52">
                  <c:v>0.79765876000000002</c:v>
                </c:pt>
                <c:pt idx="53">
                  <c:v>0.79975827999999993</c:v>
                </c:pt>
                <c:pt idx="54">
                  <c:v>0.80080803999999994</c:v>
                </c:pt>
                <c:pt idx="55">
                  <c:v>0.80290755999999996</c:v>
                </c:pt>
                <c:pt idx="56">
                  <c:v>0.80395731999999998</c:v>
                </c:pt>
                <c:pt idx="57">
                  <c:v>0.80448219999999993</c:v>
                </c:pt>
                <c:pt idx="58">
                  <c:v>0.80553195999999994</c:v>
                </c:pt>
                <c:pt idx="59">
                  <c:v>0.80605684</c:v>
                </c:pt>
                <c:pt idx="60">
                  <c:v>0.80710660000000001</c:v>
                </c:pt>
                <c:pt idx="61">
                  <c:v>0.80763147999999996</c:v>
                </c:pt>
                <c:pt idx="62">
                  <c:v>0.80789391999999993</c:v>
                </c:pt>
                <c:pt idx="63">
                  <c:v>0.80841879999999999</c:v>
                </c:pt>
                <c:pt idx="64">
                  <c:v>0.80868123999999997</c:v>
                </c:pt>
                <c:pt idx="65">
                  <c:v>0.80920611999999992</c:v>
                </c:pt>
                <c:pt idx="66">
                  <c:v>0.80946856</c:v>
                </c:pt>
                <c:pt idx="67">
                  <c:v>0.80999343999999995</c:v>
                </c:pt>
                <c:pt idx="68">
                  <c:v>0.81104319999999996</c:v>
                </c:pt>
                <c:pt idx="69">
                  <c:v>0.81156808000000003</c:v>
                </c:pt>
                <c:pt idx="70">
                  <c:v>0.81261783999999992</c:v>
                </c:pt>
                <c:pt idx="71">
                  <c:v>0.81314271999999999</c:v>
                </c:pt>
                <c:pt idx="72">
                  <c:v>0.81419248</c:v>
                </c:pt>
                <c:pt idx="73">
                  <c:v>0.81471735999999995</c:v>
                </c:pt>
                <c:pt idx="74">
                  <c:v>0.81497979999999992</c:v>
                </c:pt>
                <c:pt idx="75">
                  <c:v>0.81550467999999998</c:v>
                </c:pt>
                <c:pt idx="76">
                  <c:v>0.81576711999999996</c:v>
                </c:pt>
                <c:pt idx="77">
                  <c:v>0.81629200000000002</c:v>
                </c:pt>
                <c:pt idx="78">
                  <c:v>0.81734175999999992</c:v>
                </c:pt>
                <c:pt idx="79">
                  <c:v>0.81786663999999998</c:v>
                </c:pt>
                <c:pt idx="80">
                  <c:v>0.81812907999999995</c:v>
                </c:pt>
                <c:pt idx="81">
                  <c:v>0.81865396000000001</c:v>
                </c:pt>
                <c:pt idx="82">
                  <c:v>0.81891639999999999</c:v>
                </c:pt>
                <c:pt idx="83">
                  <c:v>0.81944127999999994</c:v>
                </c:pt>
                <c:pt idx="84">
                  <c:v>0.81970371999999991</c:v>
                </c:pt>
                <c:pt idx="85">
                  <c:v>0.82022859999999997</c:v>
                </c:pt>
                <c:pt idx="86">
                  <c:v>0.82127835999999999</c:v>
                </c:pt>
                <c:pt idx="87">
                  <c:v>0.82337788000000001</c:v>
                </c:pt>
                <c:pt idx="88">
                  <c:v>0.82442764000000002</c:v>
                </c:pt>
                <c:pt idx="89">
                  <c:v>0.82495251999999997</c:v>
                </c:pt>
                <c:pt idx="90">
                  <c:v>0.82521495999999994</c:v>
                </c:pt>
                <c:pt idx="91">
                  <c:v>0.82573984</c:v>
                </c:pt>
                <c:pt idx="92">
                  <c:v>0.82678960000000001</c:v>
                </c:pt>
                <c:pt idx="93">
                  <c:v>0.82888911999999992</c:v>
                </c:pt>
                <c:pt idx="94">
                  <c:v>0.82993887999999993</c:v>
                </c:pt>
                <c:pt idx="95">
                  <c:v>0.83046376</c:v>
                </c:pt>
                <c:pt idx="96">
                  <c:v>0.83151352000000001</c:v>
                </c:pt>
                <c:pt idx="97">
                  <c:v>0.83203839999999996</c:v>
                </c:pt>
                <c:pt idx="98">
                  <c:v>0.83308815999999997</c:v>
                </c:pt>
                <c:pt idx="99">
                  <c:v>0.83361303999999992</c:v>
                </c:pt>
                <c:pt idx="100">
                  <c:v>0.83466280000000004</c:v>
                </c:pt>
                <c:pt idx="101">
                  <c:v>0.83518767999999999</c:v>
                </c:pt>
                <c:pt idx="102">
                  <c:v>0.83623744</c:v>
                </c:pt>
                <c:pt idx="103">
                  <c:v>0.83676231999999995</c:v>
                </c:pt>
                <c:pt idx="104">
                  <c:v>0.83702476000000003</c:v>
                </c:pt>
                <c:pt idx="105">
                  <c:v>0.83754963999999998</c:v>
                </c:pt>
                <c:pt idx="106">
                  <c:v>0.83781207999999996</c:v>
                </c:pt>
                <c:pt idx="107">
                  <c:v>0.83833696000000002</c:v>
                </c:pt>
                <c:pt idx="108">
                  <c:v>0.83938672000000003</c:v>
                </c:pt>
                <c:pt idx="109">
                  <c:v>0.83991159999999998</c:v>
                </c:pt>
                <c:pt idx="110">
                  <c:v>0.84096135999999999</c:v>
                </c:pt>
                <c:pt idx="111">
                  <c:v>0.84148623999999994</c:v>
                </c:pt>
                <c:pt idx="112">
                  <c:v>0.84253599999999995</c:v>
                </c:pt>
                <c:pt idx="113">
                  <c:v>0.84463551999999997</c:v>
                </c:pt>
                <c:pt idx="114">
                  <c:v>0.84568527999999998</c:v>
                </c:pt>
                <c:pt idx="115">
                  <c:v>0.84778480000000001</c:v>
                </c:pt>
                <c:pt idx="116">
                  <c:v>0.84883456000000002</c:v>
                </c:pt>
                <c:pt idx="117">
                  <c:v>0.85093408000000004</c:v>
                </c:pt>
                <c:pt idx="118">
                  <c:v>0.85198383999999994</c:v>
                </c:pt>
                <c:pt idx="119">
                  <c:v>0.85408335999999996</c:v>
                </c:pt>
                <c:pt idx="120">
                  <c:v>0.85513311999999997</c:v>
                </c:pt>
                <c:pt idx="121">
                  <c:v>0.85723263999999999</c:v>
                </c:pt>
                <c:pt idx="122">
                  <c:v>0.86143167999999992</c:v>
                </c:pt>
                <c:pt idx="123">
                  <c:v>0.86982976000000001</c:v>
                </c:pt>
                <c:pt idx="124">
                  <c:v>0.87402880000000005</c:v>
                </c:pt>
                <c:pt idx="125">
                  <c:v>0.87612831999999996</c:v>
                </c:pt>
                <c:pt idx="126">
                  <c:v>0.87717807999999997</c:v>
                </c:pt>
                <c:pt idx="127">
                  <c:v>0.87927759999999999</c:v>
                </c:pt>
                <c:pt idx="128">
                  <c:v>0.88032736</c:v>
                </c:pt>
                <c:pt idx="129">
                  <c:v>0.88242688000000002</c:v>
                </c:pt>
                <c:pt idx="130">
                  <c:v>0.88347664000000004</c:v>
                </c:pt>
                <c:pt idx="131">
                  <c:v>0.88557616000000006</c:v>
                </c:pt>
                <c:pt idx="132">
                  <c:v>0.88662591999999996</c:v>
                </c:pt>
                <c:pt idx="133">
                  <c:v>0.88872543999999998</c:v>
                </c:pt>
                <c:pt idx="134">
                  <c:v>0.88977519999999999</c:v>
                </c:pt>
                <c:pt idx="135">
                  <c:v>0.89030008000000005</c:v>
                </c:pt>
                <c:pt idx="136">
                  <c:v>0.89134983999999995</c:v>
                </c:pt>
                <c:pt idx="137">
                  <c:v>0.89187472000000001</c:v>
                </c:pt>
                <c:pt idx="138">
                  <c:v>0.89292448000000002</c:v>
                </c:pt>
                <c:pt idx="139">
                  <c:v>0.89344935999999997</c:v>
                </c:pt>
                <c:pt idx="140">
                  <c:v>0.89371179999999995</c:v>
                </c:pt>
                <c:pt idx="141">
                  <c:v>0.89423668000000001</c:v>
                </c:pt>
                <c:pt idx="142">
                  <c:v>0.89449911999999998</c:v>
                </c:pt>
                <c:pt idx="143">
                  <c:v>0.89502400000000004</c:v>
                </c:pt>
                <c:pt idx="144">
                  <c:v>0.89607375999999994</c:v>
                </c:pt>
                <c:pt idx="145">
                  <c:v>0.89659864</c:v>
                </c:pt>
                <c:pt idx="146">
                  <c:v>0.89764840000000001</c:v>
                </c:pt>
                <c:pt idx="147">
                  <c:v>0.89817327999999996</c:v>
                </c:pt>
                <c:pt idx="148">
                  <c:v>0.89922303999999997</c:v>
                </c:pt>
                <c:pt idx="149">
                  <c:v>0.89974792000000003</c:v>
                </c:pt>
                <c:pt idx="150">
                  <c:v>0.90079768000000005</c:v>
                </c:pt>
                <c:pt idx="151">
                  <c:v>0.90132255999999999</c:v>
                </c:pt>
                <c:pt idx="152">
                  <c:v>0.90237232000000001</c:v>
                </c:pt>
                <c:pt idx="153">
                  <c:v>0.90447184000000003</c:v>
                </c:pt>
                <c:pt idx="154">
                  <c:v>0.90552160000000004</c:v>
                </c:pt>
                <c:pt idx="155">
                  <c:v>0.90604647999999999</c:v>
                </c:pt>
                <c:pt idx="156">
                  <c:v>0.90630892000000007</c:v>
                </c:pt>
                <c:pt idx="157">
                  <c:v>0.90683380000000002</c:v>
                </c:pt>
                <c:pt idx="158">
                  <c:v>0.90788356000000003</c:v>
                </c:pt>
                <c:pt idx="159">
                  <c:v>0.90998307999999994</c:v>
                </c:pt>
                <c:pt idx="160">
                  <c:v>0.91103284000000007</c:v>
                </c:pt>
                <c:pt idx="161">
                  <c:v>0.91155772000000002</c:v>
                </c:pt>
                <c:pt idx="162">
                  <c:v>0.91182015999999999</c:v>
                </c:pt>
                <c:pt idx="163">
                  <c:v>0.91234504000000005</c:v>
                </c:pt>
                <c:pt idx="164">
                  <c:v>0.91260748000000003</c:v>
                </c:pt>
                <c:pt idx="165">
                  <c:v>0.91313235999999998</c:v>
                </c:pt>
                <c:pt idx="166">
                  <c:v>0.91339480000000006</c:v>
                </c:pt>
                <c:pt idx="167">
                  <c:v>0.91391968000000001</c:v>
                </c:pt>
                <c:pt idx="168">
                  <c:v>0.91496944000000002</c:v>
                </c:pt>
                <c:pt idx="169">
                  <c:v>0.91549432000000008</c:v>
                </c:pt>
                <c:pt idx="170">
                  <c:v>0.91575676000000006</c:v>
                </c:pt>
                <c:pt idx="171">
                  <c:v>0.91628164000000001</c:v>
                </c:pt>
                <c:pt idx="172">
                  <c:v>0.91654407999999998</c:v>
                </c:pt>
                <c:pt idx="173">
                  <c:v>0.91706896000000004</c:v>
                </c:pt>
                <c:pt idx="174">
                  <c:v>0.91811872000000005</c:v>
                </c:pt>
                <c:pt idx="175">
                  <c:v>0.9186436</c:v>
                </c:pt>
                <c:pt idx="176">
                  <c:v>0.91969336000000002</c:v>
                </c:pt>
                <c:pt idx="177">
                  <c:v>0.92021824000000008</c:v>
                </c:pt>
                <c:pt idx="178">
                  <c:v>0.92126799999999998</c:v>
                </c:pt>
                <c:pt idx="179">
                  <c:v>0.92179288000000004</c:v>
                </c:pt>
                <c:pt idx="180">
                  <c:v>0.92205532000000001</c:v>
                </c:pt>
                <c:pt idx="181">
                  <c:v>0.92258020000000007</c:v>
                </c:pt>
                <c:pt idx="182">
                  <c:v>0.92284264000000005</c:v>
                </c:pt>
                <c:pt idx="183">
                  <c:v>0.92336752</c:v>
                </c:pt>
                <c:pt idx="184">
                  <c:v>0.92362995999999997</c:v>
                </c:pt>
                <c:pt idx="185">
                  <c:v>0.92415484000000003</c:v>
                </c:pt>
                <c:pt idx="186">
                  <c:v>0.92520460000000004</c:v>
                </c:pt>
                <c:pt idx="187">
                  <c:v>0.92572947999999999</c:v>
                </c:pt>
                <c:pt idx="188">
                  <c:v>0.92677924</c:v>
                </c:pt>
                <c:pt idx="189">
                  <c:v>0.92730412000000007</c:v>
                </c:pt>
                <c:pt idx="190">
                  <c:v>0.92835387999999996</c:v>
                </c:pt>
                <c:pt idx="191">
                  <c:v>0.93045339999999999</c:v>
                </c:pt>
                <c:pt idx="192">
                  <c:v>0.93150316</c:v>
                </c:pt>
                <c:pt idx="193">
                  <c:v>0.93360268000000002</c:v>
                </c:pt>
                <c:pt idx="194">
                  <c:v>0.93465244000000003</c:v>
                </c:pt>
                <c:pt idx="195">
                  <c:v>0.93675196000000005</c:v>
                </c:pt>
                <c:pt idx="196">
                  <c:v>0.94095100000000009</c:v>
                </c:pt>
                <c:pt idx="197">
                  <c:v>0.94305052</c:v>
                </c:pt>
                <c:pt idx="198">
                  <c:v>0.94410028000000001</c:v>
                </c:pt>
                <c:pt idx="199">
                  <c:v>0.94619980000000004</c:v>
                </c:pt>
                <c:pt idx="200">
                  <c:v>0.94724956000000005</c:v>
                </c:pt>
                <c:pt idx="201">
                  <c:v>0.94934908000000007</c:v>
                </c:pt>
                <c:pt idx="202">
                  <c:v>0.95039884000000008</c:v>
                </c:pt>
                <c:pt idx="203">
                  <c:v>0.9524983600000001</c:v>
                </c:pt>
                <c:pt idx="204">
                  <c:v>0.95669740000000003</c:v>
                </c:pt>
                <c:pt idx="205">
                  <c:v>0.95879692000000005</c:v>
                </c:pt>
                <c:pt idx="206">
                  <c:v>0.96299595999999998</c:v>
                </c:pt>
                <c:pt idx="207">
                  <c:v>0.96509548000000001</c:v>
                </c:pt>
                <c:pt idx="208">
                  <c:v>0.96614524000000002</c:v>
                </c:pt>
                <c:pt idx="209">
                  <c:v>0.96667012000000008</c:v>
                </c:pt>
                <c:pt idx="210">
                  <c:v>0.96771987999999998</c:v>
                </c:pt>
                <c:pt idx="211">
                  <c:v>0.9698194</c:v>
                </c:pt>
                <c:pt idx="212">
                  <c:v>0.97401844000000004</c:v>
                </c:pt>
                <c:pt idx="213">
                  <c:v>0.97611796000000006</c:v>
                </c:pt>
                <c:pt idx="214">
                  <c:v>0.97716772000000007</c:v>
                </c:pt>
                <c:pt idx="215">
                  <c:v>0.97769260000000002</c:v>
                </c:pt>
                <c:pt idx="216">
                  <c:v>0.97874236000000003</c:v>
                </c:pt>
                <c:pt idx="217">
                  <c:v>0.97926723999999998</c:v>
                </c:pt>
                <c:pt idx="218">
                  <c:v>0.97952968000000007</c:v>
                </c:pt>
                <c:pt idx="219">
                  <c:v>0.98005456000000002</c:v>
                </c:pt>
                <c:pt idx="220">
                  <c:v>0.9803170000000001</c:v>
                </c:pt>
                <c:pt idx="221">
                  <c:v>0.98084188000000005</c:v>
                </c:pt>
                <c:pt idx="222">
                  <c:v>0.98189164000000007</c:v>
                </c:pt>
                <c:pt idx="223">
                  <c:v>0.98241652000000013</c:v>
                </c:pt>
                <c:pt idx="224">
                  <c:v>0.9826789600000001</c:v>
                </c:pt>
                <c:pt idx="225">
                  <c:v>0.98320384000000005</c:v>
                </c:pt>
                <c:pt idx="226">
                  <c:v>0.98425360000000006</c:v>
                </c:pt>
                <c:pt idx="227">
                  <c:v>0.98635311999999997</c:v>
                </c:pt>
                <c:pt idx="228">
                  <c:v>0.98740288000000009</c:v>
                </c:pt>
                <c:pt idx="229">
                  <c:v>0.98792776000000004</c:v>
                </c:pt>
                <c:pt idx="230">
                  <c:v>0.98897752000000005</c:v>
                </c:pt>
                <c:pt idx="231">
                  <c:v>0.99107704000000008</c:v>
                </c:pt>
                <c:pt idx="232">
                  <c:v>0.99212680000000009</c:v>
                </c:pt>
                <c:pt idx="233">
                  <c:v>0.99265168000000004</c:v>
                </c:pt>
                <c:pt idx="234">
                  <c:v>0.99370144000000005</c:v>
                </c:pt>
                <c:pt idx="235">
                  <c:v>0.99422632000000011</c:v>
                </c:pt>
                <c:pt idx="236">
                  <c:v>0.99527608000000001</c:v>
                </c:pt>
                <c:pt idx="237">
                  <c:v>0.99580096000000007</c:v>
                </c:pt>
                <c:pt idx="238">
                  <c:v>0.99606340000000004</c:v>
                </c:pt>
                <c:pt idx="239">
                  <c:v>0.9965882800000001</c:v>
                </c:pt>
                <c:pt idx="240">
                  <c:v>0.99763804</c:v>
                </c:pt>
                <c:pt idx="241">
                  <c:v>0.99816292000000006</c:v>
                </c:pt>
                <c:pt idx="242">
                  <c:v>0.99921268000000008</c:v>
                </c:pt>
                <c:pt idx="243">
                  <c:v>0.99973756000000003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100" b="0" i="0" baseline="0">
                    <a:effectLst/>
                  </a:rPr>
                  <a:t>Cumulative Probability</a:t>
                </a:r>
                <a:endParaRPr lang="en-US" sz="6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D$135" fmlaRange="$C$133:$C$134"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2</xdr:row>
          <xdr:rowOff>47625</xdr:rowOff>
        </xdr:from>
        <xdr:to>
          <xdr:col>2</xdr:col>
          <xdr:colOff>1628775</xdr:colOff>
          <xdr:row>3</xdr:row>
          <xdr:rowOff>47625</xdr:rowOff>
        </xdr:to>
        <xdr:sp macro="" textlink="">
          <xdr:nvSpPr>
            <xdr:cNvPr id="14337" name="Drop Dow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942975</xdr:colOff>
          <xdr:row>2</xdr:row>
          <xdr:rowOff>28575</xdr:rowOff>
        </xdr:from>
        <xdr:to>
          <xdr:col>2</xdr:col>
          <xdr:colOff>1304925</xdr:colOff>
          <xdr:row>4</xdr:row>
          <xdr:rowOff>142875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pple Chancery"/>
                </a:rPr>
                <a:t>Update Tornado</a:t>
              </a:r>
            </a:p>
          </xdr:txBody>
        </xdr:sp>
        <xdr:clientData fPrintsWithSheet="0"/>
      </xdr:twoCellAnchor>
    </mc:Choice>
    <mc:Fallback/>
  </mc:AlternateContent>
  <xdr:twoCellAnchor>
    <xdr:from>
      <xdr:col>0</xdr:col>
      <xdr:colOff>488950</xdr:colOff>
      <xdr:row>5</xdr:row>
      <xdr:rowOff>152400</xdr:rowOff>
    </xdr:from>
    <xdr:to>
      <xdr:col>15</xdr:col>
      <xdr:colOff>2311400</xdr:colOff>
      <xdr:row>89</xdr:row>
      <xdr:rowOff>57150</xdr:rowOff>
    </xdr:to>
    <xdr:graphicFrame macro="">
      <xdr:nvGraphicFramePr>
        <xdr:cNvPr id="2" name="Tornado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425450</xdr:colOff>
      <xdr:row>98</xdr:row>
      <xdr:rowOff>50800</xdr:rowOff>
    </xdr:from>
    <xdr:to>
      <xdr:col>10</xdr:col>
      <xdr:colOff>641350</xdr:colOff>
      <xdr:row>117</xdr:row>
      <xdr:rowOff>152400</xdr:rowOff>
    </xdr:to>
    <xdr:graphicFrame macro="">
      <xdr:nvGraphicFramePr>
        <xdr:cNvPr id="5" name="CDF">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638175</xdr:colOff>
          <xdr:row>6</xdr:row>
          <xdr:rowOff>47625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000" b="0" i="0" u="none" strike="noStrike" baseline="0">
                  <a:solidFill>
                    <a:srgbClr val="000000"/>
                  </a:solidFill>
                  <a:latin typeface="Apple Chancery"/>
                </a:rPr>
                <a:t>Evaluate Uncertainty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46084-66CD-4B30-8627-68859C2CA630}">
  <dimension ref="A1"/>
  <sheetViews>
    <sheetView workbookViewId="0"/>
  </sheetViews>
  <sheetFormatPr defaultColWidth="8.7109375" defaultRowHeight="12.7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9"/>
  <sheetViews>
    <sheetView showGridLines="0" tabSelected="1" zoomScale="110" zoomScaleNormal="110" zoomScalePageLayoutView="110" workbookViewId="0">
      <selection activeCell="A2" sqref="A2"/>
    </sheetView>
  </sheetViews>
  <sheetFormatPr defaultColWidth="8.7109375" defaultRowHeight="12.75"/>
  <cols>
    <col min="1" max="1" width="2.7109375" style="6" customWidth="1"/>
    <col min="2" max="2" width="2.7109375" style="2" customWidth="1"/>
    <col min="3" max="3" width="22.28515625" customWidth="1"/>
    <col min="4" max="4" width="8.85546875" style="1" customWidth="1"/>
    <col min="5" max="5" width="9.7109375" style="1" customWidth="1"/>
    <col min="6" max="6" width="9.28515625" customWidth="1"/>
    <col min="7" max="10" width="8.140625" style="1" customWidth="1"/>
    <col min="11" max="11" width="8.140625" customWidth="1"/>
    <col min="12" max="12" width="9.28515625" customWidth="1"/>
    <col min="13"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5" customFormat="1" ht="15.75">
      <c r="A1" s="303" t="s">
        <v>227</v>
      </c>
      <c r="B1" s="304"/>
      <c r="C1" s="305"/>
      <c r="D1" s="306"/>
      <c r="E1" s="306"/>
      <c r="F1" s="305"/>
      <c r="G1" s="306"/>
      <c r="H1" s="306"/>
      <c r="I1" s="306"/>
      <c r="J1" s="306"/>
      <c r="K1" s="306"/>
      <c r="L1" s="306"/>
      <c r="M1" s="306"/>
      <c r="N1" s="306"/>
    </row>
    <row r="2" spans="1:18">
      <c r="P2" s="76" t="s">
        <v>184</v>
      </c>
    </row>
    <row r="3" spans="1:18" s="10" customFormat="1" ht="15.75">
      <c r="A3" s="25" t="s">
        <v>39</v>
      </c>
      <c r="F3" s="24"/>
      <c r="G3" s="181"/>
      <c r="H3" s="183"/>
      <c r="I3" s="116"/>
      <c r="J3" s="184"/>
      <c r="K3" s="51"/>
      <c r="L3" s="51"/>
      <c r="M3" s="2"/>
      <c r="N3" s="2"/>
      <c r="P3" s="322" t="s">
        <v>204</v>
      </c>
    </row>
    <row r="4" spans="1:18" s="3" customFormat="1" ht="18" customHeight="1">
      <c r="B4" s="32" t="s">
        <v>8</v>
      </c>
      <c r="C4" s="2"/>
      <c r="D4" s="2"/>
      <c r="E4" s="2"/>
      <c r="F4" s="105" t="s">
        <v>9</v>
      </c>
      <c r="G4" s="187"/>
      <c r="H4" s="187"/>
      <c r="I4" s="187"/>
      <c r="J4" s="188"/>
      <c r="K4" s="93"/>
      <c r="L4" s="96"/>
      <c r="M4"/>
      <c r="N4"/>
      <c r="P4" s="323" t="s">
        <v>220</v>
      </c>
    </row>
    <row r="5" spans="1:18">
      <c r="A5" s="1"/>
      <c r="B5" s="218" t="s">
        <v>152</v>
      </c>
      <c r="C5" s="219"/>
      <c r="D5" s="219" t="s">
        <v>49</v>
      </c>
      <c r="E5" s="150"/>
      <c r="F5" s="220">
        <f>Q91</f>
        <v>0</v>
      </c>
      <c r="G5" s="216"/>
      <c r="H5" s="199"/>
      <c r="I5" s="199"/>
      <c r="J5" s="217"/>
      <c r="K5" s="96"/>
      <c r="L5" s="96"/>
      <c r="P5" s="41" t="s">
        <v>221</v>
      </c>
    </row>
    <row r="6" spans="1:18">
      <c r="A6" s="1"/>
      <c r="B6" s="40" t="s">
        <v>72</v>
      </c>
      <c r="C6" s="1"/>
      <c r="D6" s="1" t="s">
        <v>2</v>
      </c>
      <c r="E6"/>
      <c r="F6" s="221">
        <f>Q111</f>
        <v>0</v>
      </c>
      <c r="G6" s="216"/>
      <c r="H6" s="199"/>
      <c r="I6" s="199"/>
      <c r="J6" s="217"/>
      <c r="K6" s="96"/>
      <c r="L6" s="96"/>
    </row>
    <row r="7" spans="1:18" ht="12.75" customHeight="1">
      <c r="A7" s="1"/>
      <c r="B7" s="174" t="s">
        <v>73</v>
      </c>
      <c r="C7" s="46"/>
      <c r="D7" s="222" t="s">
        <v>18</v>
      </c>
      <c r="E7" s="36"/>
      <c r="F7" s="223">
        <f>E113</f>
        <v>0</v>
      </c>
      <c r="G7" s="201"/>
      <c r="H7" s="188"/>
      <c r="I7" s="188"/>
      <c r="J7" s="188"/>
      <c r="K7" s="96"/>
      <c r="L7" s="96"/>
      <c r="M7" s="30"/>
      <c r="N7" s="30"/>
    </row>
    <row r="8" spans="1:18">
      <c r="A8" s="12"/>
      <c r="B8" s="30"/>
      <c r="C8" s="1"/>
      <c r="E8"/>
      <c r="F8" s="97"/>
      <c r="G8" s="102"/>
      <c r="H8" s="102"/>
      <c r="I8" s="116"/>
      <c r="J8" s="195"/>
      <c r="K8" s="96"/>
      <c r="L8" s="96"/>
      <c r="P8" s="106"/>
    </row>
    <row r="9" spans="1:18">
      <c r="B9"/>
      <c r="D9" s="30"/>
      <c r="E9" s="12"/>
      <c r="F9" s="30"/>
      <c r="G9" s="28"/>
      <c r="H9"/>
      <c r="I9" s="4"/>
      <c r="J9" s="94"/>
      <c r="K9" s="96"/>
      <c r="L9" s="96"/>
    </row>
    <row r="10" spans="1:18" s="5" customFormat="1" ht="15.75">
      <c r="A10" s="9" t="s">
        <v>27</v>
      </c>
      <c r="B10" s="31"/>
      <c r="D10" s="14"/>
      <c r="F10" s="7">
        <v>1</v>
      </c>
      <c r="G10" s="7">
        <v>2</v>
      </c>
      <c r="H10" s="7">
        <v>3</v>
      </c>
      <c r="I10" s="7">
        <v>4</v>
      </c>
      <c r="J10" s="14"/>
      <c r="O10" s="297" t="s">
        <v>9</v>
      </c>
    </row>
    <row r="11" spans="1:18" s="2" customFormat="1">
      <c r="A11" s="6"/>
      <c r="B11" s="32"/>
      <c r="C11" s="32" t="s">
        <v>8</v>
      </c>
      <c r="D11" s="7" t="s">
        <v>10</v>
      </c>
      <c r="E11" s="7" t="s">
        <v>13</v>
      </c>
      <c r="F11" s="7" t="s">
        <v>14</v>
      </c>
      <c r="G11" s="7" t="s">
        <v>15</v>
      </c>
      <c r="H11" s="7" t="s">
        <v>16</v>
      </c>
      <c r="I11" s="7" t="s">
        <v>33</v>
      </c>
      <c r="J11" s="32" t="s">
        <v>34</v>
      </c>
      <c r="M11" s="2" t="s">
        <v>20</v>
      </c>
      <c r="O11" s="7" t="s">
        <v>12</v>
      </c>
      <c r="P11" s="7" t="s">
        <v>11</v>
      </c>
    </row>
    <row r="12" spans="1:18" ht="12" customHeight="1">
      <c r="B12" s="33"/>
      <c r="C12" s="34"/>
      <c r="D12" s="37"/>
      <c r="E12" s="38"/>
      <c r="F12" s="16"/>
      <c r="G12" s="16"/>
      <c r="H12" s="17"/>
      <c r="I12" s="35"/>
      <c r="J12" s="26"/>
      <c r="K12" s="34"/>
      <c r="L12" s="27"/>
      <c r="O12" s="42"/>
      <c r="P12" s="320"/>
      <c r="Q12" s="67"/>
      <c r="R12" s="3"/>
    </row>
    <row r="13" spans="1:18" ht="14.1" customHeight="1">
      <c r="B13" s="20" t="s">
        <v>7</v>
      </c>
      <c r="E13" s="47"/>
      <c r="F13" s="15"/>
      <c r="G13" s="15"/>
      <c r="H13" s="48"/>
      <c r="J13" s="40"/>
      <c r="L13" s="21"/>
      <c r="O13" s="49"/>
      <c r="P13" s="321"/>
      <c r="Q13" s="69"/>
      <c r="R13" s="3"/>
    </row>
    <row r="14" spans="1:18" ht="14.1" customHeight="1">
      <c r="B14" s="20"/>
      <c r="E14" s="47"/>
      <c r="F14" s="15"/>
      <c r="G14" s="15"/>
      <c r="H14" s="48"/>
      <c r="J14" s="40"/>
      <c r="L14" s="21"/>
      <c r="O14" s="49"/>
      <c r="P14" s="321"/>
      <c r="Q14" s="69"/>
      <c r="R14" s="3"/>
    </row>
    <row r="15" spans="1:18" ht="12" customHeight="1">
      <c r="B15" s="20"/>
      <c r="C15" t="s">
        <v>169</v>
      </c>
      <c r="D15" s="1" t="s">
        <v>183</v>
      </c>
      <c r="E15" s="264">
        <v>2</v>
      </c>
      <c r="F15" s="267">
        <v>0</v>
      </c>
      <c r="G15" s="267">
        <v>0</v>
      </c>
      <c r="H15" s="268">
        <v>0</v>
      </c>
      <c r="I15" s="18"/>
      <c r="J15" s="40"/>
      <c r="L15" s="21"/>
      <c r="O15" s="23">
        <v>0</v>
      </c>
      <c r="P15" s="321" t="s">
        <v>169</v>
      </c>
      <c r="Q15" s="69"/>
      <c r="R15" s="3"/>
    </row>
    <row r="16" spans="1:18" ht="12" customHeight="1">
      <c r="B16" s="20"/>
      <c r="C16" t="s">
        <v>169</v>
      </c>
      <c r="D16" s="1" t="s">
        <v>19</v>
      </c>
      <c r="E16" s="264">
        <v>2</v>
      </c>
      <c r="F16" s="269">
        <v>0</v>
      </c>
      <c r="G16" s="269">
        <v>0</v>
      </c>
      <c r="H16" s="270">
        <v>0</v>
      </c>
      <c r="I16" s="18"/>
      <c r="J16" s="152"/>
      <c r="L16" s="21"/>
      <c r="O16" s="53">
        <v>0</v>
      </c>
      <c r="P16" s="321" t="s">
        <v>169</v>
      </c>
      <c r="Q16" s="69"/>
      <c r="R16" s="3"/>
    </row>
    <row r="17" spans="2:18" ht="12" customHeight="1">
      <c r="B17" s="20"/>
      <c r="C17" t="s">
        <v>169</v>
      </c>
      <c r="D17" s="4" t="s">
        <v>18</v>
      </c>
      <c r="E17" s="264">
        <v>2</v>
      </c>
      <c r="F17" s="265">
        <v>0</v>
      </c>
      <c r="G17" s="265">
        <v>0</v>
      </c>
      <c r="H17" s="266">
        <v>0</v>
      </c>
      <c r="I17" s="18"/>
      <c r="J17" s="40"/>
      <c r="L17" s="21"/>
      <c r="O17" s="23">
        <v>0</v>
      </c>
      <c r="P17" s="321" t="s">
        <v>169</v>
      </c>
      <c r="Q17" s="69"/>
      <c r="R17" s="3"/>
    </row>
    <row r="18" spans="2:18" ht="14.1" customHeight="1">
      <c r="B18" s="20"/>
      <c r="E18" s="47"/>
      <c r="F18" s="15"/>
      <c r="G18" s="15"/>
      <c r="H18" s="48"/>
      <c r="J18" s="40"/>
      <c r="L18" s="21"/>
      <c r="O18" s="43"/>
      <c r="P18" s="321"/>
      <c r="Q18" s="69"/>
      <c r="R18" s="3"/>
    </row>
    <row r="19" spans="2:18" ht="14.1" customHeight="1">
      <c r="B19" s="20"/>
      <c r="C19" s="324" t="s">
        <v>205</v>
      </c>
      <c r="E19" s="47"/>
      <c r="F19" s="15"/>
      <c r="G19" s="15"/>
      <c r="H19" s="48"/>
      <c r="J19" s="40"/>
      <c r="L19" s="21"/>
      <c r="O19" s="43">
        <v>0</v>
      </c>
      <c r="P19" s="321"/>
      <c r="Q19" s="69"/>
      <c r="R19" s="3"/>
    </row>
    <row r="20" spans="2:18" ht="14.1" customHeight="1">
      <c r="B20" s="20"/>
      <c r="E20" s="47"/>
      <c r="F20" s="15"/>
      <c r="G20" s="15"/>
      <c r="H20" s="48"/>
      <c r="J20" s="40"/>
      <c r="L20" s="21"/>
      <c r="O20" s="43"/>
      <c r="P20" s="321"/>
      <c r="Q20" s="69"/>
      <c r="R20" s="3"/>
    </row>
    <row r="21" spans="2:18" ht="14.1" customHeight="1">
      <c r="B21" s="20"/>
      <c r="E21" s="47"/>
      <c r="F21" s="15"/>
      <c r="G21" s="15"/>
      <c r="H21" s="48"/>
      <c r="J21" s="40"/>
      <c r="L21" s="21"/>
      <c r="O21" s="43"/>
      <c r="P21" s="321"/>
      <c r="Q21" s="69"/>
      <c r="R21" s="3"/>
    </row>
    <row r="22" spans="2:18" ht="14.1" customHeight="1">
      <c r="B22" s="20"/>
      <c r="E22" s="47"/>
      <c r="F22" s="15"/>
      <c r="G22" s="15"/>
      <c r="H22" s="48"/>
      <c r="J22" s="40"/>
      <c r="L22" s="21"/>
      <c r="O22" s="43"/>
      <c r="P22" s="321"/>
      <c r="Q22" s="69"/>
      <c r="R22" s="3"/>
    </row>
    <row r="23" spans="2:18" ht="14.1" customHeight="1">
      <c r="B23" s="20"/>
      <c r="E23" s="47"/>
      <c r="F23" s="15"/>
      <c r="G23" s="15"/>
      <c r="H23" s="48"/>
      <c r="J23" s="40"/>
      <c r="L23" s="21"/>
      <c r="O23" s="43"/>
      <c r="P23" s="321"/>
      <c r="Q23" s="69"/>
      <c r="R23" s="3"/>
    </row>
    <row r="24" spans="2:18" ht="14.1" customHeight="1">
      <c r="B24" s="20"/>
      <c r="E24" s="47"/>
      <c r="F24" s="15"/>
      <c r="G24" s="15"/>
      <c r="H24" s="48"/>
      <c r="J24" s="40"/>
      <c r="L24" s="21"/>
      <c r="O24" s="43"/>
      <c r="P24" s="321"/>
      <c r="Q24" s="69"/>
      <c r="R24" s="3"/>
    </row>
    <row r="25" spans="2:18" ht="14.1" customHeight="1">
      <c r="B25" s="20"/>
      <c r="E25" s="47"/>
      <c r="F25" s="15"/>
      <c r="G25" s="15"/>
      <c r="H25" s="48"/>
      <c r="J25" s="40"/>
      <c r="L25" s="21"/>
      <c r="O25" s="43"/>
      <c r="P25" s="321"/>
      <c r="Q25" s="69"/>
      <c r="R25" s="3"/>
    </row>
    <row r="26" spans="2:18" ht="14.1" customHeight="1">
      <c r="B26" s="20"/>
      <c r="E26" s="47"/>
      <c r="F26" s="15"/>
      <c r="G26" s="15"/>
      <c r="H26" s="48"/>
      <c r="J26" s="40"/>
      <c r="L26" s="21"/>
      <c r="O26" s="43"/>
      <c r="P26" s="321"/>
      <c r="Q26" s="69"/>
      <c r="R26" s="3"/>
    </row>
    <row r="27" spans="2:18" ht="14.1" customHeight="1">
      <c r="B27" s="20"/>
      <c r="E27" s="47"/>
      <c r="F27" s="15"/>
      <c r="G27" s="15"/>
      <c r="H27" s="48"/>
      <c r="J27" s="40"/>
      <c r="L27" s="21"/>
      <c r="O27" s="43"/>
      <c r="P27" s="321"/>
      <c r="Q27" s="69"/>
      <c r="R27" s="3"/>
    </row>
    <row r="28" spans="2:18" ht="14.1" customHeight="1">
      <c r="B28" s="20"/>
      <c r="E28" s="47"/>
      <c r="F28" s="15"/>
      <c r="G28" s="15"/>
      <c r="H28" s="48"/>
      <c r="J28" s="40"/>
      <c r="L28" s="21"/>
      <c r="O28" s="43"/>
      <c r="P28" s="321"/>
      <c r="Q28" s="69"/>
      <c r="R28" s="3"/>
    </row>
    <row r="29" spans="2:18" ht="14.1" customHeight="1">
      <c r="B29" s="20"/>
      <c r="C29" s="324" t="s">
        <v>206</v>
      </c>
      <c r="E29" s="47"/>
      <c r="F29" s="15"/>
      <c r="G29" s="15"/>
      <c r="H29" s="48"/>
      <c r="J29" s="40"/>
      <c r="L29" s="21"/>
      <c r="O29" s="43">
        <v>0</v>
      </c>
      <c r="P29" s="321"/>
      <c r="Q29" s="69"/>
      <c r="R29" s="3"/>
    </row>
    <row r="30" spans="2:18" ht="14.1" customHeight="1">
      <c r="B30" s="20"/>
      <c r="E30" s="47"/>
      <c r="F30" s="15"/>
      <c r="G30" s="15"/>
      <c r="H30" s="48"/>
      <c r="J30" s="40"/>
      <c r="L30" s="21"/>
      <c r="O30" s="43"/>
      <c r="P30" s="321"/>
      <c r="Q30" s="69"/>
      <c r="R30" s="3"/>
    </row>
    <row r="31" spans="2:18" ht="14.1" customHeight="1">
      <c r="B31" s="20"/>
      <c r="E31" s="47"/>
      <c r="F31" s="15"/>
      <c r="G31" s="15"/>
      <c r="H31" s="48"/>
      <c r="J31" s="40"/>
      <c r="L31" s="21"/>
      <c r="O31" s="43"/>
      <c r="P31" s="321"/>
      <c r="Q31" s="69"/>
      <c r="R31" s="3"/>
    </row>
    <row r="32" spans="2:18" ht="14.1" customHeight="1">
      <c r="B32" s="20"/>
      <c r="E32" s="47"/>
      <c r="F32" s="15"/>
      <c r="G32" s="15"/>
      <c r="H32" s="48"/>
      <c r="J32" s="40"/>
      <c r="L32" s="21"/>
      <c r="O32" s="43"/>
      <c r="P32" s="321"/>
      <c r="Q32" s="69"/>
      <c r="R32" s="3"/>
    </row>
    <row r="33" spans="2:18" ht="14.1" customHeight="1">
      <c r="B33" s="20"/>
      <c r="E33" s="47"/>
      <c r="F33" s="15"/>
      <c r="G33" s="15"/>
      <c r="H33" s="48"/>
      <c r="J33" s="40"/>
      <c r="L33" s="21"/>
      <c r="O33" s="43"/>
      <c r="P33" s="321"/>
      <c r="Q33" s="69"/>
      <c r="R33" s="3"/>
    </row>
    <row r="34" spans="2:18" ht="14.1" customHeight="1">
      <c r="B34" s="20"/>
      <c r="E34" s="47"/>
      <c r="F34" s="15"/>
      <c r="G34" s="15"/>
      <c r="H34" s="48"/>
      <c r="J34" s="40"/>
      <c r="L34" s="21"/>
      <c r="O34" s="43"/>
      <c r="P34" s="321"/>
      <c r="Q34" s="69"/>
      <c r="R34" s="3"/>
    </row>
    <row r="35" spans="2:18" ht="14.1" customHeight="1">
      <c r="B35" s="20"/>
      <c r="E35" s="47"/>
      <c r="F35" s="15"/>
      <c r="G35" s="15"/>
      <c r="H35" s="48"/>
      <c r="J35" s="40"/>
      <c r="L35" s="21"/>
      <c r="O35" s="43"/>
      <c r="P35" s="321"/>
      <c r="Q35" s="69"/>
      <c r="R35" s="3"/>
    </row>
    <row r="36" spans="2:18" ht="14.1" customHeight="1">
      <c r="B36" s="20"/>
      <c r="E36" s="47"/>
      <c r="F36" s="15"/>
      <c r="G36" s="15"/>
      <c r="H36" s="48"/>
      <c r="J36" s="40"/>
      <c r="L36" s="21"/>
      <c r="O36" s="43"/>
      <c r="P36" s="321"/>
      <c r="Q36" s="69"/>
      <c r="R36" s="3"/>
    </row>
    <row r="37" spans="2:18" ht="14.1" customHeight="1">
      <c r="B37" s="20"/>
      <c r="E37" s="47"/>
      <c r="F37" s="15"/>
      <c r="G37" s="15"/>
      <c r="H37" s="48"/>
      <c r="J37" s="40"/>
      <c r="L37" s="21"/>
      <c r="O37" s="43"/>
      <c r="P37" s="321"/>
      <c r="Q37" s="69"/>
      <c r="R37" s="3"/>
    </row>
    <row r="38" spans="2:18" ht="14.1" customHeight="1">
      <c r="B38" s="20"/>
      <c r="E38" s="47"/>
      <c r="F38" s="15"/>
      <c r="G38" s="15"/>
      <c r="H38" s="48"/>
      <c r="J38" s="40"/>
      <c r="L38" s="21"/>
      <c r="O38" s="43"/>
      <c r="P38" s="321"/>
      <c r="Q38" s="69"/>
      <c r="R38" s="3"/>
    </row>
    <row r="39" spans="2:18" ht="12" customHeight="1">
      <c r="B39" s="20"/>
      <c r="C39" s="3" t="s">
        <v>170</v>
      </c>
      <c r="D39" s="1" t="s">
        <v>171</v>
      </c>
      <c r="E39" s="264">
        <v>2</v>
      </c>
      <c r="F39" s="267">
        <v>0.5</v>
      </c>
      <c r="G39" s="267">
        <v>1</v>
      </c>
      <c r="H39" s="268">
        <v>2</v>
      </c>
      <c r="I39" s="18"/>
      <c r="J39" s="40" t="s">
        <v>172</v>
      </c>
      <c r="L39" s="21"/>
      <c r="O39" s="298">
        <v>1</v>
      </c>
      <c r="P39" s="321" t="s">
        <v>173</v>
      </c>
      <c r="Q39" s="69"/>
      <c r="R39" s="3"/>
    </row>
    <row r="40" spans="2:18" ht="12" customHeight="1">
      <c r="B40" s="20"/>
      <c r="E40" s="264"/>
      <c r="F40" s="267"/>
      <c r="G40" s="267"/>
      <c r="H40" s="268"/>
      <c r="I40" s="18"/>
      <c r="J40" s="40"/>
      <c r="L40" s="21"/>
      <c r="O40" s="23"/>
      <c r="P40" s="68"/>
      <c r="Q40" s="69"/>
      <c r="R40" s="3"/>
    </row>
    <row r="41" spans="2:18" ht="12" customHeight="1">
      <c r="B41" s="20" t="s">
        <v>35</v>
      </c>
      <c r="E41" s="264"/>
      <c r="F41" s="267"/>
      <c r="G41" s="267"/>
      <c r="H41" s="268"/>
      <c r="I41" s="18"/>
      <c r="J41" s="40"/>
      <c r="L41" s="21"/>
      <c r="O41" s="43"/>
      <c r="P41" s="68"/>
      <c r="Q41" s="69"/>
      <c r="R41" s="3"/>
    </row>
    <row r="42" spans="2:18" ht="12" customHeight="1">
      <c r="B42" s="20"/>
      <c r="C42" t="s">
        <v>181</v>
      </c>
      <c r="D42" s="44" t="s">
        <v>18</v>
      </c>
      <c r="E42" s="264">
        <v>2</v>
      </c>
      <c r="F42" s="267">
        <v>1</v>
      </c>
      <c r="G42" s="267">
        <v>1</v>
      </c>
      <c r="H42" s="268">
        <v>1</v>
      </c>
      <c r="I42" s="18"/>
      <c r="J42" s="152" t="s">
        <v>143</v>
      </c>
      <c r="L42" s="21"/>
      <c r="O42" s="43">
        <v>1</v>
      </c>
      <c r="P42" s="68" t="s">
        <v>1</v>
      </c>
      <c r="Q42" s="69"/>
      <c r="R42" s="3"/>
    </row>
    <row r="43" spans="2:18" ht="12" customHeight="1">
      <c r="B43" s="20"/>
      <c r="C43" t="s">
        <v>63</v>
      </c>
      <c r="D43" s="1" t="s">
        <v>18</v>
      </c>
      <c r="E43" s="264">
        <v>2</v>
      </c>
      <c r="F43" s="267">
        <v>8</v>
      </c>
      <c r="G43" s="267">
        <v>12</v>
      </c>
      <c r="H43" s="268">
        <v>20</v>
      </c>
      <c r="I43" s="95"/>
      <c r="J43" s="152"/>
      <c r="L43" s="21"/>
      <c r="O43" s="23">
        <v>12</v>
      </c>
      <c r="P43" s="68" t="s">
        <v>21</v>
      </c>
      <c r="Q43" s="69"/>
      <c r="R43" s="3"/>
    </row>
    <row r="44" spans="2:18" ht="12" customHeight="1">
      <c r="B44" s="20"/>
      <c r="C44" t="s">
        <v>64</v>
      </c>
      <c r="D44" s="1" t="s">
        <v>18</v>
      </c>
      <c r="E44" s="264">
        <v>2</v>
      </c>
      <c r="F44" s="267">
        <v>2.5</v>
      </c>
      <c r="G44" s="267">
        <v>3</v>
      </c>
      <c r="H44" s="268">
        <v>3</v>
      </c>
      <c r="I44" s="18"/>
      <c r="J44" s="40"/>
      <c r="L44" s="21"/>
      <c r="O44" s="43">
        <v>3</v>
      </c>
      <c r="P44" s="68" t="s">
        <v>22</v>
      </c>
      <c r="Q44" s="69"/>
      <c r="R44" s="3"/>
    </row>
    <row r="45" spans="2:18" ht="12" customHeight="1">
      <c r="B45" s="20"/>
      <c r="C45" t="s">
        <v>24</v>
      </c>
      <c r="D45" s="1" t="s">
        <v>19</v>
      </c>
      <c r="E45" s="264">
        <v>2</v>
      </c>
      <c r="F45" s="269">
        <v>0.7</v>
      </c>
      <c r="G45" s="269">
        <v>0.8</v>
      </c>
      <c r="H45" s="270">
        <v>0.9</v>
      </c>
      <c r="I45" s="18"/>
      <c r="J45" s="152" t="s">
        <v>198</v>
      </c>
      <c r="L45" s="21"/>
      <c r="O45" s="53">
        <v>0.8</v>
      </c>
      <c r="P45" s="68" t="s">
        <v>24</v>
      </c>
      <c r="Q45" s="69"/>
      <c r="R45" s="3"/>
    </row>
    <row r="46" spans="2:18" ht="12" customHeight="1">
      <c r="B46" s="20"/>
      <c r="C46" t="s">
        <v>40</v>
      </c>
      <c r="D46" s="1" t="s">
        <v>19</v>
      </c>
      <c r="E46" s="264">
        <v>2</v>
      </c>
      <c r="F46" s="269">
        <v>0.4</v>
      </c>
      <c r="G46" s="269">
        <v>0.5</v>
      </c>
      <c r="H46" s="270">
        <v>0.75</v>
      </c>
      <c r="I46" s="18"/>
      <c r="J46" s="152" t="s">
        <v>142</v>
      </c>
      <c r="L46" s="21"/>
      <c r="O46" s="53">
        <v>0.5</v>
      </c>
      <c r="P46" s="68" t="s">
        <v>41</v>
      </c>
      <c r="Q46" s="69"/>
      <c r="R46" s="3"/>
    </row>
    <row r="47" spans="2:18" ht="12" customHeight="1">
      <c r="B47" s="20"/>
      <c r="E47" s="264"/>
      <c r="F47" s="267"/>
      <c r="G47" s="267"/>
      <c r="H47" s="268"/>
      <c r="I47" s="18"/>
      <c r="J47" s="40"/>
      <c r="L47" s="21"/>
      <c r="O47" s="23"/>
      <c r="P47" s="68"/>
      <c r="Q47" s="69"/>
      <c r="R47" s="3"/>
    </row>
    <row r="48" spans="2:18" ht="12" customHeight="1">
      <c r="B48" s="20" t="s">
        <v>25</v>
      </c>
      <c r="E48" s="264"/>
      <c r="F48" s="267"/>
      <c r="G48" s="267"/>
      <c r="H48" s="268"/>
      <c r="I48" s="18"/>
      <c r="J48" s="40" t="s">
        <v>197</v>
      </c>
      <c r="L48" s="21"/>
      <c r="O48" s="23"/>
      <c r="P48" s="68"/>
      <c r="Q48" s="69"/>
      <c r="R48" s="3"/>
    </row>
    <row r="49" spans="2:18" ht="12" customHeight="1">
      <c r="B49" s="20"/>
      <c r="C49" t="s">
        <v>222</v>
      </c>
      <c r="D49" s="1" t="s">
        <v>19</v>
      </c>
      <c r="E49" s="264">
        <v>2</v>
      </c>
      <c r="F49" s="269"/>
      <c r="G49" s="271">
        <v>0.1</v>
      </c>
      <c r="H49" s="270"/>
      <c r="I49" s="18"/>
      <c r="J49" s="152" t="s">
        <v>216</v>
      </c>
      <c r="L49" s="21"/>
      <c r="O49" s="53">
        <v>0.1</v>
      </c>
      <c r="P49" s="68" t="s">
        <v>218</v>
      </c>
      <c r="Q49" s="69"/>
      <c r="R49" s="3"/>
    </row>
    <row r="50" spans="2:18" ht="12" customHeight="1">
      <c r="B50" s="20"/>
      <c r="C50" t="s">
        <v>223</v>
      </c>
      <c r="D50" s="1" t="s">
        <v>19</v>
      </c>
      <c r="E50" s="264">
        <v>2</v>
      </c>
      <c r="F50" s="269"/>
      <c r="G50" s="269">
        <v>0.3</v>
      </c>
      <c r="H50" s="270"/>
      <c r="I50" s="18"/>
      <c r="J50" s="152" t="s">
        <v>217</v>
      </c>
      <c r="L50" s="21"/>
      <c r="O50" s="53">
        <v>0.3</v>
      </c>
      <c r="P50" s="68" t="s">
        <v>219</v>
      </c>
      <c r="Q50" s="69"/>
      <c r="R50" s="3"/>
    </row>
    <row r="51" spans="2:18" ht="12" customHeight="1">
      <c r="B51" s="20"/>
      <c r="E51" s="264"/>
      <c r="F51" s="269"/>
      <c r="G51" s="269"/>
      <c r="H51" s="270"/>
      <c r="I51" s="18"/>
      <c r="J51" s="40"/>
      <c r="L51" s="21"/>
      <c r="O51" s="53"/>
      <c r="P51" s="68"/>
      <c r="Q51" s="69"/>
      <c r="R51" s="3"/>
    </row>
    <row r="52" spans="2:18" ht="12" customHeight="1">
      <c r="B52" s="20" t="s">
        <v>58</v>
      </c>
      <c r="E52" s="264"/>
      <c r="F52" s="269"/>
      <c r="G52" s="269"/>
      <c r="H52" s="270"/>
      <c r="I52" s="18"/>
      <c r="J52" s="40"/>
      <c r="L52" s="21"/>
      <c r="O52" s="53"/>
      <c r="P52" s="68"/>
      <c r="Q52" s="69"/>
      <c r="R52" s="3"/>
    </row>
    <row r="53" spans="2:18" ht="12" customHeight="1">
      <c r="B53" s="20"/>
      <c r="C53" t="s">
        <v>224</v>
      </c>
      <c r="D53" s="1" t="s">
        <v>19</v>
      </c>
      <c r="E53" s="264">
        <v>2</v>
      </c>
      <c r="F53" s="269">
        <v>0.25</v>
      </c>
      <c r="G53" s="269">
        <v>0.35</v>
      </c>
      <c r="H53" s="270">
        <v>0.45</v>
      </c>
      <c r="I53" s="18"/>
      <c r="J53" s="152" t="s">
        <v>207</v>
      </c>
      <c r="L53" s="21"/>
      <c r="O53" s="53">
        <v>0.35</v>
      </c>
      <c r="P53" s="68" t="s">
        <v>210</v>
      </c>
      <c r="Q53" s="69"/>
      <c r="R53" s="3"/>
    </row>
    <row r="54" spans="2:18" ht="12" customHeight="1">
      <c r="B54" s="20"/>
      <c r="C54" t="s">
        <v>225</v>
      </c>
      <c r="D54" s="1" t="s">
        <v>19</v>
      </c>
      <c r="E54" s="264">
        <v>2</v>
      </c>
      <c r="F54" s="269">
        <v>0.05</v>
      </c>
      <c r="G54" s="269">
        <v>0.1</v>
      </c>
      <c r="H54" s="270">
        <v>0.15</v>
      </c>
      <c r="I54" s="18"/>
      <c r="J54" s="152" t="s">
        <v>208</v>
      </c>
      <c r="L54" s="21"/>
      <c r="O54" s="53">
        <v>0.1</v>
      </c>
      <c r="P54" s="68" t="s">
        <v>211</v>
      </c>
      <c r="Q54" s="69"/>
      <c r="R54" s="3"/>
    </row>
    <row r="55" spans="2:18">
      <c r="B55" s="20"/>
      <c r="C55" t="s">
        <v>226</v>
      </c>
      <c r="D55" s="1" t="s">
        <v>19</v>
      </c>
      <c r="E55" s="264">
        <v>2</v>
      </c>
      <c r="F55" s="269">
        <v>0.02</v>
      </c>
      <c r="G55" s="269">
        <v>0.03</v>
      </c>
      <c r="H55" s="270">
        <v>0.04</v>
      </c>
      <c r="I55" s="18"/>
      <c r="J55" s="152" t="s">
        <v>209</v>
      </c>
      <c r="K55" s="86"/>
      <c r="L55" s="21"/>
      <c r="O55" s="53">
        <v>0.03</v>
      </c>
      <c r="P55" s="68" t="s">
        <v>212</v>
      </c>
      <c r="Q55" s="69"/>
    </row>
    <row r="56" spans="2:18">
      <c r="B56" s="20"/>
      <c r="C56" t="s">
        <v>71</v>
      </c>
      <c r="D56" s="1" t="s">
        <v>19</v>
      </c>
      <c r="E56" s="264">
        <v>2</v>
      </c>
      <c r="F56" s="269">
        <v>0.1</v>
      </c>
      <c r="G56" s="269">
        <v>0.17</v>
      </c>
      <c r="H56" s="270">
        <v>0.25</v>
      </c>
      <c r="I56" s="18"/>
      <c r="J56" s="152" t="s">
        <v>142</v>
      </c>
      <c r="L56" s="21"/>
      <c r="O56" s="53">
        <v>0.17</v>
      </c>
      <c r="P56" s="68" t="s">
        <v>68</v>
      </c>
      <c r="Q56" s="69"/>
      <c r="R56" s="3"/>
    </row>
    <row r="57" spans="2:18">
      <c r="B57" s="20"/>
      <c r="C57" t="s">
        <v>69</v>
      </c>
      <c r="D57" s="1" t="s">
        <v>19</v>
      </c>
      <c r="E57" s="264">
        <v>2</v>
      </c>
      <c r="F57" s="269">
        <v>0.01</v>
      </c>
      <c r="G57" s="269">
        <v>0.03</v>
      </c>
      <c r="H57" s="270">
        <v>0.05</v>
      </c>
      <c r="I57" s="18"/>
      <c r="J57" s="152" t="s">
        <v>203</v>
      </c>
      <c r="L57" s="21"/>
      <c r="O57" s="53">
        <v>0.03</v>
      </c>
      <c r="P57" s="68" t="s">
        <v>70</v>
      </c>
      <c r="Q57" s="69"/>
      <c r="R57" s="3"/>
    </row>
    <row r="58" spans="2:18">
      <c r="B58" s="20"/>
      <c r="E58" s="264"/>
      <c r="F58" s="267"/>
      <c r="G58" s="267"/>
      <c r="H58" s="268"/>
      <c r="I58" s="18"/>
      <c r="J58" s="40"/>
      <c r="L58" s="21"/>
      <c r="O58" s="23"/>
      <c r="P58" s="68"/>
      <c r="Q58" s="69"/>
      <c r="R58" s="3"/>
    </row>
    <row r="59" spans="2:18">
      <c r="B59" s="20" t="s">
        <v>26</v>
      </c>
      <c r="E59" s="264"/>
      <c r="F59" s="267"/>
      <c r="G59" s="267"/>
      <c r="H59" s="268"/>
      <c r="I59" s="18"/>
      <c r="J59" s="40"/>
      <c r="L59" s="21"/>
      <c r="O59" s="23"/>
      <c r="P59" s="68"/>
      <c r="Q59" s="69"/>
      <c r="R59" s="3"/>
    </row>
    <row r="60" spans="2:18">
      <c r="B60" s="20"/>
      <c r="C60" t="s">
        <v>50</v>
      </c>
      <c r="D60" s="1" t="s">
        <v>2</v>
      </c>
      <c r="E60" s="264">
        <v>2</v>
      </c>
      <c r="F60" s="267">
        <v>5</v>
      </c>
      <c r="G60" s="267">
        <v>8</v>
      </c>
      <c r="H60" s="268">
        <v>20</v>
      </c>
      <c r="I60" s="18"/>
      <c r="J60" s="177" t="s">
        <v>151</v>
      </c>
      <c r="L60" s="21"/>
      <c r="O60" s="23">
        <v>8</v>
      </c>
      <c r="P60" s="68" t="s">
        <v>51</v>
      </c>
      <c r="Q60" s="69"/>
      <c r="R60" s="3"/>
    </row>
    <row r="61" spans="2:18">
      <c r="B61" s="20"/>
      <c r="C61" t="s">
        <v>44</v>
      </c>
      <c r="D61" s="1" t="s">
        <v>19</v>
      </c>
      <c r="E61" s="264">
        <v>2</v>
      </c>
      <c r="F61" s="269">
        <v>0.3</v>
      </c>
      <c r="G61" s="269">
        <v>0.5</v>
      </c>
      <c r="H61" s="270">
        <v>0.8</v>
      </c>
      <c r="I61" s="18"/>
      <c r="J61" s="152" t="s">
        <v>142</v>
      </c>
      <c r="L61" s="21"/>
      <c r="O61" s="72">
        <v>0.5</v>
      </c>
      <c r="P61" s="68" t="s">
        <v>42</v>
      </c>
      <c r="Q61" s="69"/>
      <c r="R61" s="3"/>
    </row>
    <row r="62" spans="2:18">
      <c r="B62" s="20"/>
      <c r="E62" s="264"/>
      <c r="F62" s="269"/>
      <c r="G62" s="269"/>
      <c r="H62" s="270"/>
      <c r="I62" s="18"/>
      <c r="J62" s="40"/>
      <c r="L62" s="21"/>
      <c r="O62" s="72"/>
      <c r="P62" s="68"/>
      <c r="Q62" s="69"/>
      <c r="R62" s="3"/>
    </row>
    <row r="63" spans="2:18">
      <c r="B63" s="172"/>
      <c r="C63" s="169"/>
      <c r="D63" s="46"/>
      <c r="E63" s="272"/>
      <c r="F63" s="273"/>
      <c r="G63" s="273"/>
      <c r="H63" s="274"/>
      <c r="I63" s="173"/>
      <c r="J63" s="174"/>
      <c r="K63" s="36"/>
      <c r="L63" s="29"/>
      <c r="M63" s="36"/>
      <c r="N63" s="36"/>
      <c r="O63" s="175"/>
      <c r="P63" s="70"/>
      <c r="Q63" s="71"/>
      <c r="R63" s="3"/>
    </row>
    <row r="64" spans="2:18">
      <c r="C64" s="3"/>
      <c r="E64" s="267"/>
      <c r="F64" s="269"/>
      <c r="G64" s="269"/>
      <c r="H64" s="269"/>
      <c r="I64" s="18"/>
      <c r="J64" s="11"/>
      <c r="O64" s="318"/>
      <c r="P64" s="8"/>
      <c r="Q64" s="3"/>
      <c r="R64" s="3"/>
    </row>
    <row r="65" spans="1:19">
      <c r="C65" s="3"/>
      <c r="E65" s="267"/>
      <c r="F65" s="269"/>
      <c r="G65" s="269"/>
      <c r="H65" s="269"/>
      <c r="I65" s="18"/>
      <c r="J65" s="11"/>
      <c r="O65" s="318"/>
      <c r="P65" s="8"/>
      <c r="Q65" s="3"/>
      <c r="R65" s="3"/>
    </row>
    <row r="66" spans="1:19">
      <c r="E66" s="22"/>
      <c r="F66" s="8"/>
      <c r="G66" s="8"/>
      <c r="I66" s="15"/>
      <c r="J66" s="15"/>
      <c r="K66" s="11"/>
      <c r="O66" s="4"/>
      <c r="P66" s="3"/>
      <c r="Q66" s="3"/>
      <c r="R66" s="3"/>
    </row>
    <row r="67" spans="1:19" ht="15.75">
      <c r="A67" s="9" t="s">
        <v>159</v>
      </c>
      <c r="E67" s="22"/>
      <c r="F67" s="8"/>
      <c r="G67" s="8"/>
      <c r="I67" s="15"/>
      <c r="J67" s="15"/>
      <c r="K67" s="11"/>
      <c r="O67" s="4"/>
      <c r="P67" s="3"/>
      <c r="Q67" s="3"/>
      <c r="R67" s="3"/>
    </row>
    <row r="68" spans="1:19" ht="15.75">
      <c r="A68" s="9"/>
      <c r="D68" s="1" t="s">
        <v>52</v>
      </c>
      <c r="E68" s="78" t="s">
        <v>53</v>
      </c>
      <c r="F68" s="1" t="s">
        <v>54</v>
      </c>
      <c r="G68" s="1" t="s">
        <v>55</v>
      </c>
      <c r="H68" s="1" t="s">
        <v>56</v>
      </c>
      <c r="I68" s="15" t="s">
        <v>11</v>
      </c>
      <c r="J68" s="15"/>
      <c r="K68" s="11"/>
      <c r="O68" s="4"/>
      <c r="P68" s="3"/>
      <c r="Q68" s="3"/>
    </row>
    <row r="69" spans="1:19">
      <c r="C69" s="26" t="s">
        <v>4</v>
      </c>
      <c r="D69" s="79">
        <f>'Life Stage Assessments'!D5</f>
        <v>0.9</v>
      </c>
      <c r="E69" s="79">
        <f>'Life Stage Assessments'!E5</f>
        <v>0.9</v>
      </c>
      <c r="F69" s="79">
        <f>'Life Stage Assessments'!F5</f>
        <v>0.9</v>
      </c>
      <c r="G69" s="79">
        <f>'Life Stage Assessments'!G5</f>
        <v>0.9</v>
      </c>
      <c r="H69" s="80">
        <f>D69*E69*F69*G69</f>
        <v>0.65610000000000013</v>
      </c>
      <c r="I69" s="288" t="s">
        <v>37</v>
      </c>
      <c r="J69" s="289"/>
      <c r="K69" s="11"/>
      <c r="O69" s="4"/>
      <c r="P69" s="3"/>
      <c r="Q69" s="3"/>
    </row>
    <row r="70" spans="1:19">
      <c r="C70" s="54" t="s">
        <v>0</v>
      </c>
      <c r="D70" s="45">
        <f>'Life Stage Assessments'!D6</f>
        <v>0.8</v>
      </c>
      <c r="E70" s="45">
        <f>'Life Stage Assessments'!E6</f>
        <v>0.8</v>
      </c>
      <c r="F70" s="45">
        <f>'Life Stage Assessments'!F6</f>
        <v>0.8</v>
      </c>
      <c r="G70" s="45">
        <f>'Life Stage Assessments'!G6</f>
        <v>0.8</v>
      </c>
      <c r="H70" s="81">
        <f t="shared" ref="H70:H71" si="0">D70*E70*F70*G70</f>
        <v>0.40960000000000013</v>
      </c>
      <c r="I70" s="68" t="s">
        <v>23</v>
      </c>
      <c r="J70" s="48"/>
      <c r="K70" s="11"/>
      <c r="L70" s="65"/>
      <c r="O70" s="4"/>
      <c r="P70" s="3"/>
      <c r="Q70" s="3"/>
    </row>
    <row r="71" spans="1:19">
      <c r="C71" s="82" t="s">
        <v>57</v>
      </c>
      <c r="D71" s="83">
        <f>'Life Stage Assessments'!D7</f>
        <v>0.7</v>
      </c>
      <c r="E71" s="83">
        <f>'Life Stage Assessments'!E7</f>
        <v>0.7</v>
      </c>
      <c r="F71" s="83">
        <f>'Life Stage Assessments'!F7</f>
        <v>0.7</v>
      </c>
      <c r="G71" s="83">
        <f>'Life Stage Assessments'!G7</f>
        <v>0.7</v>
      </c>
      <c r="H71" s="84">
        <f t="shared" si="0"/>
        <v>0.24009999999999992</v>
      </c>
      <c r="I71" s="70" t="s">
        <v>38</v>
      </c>
      <c r="J71" s="39"/>
      <c r="K71" s="11"/>
      <c r="L71" s="65"/>
      <c r="O71" s="4"/>
      <c r="P71" s="3"/>
      <c r="Q71" s="3"/>
    </row>
    <row r="72" spans="1:19">
      <c r="E72"/>
      <c r="F72" s="1"/>
      <c r="J72"/>
      <c r="M72" s="13"/>
      <c r="N72" s="13"/>
      <c r="O72" s="13"/>
      <c r="P72" s="19"/>
      <c r="Q72" s="19"/>
    </row>
    <row r="73" spans="1:19">
      <c r="E73"/>
      <c r="F73" s="1"/>
      <c r="J73"/>
      <c r="M73" s="13"/>
      <c r="N73" s="19"/>
      <c r="O73" s="3"/>
      <c r="S73" s="3"/>
    </row>
    <row r="74" spans="1:19" ht="15.75">
      <c r="A74" s="9" t="s">
        <v>17</v>
      </c>
      <c r="E74"/>
      <c r="F74" s="1"/>
      <c r="J74"/>
      <c r="M74" s="13"/>
      <c r="N74" s="19"/>
      <c r="O74" s="3"/>
      <c r="S74" s="3"/>
    </row>
    <row r="75" spans="1:19">
      <c r="B75" s="2" t="s">
        <v>193</v>
      </c>
      <c r="C75" s="2"/>
      <c r="D75" s="7"/>
      <c r="E75" s="52"/>
      <c r="G75"/>
      <c r="J75" s="51"/>
      <c r="K75" s="51"/>
      <c r="L75" s="50"/>
      <c r="M75" s="50"/>
      <c r="N75" s="3"/>
      <c r="O75" s="3"/>
      <c r="S75" s="101"/>
    </row>
    <row r="76" spans="1:19">
      <c r="A76" s="300"/>
      <c r="B76"/>
      <c r="D76"/>
      <c r="E76" s="301"/>
      <c r="G76"/>
      <c r="J76" s="51"/>
      <c r="K76" s="51"/>
      <c r="L76" s="50"/>
      <c r="M76" s="66"/>
      <c r="O76" s="30" t="s">
        <v>48</v>
      </c>
      <c r="P76" s="30"/>
      <c r="Q76" s="30" t="s">
        <v>43</v>
      </c>
    </row>
    <row r="77" spans="1:19">
      <c r="A77" s="300"/>
      <c r="C77" s="300" t="s">
        <v>175</v>
      </c>
      <c r="D77" s="302" t="s">
        <v>78</v>
      </c>
      <c r="E77" s="301"/>
      <c r="G77"/>
      <c r="I77" s="75" t="s">
        <v>153</v>
      </c>
      <c r="J77" s="51"/>
      <c r="K77" s="51"/>
      <c r="L77" s="50"/>
      <c r="M77" s="30" t="s">
        <v>47</v>
      </c>
      <c r="N77" s="66" t="s">
        <v>46</v>
      </c>
      <c r="O77" s="30" t="s">
        <v>9</v>
      </c>
      <c r="P77" s="30" t="s">
        <v>62</v>
      </c>
      <c r="Q77" s="30" t="s">
        <v>62</v>
      </c>
      <c r="S77" s="3"/>
    </row>
    <row r="78" spans="1:19">
      <c r="A78" s="300"/>
      <c r="E78" s="301"/>
      <c r="G78"/>
      <c r="I78" s="51"/>
      <c r="J78" s="51"/>
      <c r="K78" s="51"/>
      <c r="L78" s="50"/>
      <c r="N78" s="50"/>
      <c r="S78" s="74"/>
    </row>
    <row r="79" spans="1:19">
      <c r="A79" s="300"/>
      <c r="E79" s="301"/>
      <c r="G79"/>
      <c r="J79" s="51"/>
      <c r="K79" s="51"/>
      <c r="L79" s="61" t="s">
        <v>213</v>
      </c>
      <c r="M79" s="87">
        <f>L80*K82*J84*I86</f>
        <v>6.4524128256000009E-3</v>
      </c>
      <c r="N79" s="50">
        <f>SweetspotTAM*LeaderMktShare</f>
        <v>0</v>
      </c>
      <c r="O79" s="50">
        <f>N79*SalesMult</f>
        <v>0</v>
      </c>
      <c r="P79" s="74">
        <f>O79*OwnershipAtExit/Investment</f>
        <v>0</v>
      </c>
      <c r="Q79" s="73">
        <f>M79*P79</f>
        <v>0</v>
      </c>
    </row>
    <row r="80" spans="1:19">
      <c r="A80" s="300"/>
      <c r="E80" s="301"/>
      <c r="G80"/>
      <c r="I80" s="51"/>
      <c r="J80" s="51"/>
      <c r="K80" s="51"/>
      <c r="L80" s="54">
        <f>LeaderChance</f>
        <v>0.1</v>
      </c>
      <c r="M80" s="65"/>
      <c r="N80" s="50"/>
      <c r="O80" s="50"/>
      <c r="P80" s="74"/>
    </row>
    <row r="81" spans="1:23">
      <c r="A81" s="300"/>
      <c r="E81" s="301"/>
      <c r="G81"/>
      <c r="I81" s="51"/>
      <c r="J81" s="51"/>
      <c r="K81" s="59" t="s">
        <v>6</v>
      </c>
      <c r="L81" s="62" t="s">
        <v>214</v>
      </c>
      <c r="M81" s="87">
        <f>I86*J84*K82*L82</f>
        <v>1.9357238476800005E-2</v>
      </c>
      <c r="N81" s="50">
        <f>SweetspotTAM*ChallengerMktShare</f>
        <v>0</v>
      </c>
      <c r="O81" s="50">
        <f>N81*SalesMult</f>
        <v>0</v>
      </c>
      <c r="P81" s="74">
        <f>O81*OwnershipAtExit/Investment</f>
        <v>0</v>
      </c>
      <c r="Q81" s="73">
        <f>M81*P81</f>
        <v>0</v>
      </c>
    </row>
    <row r="82" spans="1:23">
      <c r="A82" s="300"/>
      <c r="E82" s="301"/>
      <c r="G82"/>
      <c r="I82" s="51"/>
      <c r="J82" s="51"/>
      <c r="K82" s="56">
        <f>MainstreamSuccess</f>
        <v>0.24009999999999992</v>
      </c>
      <c r="L82" s="54">
        <f>ChallengerChance</f>
        <v>0.3</v>
      </c>
      <c r="M82" s="65"/>
      <c r="N82" s="50"/>
      <c r="O82" s="50"/>
      <c r="P82" s="74"/>
      <c r="Q82" s="2"/>
      <c r="T82" s="102"/>
      <c r="U82" s="102"/>
      <c r="V82" s="102"/>
      <c r="W82" s="102"/>
    </row>
    <row r="83" spans="1:23">
      <c r="A83" s="300"/>
      <c r="E83" s="301"/>
      <c r="G83"/>
      <c r="I83" s="51"/>
      <c r="J83" s="59" t="s">
        <v>0</v>
      </c>
      <c r="K83" s="57"/>
      <c r="L83" s="62" t="s">
        <v>215</v>
      </c>
      <c r="M83" s="87">
        <f>I86*J84*K82*L84</f>
        <v>3.8714476953600009E-2</v>
      </c>
      <c r="N83" s="50">
        <f>SweetspotTAM*FollowerMktShare</f>
        <v>0</v>
      </c>
      <c r="O83" s="50">
        <f>N83*SalesMult</f>
        <v>0</v>
      </c>
      <c r="P83" s="74">
        <f>O83*OwnershipAtExit/Investment</f>
        <v>0</v>
      </c>
      <c r="Q83" s="73">
        <f>M83*P83</f>
        <v>0</v>
      </c>
      <c r="T83" s="102"/>
      <c r="U83" s="146"/>
      <c r="V83" s="183"/>
      <c r="W83" s="183"/>
    </row>
    <row r="84" spans="1:23">
      <c r="A84" s="300"/>
      <c r="E84" s="301"/>
      <c r="G84"/>
      <c r="I84" s="51"/>
      <c r="J84" s="56">
        <f>CrossChasm</f>
        <v>0.40960000000000013</v>
      </c>
      <c r="K84" s="57"/>
      <c r="L84">
        <f>1-L82-L80</f>
        <v>0.6</v>
      </c>
      <c r="M84" s="65"/>
      <c r="N84" s="50"/>
      <c r="O84" s="50"/>
      <c r="Q84" s="2"/>
      <c r="T84" s="102"/>
      <c r="U84" s="106"/>
      <c r="V84" s="262"/>
      <c r="W84" s="133"/>
    </row>
    <row r="85" spans="1:23">
      <c r="A85" s="300"/>
      <c r="E85" s="301"/>
      <c r="G85"/>
      <c r="I85" s="63" t="s">
        <v>4</v>
      </c>
      <c r="J85" s="57"/>
      <c r="K85" s="60" t="s">
        <v>5</v>
      </c>
      <c r="L85" s="61"/>
      <c r="M85" s="65">
        <f>I86*J84*K86</f>
        <v>0.20421443174400011</v>
      </c>
      <c r="N85" s="50">
        <f>NicheTAM*NicheMarketShare</f>
        <v>0</v>
      </c>
      <c r="O85" s="50">
        <f>N85*SalesMult*NicheMultDisc</f>
        <v>0</v>
      </c>
      <c r="P85" s="74">
        <f>O85*NicheOwnershipAtExit/Investment</f>
        <v>0</v>
      </c>
      <c r="Q85" s="73">
        <f>M85*P85</f>
        <v>0</v>
      </c>
      <c r="T85" s="102"/>
      <c r="U85" s="106"/>
      <c r="V85" s="262"/>
      <c r="W85" s="133"/>
    </row>
    <row r="86" spans="1:23">
      <c r="A86" s="300"/>
      <c r="C86" s="300" t="s">
        <v>177</v>
      </c>
      <c r="E86" s="301"/>
      <c r="G86"/>
      <c r="I86" s="64">
        <f>EarlySuccess</f>
        <v>0.65610000000000013</v>
      </c>
      <c r="J86" s="58"/>
      <c r="K86" s="55">
        <f>1-MainstreamSuccess</f>
        <v>0.75990000000000002</v>
      </c>
      <c r="L86" s="50"/>
      <c r="M86" s="65"/>
      <c r="N86" s="50"/>
      <c r="O86" s="50"/>
      <c r="Q86" s="2"/>
      <c r="T86" s="102"/>
      <c r="U86" s="102"/>
      <c r="V86" s="102"/>
      <c r="W86" s="102"/>
    </row>
    <row r="87" spans="1:23">
      <c r="A87" s="300"/>
      <c r="E87" s="301"/>
      <c r="G87"/>
      <c r="I87" s="57"/>
      <c r="J87" s="60" t="s">
        <v>45</v>
      </c>
      <c r="K87" s="59"/>
      <c r="L87" s="61"/>
      <c r="M87" s="65">
        <f>I86*J88</f>
        <v>0.38736143999999995</v>
      </c>
      <c r="N87" s="50">
        <v>0</v>
      </c>
      <c r="O87" s="50">
        <v>0</v>
      </c>
      <c r="P87">
        <v>0</v>
      </c>
      <c r="Q87" s="73">
        <f>M87*P87</f>
        <v>0</v>
      </c>
      <c r="T87" s="102"/>
      <c r="U87" s="102"/>
      <c r="V87" s="102"/>
      <c r="W87" s="102"/>
    </row>
    <row r="88" spans="1:23">
      <c r="A88" s="300"/>
      <c r="E88" s="301"/>
      <c r="G88"/>
      <c r="I88" s="57"/>
      <c r="J88" s="55">
        <f>1-CrossChasm</f>
        <v>0.59039999999999981</v>
      </c>
      <c r="K88" s="51"/>
      <c r="L88" s="50"/>
      <c r="M88" s="65"/>
      <c r="N88" s="50"/>
      <c r="O88" s="50"/>
      <c r="Q88" s="2"/>
      <c r="T88" s="102"/>
      <c r="U88" s="106"/>
      <c r="V88" s="187"/>
      <c r="W88" s="249"/>
    </row>
    <row r="89" spans="1:23">
      <c r="A89" s="300"/>
      <c r="E89" s="301"/>
      <c r="G89"/>
      <c r="I89" s="57"/>
      <c r="J89" s="51"/>
      <c r="K89" s="51"/>
      <c r="L89" s="50"/>
      <c r="M89" s="65">
        <f>I91</f>
        <v>0.34389999999999987</v>
      </c>
      <c r="N89" s="50">
        <v>0</v>
      </c>
      <c r="O89" s="50">
        <v>0</v>
      </c>
      <c r="P89">
        <v>0</v>
      </c>
      <c r="Q89" s="73">
        <f>M89*P89</f>
        <v>0</v>
      </c>
      <c r="T89" s="102"/>
      <c r="U89" s="102"/>
      <c r="V89" s="102"/>
      <c r="W89" s="249"/>
    </row>
    <row r="90" spans="1:23">
      <c r="A90" s="300"/>
      <c r="E90" s="301"/>
      <c r="G90"/>
      <c r="I90" s="60" t="s">
        <v>3</v>
      </c>
      <c r="J90" s="59"/>
      <c r="K90" s="59"/>
      <c r="L90" s="61"/>
      <c r="M90" s="50"/>
      <c r="Q90" s="2"/>
      <c r="T90" s="102"/>
      <c r="U90" s="106"/>
      <c r="V90" s="187"/>
      <c r="W90" s="249"/>
    </row>
    <row r="91" spans="1:23">
      <c r="A91" s="300"/>
      <c r="E91" s="301"/>
      <c r="G91"/>
      <c r="I91" s="55">
        <f>1-EarlySuccess</f>
        <v>0.34389999999999987</v>
      </c>
      <c r="J91" s="51"/>
      <c r="K91" s="51"/>
      <c r="L91" s="50"/>
      <c r="M91" s="149">
        <f>SUM(M79:M89)</f>
        <v>1</v>
      </c>
      <c r="N91" s="150"/>
      <c r="O91" s="150"/>
      <c r="P91" s="150"/>
      <c r="Q91" s="151">
        <f t="array" ref="Q91">SUM(M79:M89*P79:P89)</f>
        <v>0</v>
      </c>
      <c r="T91" s="102"/>
      <c r="U91" s="102"/>
      <c r="V91" s="102"/>
      <c r="W91" s="102"/>
    </row>
    <row r="92" spans="1:23">
      <c r="E92" s="301"/>
      <c r="G92"/>
      <c r="I92" s="51"/>
      <c r="J92" s="51"/>
      <c r="K92" s="51"/>
      <c r="L92" s="50"/>
      <c r="M92" s="102"/>
      <c r="N92" s="146"/>
      <c r="O92" s="102"/>
      <c r="P92" s="102"/>
      <c r="Q92" s="231"/>
      <c r="T92" s="102"/>
      <c r="U92" s="102"/>
      <c r="V92" s="102"/>
      <c r="W92" s="102"/>
    </row>
    <row r="93" spans="1:23">
      <c r="E93" s="301"/>
      <c r="G93"/>
      <c r="I93" s="51"/>
      <c r="J93" s="51"/>
      <c r="K93" s="51"/>
      <c r="L93" s="224"/>
      <c r="M93" s="102"/>
      <c r="N93" s="102"/>
      <c r="O93" s="102"/>
      <c r="P93" s="102"/>
      <c r="Q93" s="253"/>
      <c r="R93" s="102"/>
      <c r="S93" s="102"/>
      <c r="T93" s="102"/>
      <c r="U93" s="102"/>
      <c r="V93" s="102"/>
      <c r="W93" s="102"/>
    </row>
    <row r="94" spans="1:23">
      <c r="E94" s="301"/>
      <c r="G94"/>
      <c r="I94" s="51"/>
      <c r="J94" s="51"/>
      <c r="K94" s="51"/>
      <c r="L94" s="224"/>
      <c r="M94" s="102"/>
      <c r="N94" s="102"/>
      <c r="O94" s="102"/>
      <c r="P94" s="102"/>
      <c r="Q94" s="253"/>
      <c r="R94" s="102"/>
      <c r="S94" s="102"/>
      <c r="T94" s="102"/>
      <c r="U94" s="102"/>
      <c r="V94" s="102"/>
      <c r="W94" s="102"/>
    </row>
    <row r="95" spans="1:23">
      <c r="C95" s="300" t="s">
        <v>176</v>
      </c>
      <c r="E95" s="301"/>
      <c r="G95"/>
      <c r="I95" s="4"/>
      <c r="J95" s="94"/>
      <c r="K95" s="96"/>
      <c r="L95" s="96"/>
      <c r="M95" s="3"/>
      <c r="N95" s="3"/>
      <c r="O95" s="3"/>
      <c r="P95" s="3"/>
      <c r="S95" s="102"/>
      <c r="T95" s="102"/>
      <c r="U95" s="102"/>
      <c r="V95" s="102"/>
      <c r="W95" s="102"/>
    </row>
    <row r="96" spans="1:23">
      <c r="B96"/>
      <c r="E96" s="301"/>
      <c r="G96"/>
      <c r="J96" s="51"/>
      <c r="K96" s="51"/>
      <c r="L96" s="50"/>
      <c r="M96" s="66"/>
      <c r="O96" s="30" t="s">
        <v>48</v>
      </c>
      <c r="P96" s="30"/>
      <c r="Q96" s="30" t="s">
        <v>43</v>
      </c>
      <c r="S96" s="102"/>
      <c r="T96" s="102"/>
      <c r="U96" s="102"/>
      <c r="V96" s="102"/>
      <c r="W96" s="102"/>
    </row>
    <row r="97" spans="2:23">
      <c r="B97"/>
      <c r="E97" s="301"/>
      <c r="G97"/>
      <c r="I97" s="75" t="s">
        <v>66</v>
      </c>
      <c r="J97" s="51"/>
      <c r="K97" s="51"/>
      <c r="L97" s="50"/>
      <c r="M97" s="30" t="s">
        <v>47</v>
      </c>
      <c r="N97" s="66" t="s">
        <v>46</v>
      </c>
      <c r="O97" s="30" t="s">
        <v>9</v>
      </c>
      <c r="P97" s="30" t="s">
        <v>62</v>
      </c>
      <c r="Q97" s="30" t="s">
        <v>62</v>
      </c>
      <c r="S97" s="102"/>
      <c r="T97" s="102"/>
      <c r="U97" s="102"/>
      <c r="V97" s="102"/>
      <c r="W97" s="102"/>
    </row>
    <row r="98" spans="2:23">
      <c r="B98"/>
      <c r="E98" s="301"/>
      <c r="G98"/>
      <c r="I98" s="51"/>
      <c r="J98" s="51"/>
      <c r="K98" s="51"/>
      <c r="L98" s="50"/>
      <c r="N98" s="50"/>
      <c r="S98" s="102"/>
      <c r="T98" s="102"/>
      <c r="U98" s="102"/>
      <c r="V98" s="102"/>
      <c r="W98" s="102"/>
    </row>
    <row r="99" spans="2:23">
      <c r="B99"/>
      <c r="E99" s="301"/>
      <c r="G99"/>
      <c r="J99" s="51"/>
      <c r="K99" s="51"/>
      <c r="L99" s="61" t="s">
        <v>213</v>
      </c>
      <c r="M99" s="87">
        <f>L100*K102*J104*I106</f>
        <v>6.4524128256000009E-3</v>
      </c>
      <c r="N99" s="50">
        <f>TotalTAM*LeaderMktShare</f>
        <v>0</v>
      </c>
      <c r="O99" s="50">
        <f>N99*SalesMult</f>
        <v>0</v>
      </c>
      <c r="P99" s="74">
        <f>O99*OwnershipAtExit/Investment</f>
        <v>0</v>
      </c>
      <c r="Q99" s="73">
        <f>M99*P99</f>
        <v>0</v>
      </c>
      <c r="S99" s="102"/>
      <c r="T99" s="102"/>
      <c r="U99" s="102"/>
      <c r="V99" s="102"/>
      <c r="W99" s="102"/>
    </row>
    <row r="100" spans="2:23">
      <c r="B100"/>
      <c r="E100" s="301"/>
      <c r="G100"/>
      <c r="I100" s="51"/>
      <c r="J100" s="51"/>
      <c r="K100" s="51"/>
      <c r="L100" s="54">
        <f>LeaderChance</f>
        <v>0.1</v>
      </c>
      <c r="M100" s="65"/>
      <c r="N100" s="50"/>
      <c r="O100" s="50"/>
      <c r="P100" s="74"/>
      <c r="T100" s="102"/>
      <c r="U100" s="106"/>
      <c r="V100" s="253"/>
      <c r="W100" s="102"/>
    </row>
    <row r="101" spans="2:23">
      <c r="B101"/>
      <c r="E101" s="301"/>
      <c r="G101"/>
      <c r="I101" s="51"/>
      <c r="J101" s="51"/>
      <c r="K101" s="59" t="s">
        <v>6</v>
      </c>
      <c r="L101" s="62" t="s">
        <v>214</v>
      </c>
      <c r="M101" s="87">
        <f>I106*J104*K102*L102</f>
        <v>1.9357238476800005E-2</v>
      </c>
      <c r="N101" s="50">
        <f>TotalTAM*ChallengerMktShare</f>
        <v>0</v>
      </c>
      <c r="O101" s="50">
        <f>N101*SalesMult</f>
        <v>0</v>
      </c>
      <c r="P101" s="74">
        <f>O101*OwnershipAtExit/Investment</f>
        <v>0</v>
      </c>
      <c r="Q101" s="73">
        <f>M101*P101</f>
        <v>0</v>
      </c>
      <c r="T101" s="102"/>
      <c r="U101" s="106"/>
      <c r="V101" s="263"/>
      <c r="W101" s="102"/>
    </row>
    <row r="102" spans="2:23">
      <c r="B102"/>
      <c r="E102" s="301"/>
      <c r="G102"/>
      <c r="I102" s="51"/>
      <c r="J102" s="51"/>
      <c r="K102" s="56">
        <f>MainstreamSuccess</f>
        <v>0.24009999999999992</v>
      </c>
      <c r="L102" s="54">
        <f>ChallengerChance</f>
        <v>0.3</v>
      </c>
      <c r="M102" s="65"/>
      <c r="N102" s="50"/>
      <c r="O102" s="50"/>
      <c r="P102" s="74"/>
      <c r="Q102" s="2"/>
      <c r="T102" s="102"/>
      <c r="U102" s="106"/>
      <c r="V102" s="253"/>
      <c r="W102" s="102"/>
    </row>
    <row r="103" spans="2:23">
      <c r="B103"/>
      <c r="E103" s="301"/>
      <c r="G103"/>
      <c r="I103" s="51"/>
      <c r="J103" s="59" t="s">
        <v>0</v>
      </c>
      <c r="K103" s="57"/>
      <c r="L103" s="62" t="s">
        <v>215</v>
      </c>
      <c r="M103" s="87">
        <f>I106*J104*K102*L104</f>
        <v>3.8714476953600009E-2</v>
      </c>
      <c r="N103" s="50">
        <f>TotalTAM*FollowerMktShare</f>
        <v>0</v>
      </c>
      <c r="O103" s="50">
        <f>N103*SalesMult</f>
        <v>0</v>
      </c>
      <c r="P103" s="74">
        <f>O103*OwnershipAtExit/Investment</f>
        <v>0</v>
      </c>
      <c r="Q103" s="73">
        <f>M103*P103</f>
        <v>0</v>
      </c>
      <c r="T103" s="102"/>
      <c r="U103" s="106"/>
      <c r="V103" s="263"/>
      <c r="W103" s="102"/>
    </row>
    <row r="104" spans="2:23">
      <c r="B104"/>
      <c r="E104" s="301"/>
      <c r="G104"/>
      <c r="I104" s="51"/>
      <c r="J104" s="56">
        <f>CrossChasm</f>
        <v>0.40960000000000013</v>
      </c>
      <c r="K104" s="57"/>
      <c r="L104">
        <f>1-L102-L100</f>
        <v>0.6</v>
      </c>
      <c r="M104" s="65"/>
      <c r="N104" s="50"/>
      <c r="O104" s="50"/>
      <c r="Q104" s="2"/>
      <c r="T104" s="102"/>
      <c r="U104" s="102"/>
      <c r="V104" s="102"/>
      <c r="W104" s="102"/>
    </row>
    <row r="105" spans="2:23">
      <c r="B105"/>
      <c r="E105" s="301"/>
      <c r="G105"/>
      <c r="I105" s="63" t="s">
        <v>4</v>
      </c>
      <c r="J105" s="57"/>
      <c r="K105" s="60" t="s">
        <v>5</v>
      </c>
      <c r="L105" s="61"/>
      <c r="M105" s="65">
        <f>I106*J104*K106</f>
        <v>0.20421443174400011</v>
      </c>
      <c r="N105" s="50">
        <f>NicheTAM*NicheMarketShare</f>
        <v>0</v>
      </c>
      <c r="O105" s="50">
        <f>N105*SalesMult*NicheMultDisc</f>
        <v>0</v>
      </c>
      <c r="P105" s="74">
        <f>O105*NicheOwnershipAtExit/Investment</f>
        <v>0</v>
      </c>
      <c r="Q105" s="73">
        <f>M105*P105</f>
        <v>0</v>
      </c>
      <c r="T105" s="102"/>
      <c r="U105" s="102"/>
      <c r="V105" s="102"/>
      <c r="W105" s="102"/>
    </row>
    <row r="106" spans="2:23">
      <c r="C106" t="s">
        <v>167</v>
      </c>
      <c r="D106" s="7"/>
      <c r="E106" s="52"/>
      <c r="G106"/>
      <c r="I106" s="64">
        <f>EarlySuccess</f>
        <v>0.65610000000000013</v>
      </c>
      <c r="J106" s="58"/>
      <c r="K106" s="55">
        <f>1-MainstreamSuccess</f>
        <v>0.75990000000000002</v>
      </c>
      <c r="L106" s="50"/>
      <c r="M106" s="65"/>
      <c r="N106" s="50"/>
      <c r="O106" s="50"/>
      <c r="Q106" s="2"/>
      <c r="T106" s="102"/>
      <c r="U106" s="102"/>
      <c r="V106" s="102"/>
      <c r="W106" s="102"/>
    </row>
    <row r="107" spans="2:23">
      <c r="C107" t="s">
        <v>168</v>
      </c>
      <c r="D107" s="7"/>
      <c r="E107" s="52"/>
      <c r="G107"/>
      <c r="I107" s="57"/>
      <c r="J107" s="60" t="s">
        <v>45</v>
      </c>
      <c r="K107" s="59"/>
      <c r="L107" s="61"/>
      <c r="M107" s="65">
        <f>I106*J108</f>
        <v>0.38736143999999995</v>
      </c>
      <c r="N107" s="50">
        <v>0</v>
      </c>
      <c r="O107" s="50">
        <v>0</v>
      </c>
      <c r="P107">
        <v>0</v>
      </c>
      <c r="Q107" s="73">
        <f>M107*P107</f>
        <v>0</v>
      </c>
    </row>
    <row r="108" spans="2:23" ht="13.5" thickBot="1">
      <c r="D108"/>
      <c r="F108" s="77"/>
      <c r="G108" s="51"/>
      <c r="I108" s="57"/>
      <c r="J108" s="55">
        <f>1-CrossChasm</f>
        <v>0.59039999999999981</v>
      </c>
      <c r="K108" s="51"/>
      <c r="L108" s="50"/>
      <c r="M108" s="65"/>
      <c r="N108" s="50"/>
      <c r="O108" s="50"/>
      <c r="Q108" s="2"/>
    </row>
    <row r="109" spans="2:23" ht="13.5" thickBot="1">
      <c r="C109" s="3" t="s">
        <v>132</v>
      </c>
      <c r="D109" s="1" t="s">
        <v>186</v>
      </c>
      <c r="E109" s="98">
        <f>E106</f>
        <v>0</v>
      </c>
      <c r="F109" s="307" t="s">
        <v>185</v>
      </c>
      <c r="G109" s="51"/>
      <c r="I109" s="57"/>
      <c r="J109" s="51"/>
      <c r="K109" s="51"/>
      <c r="L109" s="50"/>
      <c r="M109" s="65">
        <f>I111</f>
        <v>0.34389999999999987</v>
      </c>
      <c r="N109" s="50">
        <v>0</v>
      </c>
      <c r="O109" s="50">
        <v>0</v>
      </c>
      <c r="P109">
        <v>0</v>
      </c>
      <c r="Q109" s="73">
        <f>M109*P109</f>
        <v>0</v>
      </c>
    </row>
    <row r="110" spans="2:23" ht="13.5" thickBot="1">
      <c r="I110" s="60" t="s">
        <v>3</v>
      </c>
      <c r="J110" s="59"/>
      <c r="K110" s="59"/>
      <c r="L110" s="61"/>
      <c r="M110" s="50"/>
      <c r="Q110" s="2"/>
    </row>
    <row r="111" spans="2:23" ht="13.5" thickBot="1">
      <c r="C111" s="3" t="s">
        <v>157</v>
      </c>
      <c r="D111" s="1" t="s">
        <v>186</v>
      </c>
      <c r="E111" s="98">
        <f>SweetspotTAM*NicheSize</f>
        <v>0</v>
      </c>
      <c r="F111" s="8" t="s">
        <v>158</v>
      </c>
      <c r="I111" s="51">
        <f>1-EarlySuccess</f>
        <v>0.34389999999999987</v>
      </c>
      <c r="J111" s="51"/>
      <c r="K111" s="51"/>
      <c r="L111" s="50"/>
      <c r="M111" s="149">
        <f>SUM(M99:M109)</f>
        <v>1</v>
      </c>
      <c r="N111" s="150"/>
      <c r="O111" s="150"/>
      <c r="P111" s="150"/>
      <c r="Q111" s="151">
        <f t="array" ref="Q111">SUM(M99:M109*P99:P109)</f>
        <v>0</v>
      </c>
    </row>
    <row r="112" spans="2:23" ht="13.5" thickBot="1">
      <c r="E112" s="12"/>
      <c r="F112" s="50"/>
      <c r="G112" s="51"/>
      <c r="I112" s="51"/>
      <c r="J112" s="51"/>
      <c r="K112" s="51"/>
      <c r="L112" s="50"/>
      <c r="M112" s="102"/>
      <c r="N112" s="146"/>
      <c r="O112" s="102"/>
      <c r="P112" s="102"/>
      <c r="Q112" s="231"/>
    </row>
    <row r="113" spans="2:20" ht="13.5" thickBot="1">
      <c r="C113" t="s">
        <v>65</v>
      </c>
      <c r="D113" s="1" t="s">
        <v>186</v>
      </c>
      <c r="E113" s="99">
        <f>E106+E107</f>
        <v>0</v>
      </c>
      <c r="F113" s="100" t="s">
        <v>67</v>
      </c>
      <c r="G113" s="51"/>
      <c r="I113" s="4"/>
      <c r="J113" s="4"/>
      <c r="K113" s="3"/>
      <c r="L113" s="106"/>
      <c r="M113" s="102"/>
      <c r="N113" s="102"/>
      <c r="O113" s="102"/>
      <c r="P113" s="102"/>
      <c r="Q113" s="253"/>
      <c r="R113" s="102"/>
      <c r="S113" s="102"/>
      <c r="T113" s="102"/>
    </row>
    <row r="114" spans="2:20">
      <c r="E114" s="85"/>
      <c r="F114" s="50"/>
      <c r="G114" s="51"/>
      <c r="J114" s="4"/>
      <c r="K114" s="3"/>
      <c r="L114" s="106"/>
      <c r="M114" s="102"/>
      <c r="N114" s="102"/>
      <c r="O114" s="102"/>
      <c r="P114" s="225"/>
      <c r="Q114" s="254"/>
      <c r="R114" s="102"/>
      <c r="S114" s="102"/>
      <c r="T114" s="102"/>
    </row>
    <row r="115" spans="2:20">
      <c r="B115" s="2" t="s">
        <v>28</v>
      </c>
      <c r="D115"/>
      <c r="E115"/>
      <c r="F115" s="50"/>
      <c r="G115" s="51"/>
      <c r="J115" s="4"/>
      <c r="K115" s="3"/>
      <c r="L115" s="106"/>
      <c r="M115" s="102"/>
      <c r="N115" s="102"/>
      <c r="O115" s="102"/>
      <c r="P115" s="225"/>
      <c r="Q115" s="254"/>
      <c r="R115" s="102"/>
      <c r="S115" s="102"/>
      <c r="T115" s="102"/>
    </row>
    <row r="116" spans="2:20">
      <c r="B116"/>
      <c r="C116" t="s">
        <v>29</v>
      </c>
      <c r="D116" s="1" t="s">
        <v>18</v>
      </c>
      <c r="E116" s="30">
        <f>Investment</f>
        <v>1</v>
      </c>
      <c r="F116" s="50"/>
      <c r="G116" s="51"/>
      <c r="J116" s="4"/>
      <c r="K116" s="3"/>
      <c r="L116" s="106"/>
      <c r="M116" s="106"/>
      <c r="N116" s="102"/>
      <c r="O116" s="102"/>
      <c r="P116" s="102"/>
      <c r="Q116" s="255"/>
      <c r="R116" s="102"/>
      <c r="S116" s="102"/>
      <c r="T116" s="102"/>
    </row>
    <row r="117" spans="2:20">
      <c r="B117"/>
      <c r="C117" t="s">
        <v>30</v>
      </c>
      <c r="D117" s="1" t="s">
        <v>18</v>
      </c>
      <c r="E117" s="30">
        <f>InitialRoundSize</f>
        <v>3</v>
      </c>
      <c r="F117" s="50"/>
      <c r="G117" s="51"/>
      <c r="J117" s="4"/>
      <c r="K117" s="3"/>
      <c r="L117" s="106"/>
      <c r="M117" s="106"/>
      <c r="N117" s="106"/>
      <c r="O117" s="106"/>
      <c r="P117" s="106"/>
      <c r="Q117" s="140"/>
      <c r="R117" s="102"/>
      <c r="S117" s="102"/>
      <c r="T117" s="102"/>
    </row>
    <row r="118" spans="2:20">
      <c r="B118"/>
      <c r="C118" t="s">
        <v>36</v>
      </c>
      <c r="D118" s="1" t="s">
        <v>18</v>
      </c>
      <c r="E118" s="88">
        <f>PreMoneyValue</f>
        <v>12</v>
      </c>
      <c r="F118" s="50"/>
      <c r="G118" s="51"/>
      <c r="L118" s="102"/>
      <c r="M118" s="102"/>
      <c r="N118" s="102"/>
      <c r="O118" s="102"/>
      <c r="P118" s="102"/>
      <c r="Q118" s="102"/>
      <c r="R118" s="102"/>
      <c r="S118" s="102"/>
      <c r="T118" s="102"/>
    </row>
    <row r="119" spans="2:20">
      <c r="B119"/>
      <c r="C119" t="s">
        <v>31</v>
      </c>
      <c r="D119" s="1" t="s">
        <v>18</v>
      </c>
      <c r="E119" s="30">
        <f>E117+E118</f>
        <v>15</v>
      </c>
      <c r="F119" s="2"/>
      <c r="G119" s="51"/>
      <c r="L119" s="102"/>
      <c r="M119" s="102"/>
      <c r="N119" s="102"/>
      <c r="O119" s="102"/>
      <c r="P119" s="102"/>
      <c r="Q119" s="102"/>
      <c r="R119" s="102"/>
      <c r="S119" s="102"/>
      <c r="T119" s="102"/>
    </row>
    <row r="120" spans="2:20">
      <c r="C120" s="3"/>
      <c r="D120" s="4"/>
      <c r="E120" s="89"/>
      <c r="F120" s="2"/>
      <c r="G120" s="51"/>
      <c r="L120" s="102"/>
      <c r="M120" s="102"/>
      <c r="N120" s="102"/>
      <c r="O120" s="102"/>
      <c r="P120" s="102"/>
      <c r="Q120" s="102"/>
      <c r="R120" s="102"/>
      <c r="S120" s="102"/>
      <c r="T120" s="102"/>
    </row>
    <row r="121" spans="2:20">
      <c r="B121"/>
      <c r="C121" t="s">
        <v>32</v>
      </c>
      <c r="D121" s="1" t="s">
        <v>19</v>
      </c>
      <c r="E121" s="90">
        <f>E116/E119</f>
        <v>6.6666666666666666E-2</v>
      </c>
      <c r="F121" s="2"/>
      <c r="G121" s="51"/>
      <c r="L121" s="102"/>
      <c r="R121" s="102"/>
      <c r="S121" s="102"/>
      <c r="T121" s="102"/>
    </row>
    <row r="122" spans="2:20">
      <c r="B122"/>
      <c r="C122" s="3" t="s">
        <v>154</v>
      </c>
      <c r="D122" s="1" t="s">
        <v>19</v>
      </c>
      <c r="E122" s="91">
        <f>Dilution</f>
        <v>0.8</v>
      </c>
      <c r="F122" s="50"/>
      <c r="G122" s="51"/>
    </row>
    <row r="123" spans="2:20">
      <c r="B123"/>
      <c r="C123" s="3" t="s">
        <v>155</v>
      </c>
      <c r="D123" s="1" t="s">
        <v>19</v>
      </c>
      <c r="E123" s="90">
        <f>E121*(1-E122)</f>
        <v>1.3333333333333331E-2</v>
      </c>
      <c r="F123" s="50"/>
      <c r="G123" s="51"/>
    </row>
    <row r="124" spans="2:20">
      <c r="G124" s="51"/>
    </row>
    <row r="125" spans="2:20">
      <c r="C125" s="3" t="s">
        <v>40</v>
      </c>
      <c r="D125" s="4" t="s">
        <v>19</v>
      </c>
      <c r="E125" s="178">
        <f>NicheDilution</f>
        <v>0.5</v>
      </c>
      <c r="G125" s="51"/>
    </row>
    <row r="126" spans="2:20">
      <c r="C126" s="3" t="s">
        <v>156</v>
      </c>
      <c r="D126" s="4"/>
      <c r="E126" s="179">
        <f>E121*(1-NicheDilution)</f>
        <v>3.3333333333333333E-2</v>
      </c>
      <c r="F126" s="50"/>
      <c r="G126" s="51"/>
    </row>
    <row r="127" spans="2:20">
      <c r="C127" s="3"/>
      <c r="D127" s="4"/>
      <c r="E127" s="92"/>
      <c r="G127" s="51"/>
      <c r="H127" s="4"/>
    </row>
    <row r="128" spans="2:20">
      <c r="H128" s="4"/>
    </row>
    <row r="129" spans="7:8">
      <c r="H129" s="4"/>
    </row>
    <row r="130" spans="7:8">
      <c r="H130" s="4"/>
    </row>
    <row r="131" spans="7:8">
      <c r="G131" s="51"/>
      <c r="H131" s="4"/>
    </row>
    <row r="132" spans="7:8">
      <c r="G132" s="51"/>
      <c r="H132" s="4"/>
    </row>
    <row r="133" spans="7:8">
      <c r="G133" s="51"/>
      <c r="H133" s="4"/>
    </row>
    <row r="134" spans="7:8">
      <c r="G134" s="51"/>
      <c r="H134" s="4"/>
    </row>
    <row r="135" spans="7:8">
      <c r="H135" s="4"/>
    </row>
    <row r="136" spans="7:8">
      <c r="H136" s="4"/>
    </row>
    <row r="137" spans="7:8">
      <c r="H137" s="4"/>
    </row>
    <row r="138" spans="7:8">
      <c r="H138" s="4"/>
    </row>
    <row r="139" spans="7:8">
      <c r="H139" s="4"/>
    </row>
  </sheetData>
  <dataConsolidate/>
  <phoneticPr fontId="0" type="noConversion"/>
  <conditionalFormatting sqref="G72:G74 G58:G66 G39:G55">
    <cfRule type="expression" dxfId="24" priority="0" stopIfTrue="1">
      <formula>IF($E39=2, TRUE, FALSE)</formula>
    </cfRule>
  </conditionalFormatting>
  <conditionalFormatting sqref="F72:F74 F58:F66 F39:F55">
    <cfRule type="expression" dxfId="23" priority="483" stopIfTrue="1">
      <formula>IF($E39=1, TRUE, FALSE)</formula>
    </cfRule>
  </conditionalFormatting>
  <conditionalFormatting sqref="H72:H74 H58:H66 H39:H55">
    <cfRule type="expression" dxfId="22" priority="484" stopIfTrue="1">
      <formula>IF($E39=3, TRUE, FALSE)</formula>
    </cfRule>
  </conditionalFormatting>
  <conditionalFormatting sqref="I72:I75 I58:I66 I39:I55">
    <cfRule type="expression" dxfId="21" priority="485" stopIfTrue="1">
      <formula>IF($E39=4, TRUE, FALSE)</formula>
    </cfRule>
  </conditionalFormatting>
  <conditionalFormatting sqref="B9:C9">
    <cfRule type="expression" dxfId="20" priority="486" stopIfTrue="1">
      <formula>IF(Alternative=$B9, TRUE, FALSE)</formula>
    </cfRule>
  </conditionalFormatting>
  <conditionalFormatting sqref="G67:G68">
    <cfRule type="expression" dxfId="19" priority="329" stopIfTrue="1">
      <formula>IF($E67=2, TRUE, FALSE)</formula>
    </cfRule>
  </conditionalFormatting>
  <conditionalFormatting sqref="F67:F68">
    <cfRule type="expression" dxfId="18" priority="326" stopIfTrue="1">
      <formula>IF($E67=1, TRUE, FALSE)</formula>
    </cfRule>
  </conditionalFormatting>
  <conditionalFormatting sqref="H67:H71">
    <cfRule type="expression" dxfId="17" priority="327" stopIfTrue="1">
      <formula>IF($E67=3, TRUE, FALSE)</formula>
    </cfRule>
  </conditionalFormatting>
  <conditionalFormatting sqref="I67:I68">
    <cfRule type="expression" dxfId="16" priority="328" stopIfTrue="1">
      <formula>IF($E67=4, TRUE, FALSE)</formula>
    </cfRule>
  </conditionalFormatting>
  <conditionalFormatting sqref="G56:G57">
    <cfRule type="expression" dxfId="15" priority="65" stopIfTrue="1">
      <formula>IF($E56=2, TRUE, FALSE)</formula>
    </cfRule>
  </conditionalFormatting>
  <conditionalFormatting sqref="F56:F57">
    <cfRule type="expression" dxfId="14" priority="62" stopIfTrue="1">
      <formula>IF($E56=1, TRUE, FALSE)</formula>
    </cfRule>
  </conditionalFormatting>
  <conditionalFormatting sqref="H56:H57">
    <cfRule type="expression" dxfId="13" priority="63" stopIfTrue="1">
      <formula>IF($E56=3, TRUE, FALSE)</formula>
    </cfRule>
  </conditionalFormatting>
  <conditionalFormatting sqref="I56:I57">
    <cfRule type="expression" dxfId="12" priority="64" stopIfTrue="1">
      <formula>IF($E56=4, TRUE, FALSE)</formula>
    </cfRule>
  </conditionalFormatting>
  <conditionalFormatting sqref="G15:G16">
    <cfRule type="expression" dxfId="11" priority="12" stopIfTrue="1">
      <formula>IF($E15=2, TRUE, FALSE)</formula>
    </cfRule>
  </conditionalFormatting>
  <conditionalFormatting sqref="F15:F16">
    <cfRule type="expression" dxfId="10" priority="9" stopIfTrue="1">
      <formula>IF($E15=1, TRUE, FALSE)</formula>
    </cfRule>
  </conditionalFormatting>
  <conditionalFormatting sqref="H15:H16">
    <cfRule type="expression" dxfId="9" priority="10" stopIfTrue="1">
      <formula>IF($E15=3, TRUE, FALSE)</formula>
    </cfRule>
  </conditionalFormatting>
  <conditionalFormatting sqref="I15:I16">
    <cfRule type="expression" dxfId="8" priority="11" stopIfTrue="1">
      <formula>IF($E15=4, TRUE, FALSE)</formula>
    </cfRule>
  </conditionalFormatting>
  <conditionalFormatting sqref="G17">
    <cfRule type="expression" dxfId="7" priority="8" stopIfTrue="1">
      <formula>IF($E17=2, TRUE, FALSE)</formula>
    </cfRule>
  </conditionalFormatting>
  <conditionalFormatting sqref="F17">
    <cfRule type="expression" dxfId="6" priority="5" stopIfTrue="1">
      <formula>IF($E17=1, TRUE, FALSE)</formula>
    </cfRule>
  </conditionalFormatting>
  <conditionalFormatting sqref="H17">
    <cfRule type="expression" dxfId="5" priority="6" stopIfTrue="1">
      <formula>IF($E17=3, TRUE, FALSE)</formula>
    </cfRule>
  </conditionalFormatting>
  <conditionalFormatting sqref="I17">
    <cfRule type="expression" dxfId="4" priority="7" stopIfTrue="1">
      <formula>IF($E17=4,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35"/>
  <sheetViews>
    <sheetView zoomScale="120" zoomScaleNormal="120" workbookViewId="0"/>
  </sheetViews>
  <sheetFormatPr defaultColWidth="10.7109375" defaultRowHeight="12.75"/>
  <cols>
    <col min="1" max="1" width="5.42578125" style="102" customWidth="1"/>
    <col min="2" max="2" width="9.5703125" style="102" customWidth="1"/>
    <col min="3" max="3" width="47.7109375" style="132" customWidth="1"/>
    <col min="4" max="4" width="12" style="102" customWidth="1"/>
    <col min="5" max="5" width="55.140625" style="132" customWidth="1"/>
    <col min="6" max="16384" width="10.7109375" style="102"/>
  </cols>
  <sheetData>
    <row r="1" spans="1:8">
      <c r="C1" s="145" t="s">
        <v>161</v>
      </c>
    </row>
    <row r="2" spans="1:8">
      <c r="C2" s="337" t="s">
        <v>228</v>
      </c>
    </row>
    <row r="4" spans="1:8">
      <c r="D4" s="133" t="s">
        <v>52</v>
      </c>
      <c r="E4" s="141" t="s">
        <v>53</v>
      </c>
      <c r="F4" s="133" t="s">
        <v>54</v>
      </c>
      <c r="G4" s="133" t="s">
        <v>55</v>
      </c>
      <c r="H4" s="133" t="s">
        <v>56</v>
      </c>
    </row>
    <row r="5" spans="1:8">
      <c r="C5" s="134" t="s">
        <v>4</v>
      </c>
      <c r="D5" s="135">
        <f>D11</f>
        <v>0.9</v>
      </c>
      <c r="E5" s="142">
        <f>D17</f>
        <v>0.9</v>
      </c>
      <c r="F5" s="135">
        <f>D23</f>
        <v>0.9</v>
      </c>
      <c r="G5" s="135">
        <f>D28</f>
        <v>0.9</v>
      </c>
      <c r="H5" s="283">
        <f>D5*E5*F5*G5</f>
        <v>0.65610000000000013</v>
      </c>
    </row>
    <row r="6" spans="1:8">
      <c r="C6" s="136" t="s">
        <v>0</v>
      </c>
      <c r="D6" s="137">
        <f>D34</f>
        <v>0.8</v>
      </c>
      <c r="E6" s="143">
        <f>D41</f>
        <v>0.8</v>
      </c>
      <c r="F6" s="286">
        <f>D47</f>
        <v>0.8</v>
      </c>
      <c r="G6" s="286">
        <f>D52</f>
        <v>0.8</v>
      </c>
      <c r="H6" s="284">
        <f t="shared" ref="H6:H7" si="0">D6*E6*F6*G6</f>
        <v>0.40960000000000013</v>
      </c>
    </row>
    <row r="7" spans="1:8">
      <c r="C7" s="138" t="s">
        <v>57</v>
      </c>
      <c r="D7" s="139">
        <f>D58</f>
        <v>0.7</v>
      </c>
      <c r="E7" s="144">
        <f>D64</f>
        <v>0.7</v>
      </c>
      <c r="F7" s="287">
        <f>D69</f>
        <v>0.7</v>
      </c>
      <c r="G7" s="287">
        <f>D75</f>
        <v>0.7</v>
      </c>
      <c r="H7" s="285">
        <f t="shared" si="0"/>
        <v>0.24009999999999992</v>
      </c>
    </row>
    <row r="10" spans="1:8">
      <c r="A10" s="277" t="str">
        <f>IF(ModelType=1, "Early Stage", "Innovator")</f>
        <v>Early Stage</v>
      </c>
      <c r="B10" s="277"/>
      <c r="C10" s="276" t="s">
        <v>165</v>
      </c>
      <c r="D10" s="279" t="s">
        <v>163</v>
      </c>
      <c r="E10" s="276" t="s">
        <v>164</v>
      </c>
    </row>
    <row r="11" spans="1:8" s="146" customFormat="1">
      <c r="B11" s="147" t="s">
        <v>52</v>
      </c>
      <c r="C11" s="148"/>
      <c r="D11" s="280">
        <v>0.9</v>
      </c>
      <c r="E11" s="148" t="str">
        <f>CONCATENATE("Our thinking on ",CompanyName)</f>
        <v>Our thinking on Awesome Company</v>
      </c>
      <c r="F11" s="314" t="s">
        <v>190</v>
      </c>
    </row>
    <row r="12" spans="1:8" ht="25.5">
      <c r="C12" s="309" t="s">
        <v>150</v>
      </c>
      <c r="D12" s="281"/>
      <c r="E12" s="278"/>
    </row>
    <row r="13" spans="1:8">
      <c r="C13" s="309" t="s">
        <v>180</v>
      </c>
      <c r="D13" s="281"/>
      <c r="E13" s="278"/>
    </row>
    <row r="14" spans="1:8" ht="38.25">
      <c r="C14" s="309" t="s">
        <v>178</v>
      </c>
      <c r="D14" s="281"/>
      <c r="E14" s="278"/>
    </row>
    <row r="15" spans="1:8">
      <c r="C15" s="309"/>
      <c r="D15" s="281"/>
      <c r="E15" s="278"/>
    </row>
    <row r="16" spans="1:8">
      <c r="C16" s="310"/>
      <c r="D16" s="281"/>
      <c r="E16" s="278"/>
    </row>
    <row r="17" spans="2:6" s="146" customFormat="1">
      <c r="B17" s="147" t="s">
        <v>53</v>
      </c>
      <c r="C17" s="311"/>
      <c r="D17" s="280">
        <v>0.9</v>
      </c>
      <c r="E17" s="148" t="str">
        <f>CONCATENATE("Our thinking on ",CompanyName)</f>
        <v>Our thinking on Awesome Company</v>
      </c>
      <c r="F17" s="314" t="s">
        <v>190</v>
      </c>
    </row>
    <row r="18" spans="2:6">
      <c r="C18" s="309" t="s">
        <v>149</v>
      </c>
      <c r="D18" s="133"/>
      <c r="E18" s="278"/>
    </row>
    <row r="19" spans="2:6">
      <c r="C19" s="309" t="s">
        <v>148</v>
      </c>
      <c r="D19" s="133"/>
      <c r="E19" s="278"/>
    </row>
    <row r="20" spans="2:6">
      <c r="C20" s="309" t="s">
        <v>101</v>
      </c>
      <c r="D20" s="281"/>
      <c r="E20" s="278"/>
    </row>
    <row r="21" spans="2:6">
      <c r="C21" s="309"/>
      <c r="D21" s="281"/>
      <c r="E21" s="278"/>
    </row>
    <row r="22" spans="2:6">
      <c r="C22" s="310"/>
      <c r="D22" s="281"/>
      <c r="E22" s="278"/>
    </row>
    <row r="23" spans="2:6" s="146" customFormat="1">
      <c r="B23" s="147" t="s">
        <v>54</v>
      </c>
      <c r="C23" s="311"/>
      <c r="D23" s="280">
        <v>0.9</v>
      </c>
      <c r="E23" s="148" t="str">
        <f>CONCATENATE("Our thinking on ",CompanyName)</f>
        <v>Our thinking on Awesome Company</v>
      </c>
      <c r="F23" s="314" t="s">
        <v>190</v>
      </c>
    </row>
    <row r="24" spans="2:6" ht="38.25">
      <c r="C24" s="309" t="s">
        <v>188</v>
      </c>
      <c r="D24" s="281"/>
      <c r="E24" s="278"/>
    </row>
    <row r="25" spans="2:6" ht="51">
      <c r="C25" s="309" t="s">
        <v>189</v>
      </c>
      <c r="D25" s="281"/>
      <c r="E25" s="278"/>
    </row>
    <row r="26" spans="2:6">
      <c r="C26" s="309" t="s">
        <v>187</v>
      </c>
      <c r="D26" s="281"/>
      <c r="E26" s="278"/>
    </row>
    <row r="27" spans="2:6">
      <c r="C27" s="309"/>
      <c r="D27" s="137"/>
      <c r="E27" s="278"/>
    </row>
    <row r="28" spans="2:6" s="146" customFormat="1">
      <c r="B28" s="147" t="s">
        <v>55</v>
      </c>
      <c r="C28" s="311"/>
      <c r="D28" s="280">
        <v>0.9</v>
      </c>
      <c r="E28" s="148" t="str">
        <f>CONCATENATE("Our thinking on ",CompanyName)</f>
        <v>Our thinking on Awesome Company</v>
      </c>
      <c r="F28" s="314" t="s">
        <v>190</v>
      </c>
    </row>
    <row r="29" spans="2:6">
      <c r="C29" s="309" t="s">
        <v>102</v>
      </c>
      <c r="D29" s="281"/>
      <c r="E29" s="278"/>
    </row>
    <row r="30" spans="2:6">
      <c r="C30" s="309" t="s">
        <v>103</v>
      </c>
      <c r="D30" s="281"/>
      <c r="E30" s="278"/>
    </row>
    <row r="31" spans="2:6">
      <c r="C31" s="310"/>
      <c r="D31" s="281"/>
      <c r="E31" s="278"/>
    </row>
    <row r="32" spans="2:6">
      <c r="C32" s="310"/>
      <c r="D32" s="281"/>
      <c r="E32" s="278"/>
    </row>
    <row r="33" spans="1:6">
      <c r="A33" s="277" t="str">
        <f>IF(ModelType=1, "Cross Chasm", "Early Adopter")</f>
        <v>Cross Chasm</v>
      </c>
      <c r="B33" s="277"/>
      <c r="C33" s="276" t="s">
        <v>165</v>
      </c>
      <c r="D33" s="279" t="s">
        <v>163</v>
      </c>
      <c r="E33" s="276" t="s">
        <v>164</v>
      </c>
    </row>
    <row r="34" spans="1:6" s="146" customFormat="1">
      <c r="B34" s="147" t="s">
        <v>52</v>
      </c>
      <c r="C34" s="148"/>
      <c r="D34" s="280">
        <v>0.8</v>
      </c>
      <c r="E34" s="148" t="str">
        <f>CONCATENATE("Our thinking on ",CompanyName)</f>
        <v>Our thinking on Awesome Company</v>
      </c>
      <c r="F34" s="314" t="s">
        <v>191</v>
      </c>
    </row>
    <row r="35" spans="1:6">
      <c r="C35" s="312" t="s">
        <v>179</v>
      </c>
      <c r="D35" s="281"/>
      <c r="E35" s="282"/>
    </row>
    <row r="36" spans="1:6" ht="30" customHeight="1">
      <c r="C36" s="312" t="s">
        <v>144</v>
      </c>
      <c r="D36" s="281"/>
      <c r="E36" s="282"/>
    </row>
    <row r="37" spans="1:6">
      <c r="C37" s="312" t="s">
        <v>166</v>
      </c>
      <c r="D37" s="137"/>
      <c r="E37" s="282"/>
    </row>
    <row r="38" spans="1:6">
      <c r="C38" s="312"/>
      <c r="D38" s="137"/>
      <c r="E38" s="282"/>
    </row>
    <row r="39" spans="1:6">
      <c r="C39" s="312"/>
      <c r="D39" s="137"/>
      <c r="E39" s="282"/>
    </row>
    <row r="40" spans="1:6">
      <c r="C40" s="312"/>
      <c r="D40" s="137"/>
      <c r="E40" s="282"/>
    </row>
    <row r="41" spans="1:6" s="146" customFormat="1">
      <c r="B41" s="147" t="s">
        <v>53</v>
      </c>
      <c r="C41" s="311"/>
      <c r="D41" s="280">
        <v>0.8</v>
      </c>
      <c r="E41" s="148" t="str">
        <f>CONCATENATE("Our thinking on ",CompanyName)</f>
        <v>Our thinking on Awesome Company</v>
      </c>
      <c r="F41" s="314" t="s">
        <v>191</v>
      </c>
    </row>
    <row r="42" spans="1:6" ht="38.25">
      <c r="C42" s="312" t="s">
        <v>104</v>
      </c>
      <c r="D42" s="281"/>
      <c r="E42" s="278"/>
    </row>
    <row r="43" spans="1:6" ht="38.25">
      <c r="C43" s="312" t="s">
        <v>105</v>
      </c>
      <c r="D43" s="281"/>
      <c r="E43" s="278"/>
    </row>
    <row r="44" spans="1:6">
      <c r="C44" s="312" t="s">
        <v>106</v>
      </c>
      <c r="D44" s="281"/>
      <c r="E44" s="278"/>
    </row>
    <row r="45" spans="1:6">
      <c r="C45" s="312"/>
      <c r="D45" s="281"/>
      <c r="E45" s="278"/>
    </row>
    <row r="46" spans="1:6">
      <c r="D46" s="281"/>
      <c r="E46" s="278"/>
    </row>
    <row r="47" spans="1:6" s="146" customFormat="1">
      <c r="B47" s="147" t="s">
        <v>54</v>
      </c>
      <c r="C47" s="148"/>
      <c r="D47" s="280">
        <v>0.8</v>
      </c>
      <c r="E47" s="148" t="str">
        <f>CONCATENATE("Our thinking on ",CompanyName)</f>
        <v>Our thinking on Awesome Company</v>
      </c>
      <c r="F47" s="314" t="s">
        <v>191</v>
      </c>
    </row>
    <row r="48" spans="1:6" ht="15" customHeight="1">
      <c r="C48" s="312" t="s">
        <v>107</v>
      </c>
      <c r="D48" s="281"/>
      <c r="E48" s="278"/>
    </row>
    <row r="49" spans="1:6" ht="29.1" customHeight="1">
      <c r="C49" s="312" t="s">
        <v>145</v>
      </c>
      <c r="D49" s="281"/>
      <c r="E49" s="278"/>
    </row>
    <row r="50" spans="1:6">
      <c r="C50" s="312" t="s">
        <v>108</v>
      </c>
      <c r="D50" s="281"/>
      <c r="E50" s="278"/>
    </row>
    <row r="51" spans="1:6">
      <c r="C51" s="312"/>
      <c r="D51" s="281"/>
      <c r="E51" s="278"/>
    </row>
    <row r="52" spans="1:6" s="146" customFormat="1">
      <c r="B52" s="147" t="s">
        <v>55</v>
      </c>
      <c r="C52" s="148"/>
      <c r="D52" s="280">
        <v>0.8</v>
      </c>
      <c r="E52" s="148" t="str">
        <f>CONCATENATE("Our thinking on ",CompanyName)</f>
        <v>Our thinking on Awesome Company</v>
      </c>
      <c r="F52" s="314" t="s">
        <v>191</v>
      </c>
    </row>
    <row r="53" spans="1:6" ht="27" customHeight="1">
      <c r="C53" s="312" t="s">
        <v>146</v>
      </c>
      <c r="D53" s="281"/>
      <c r="E53" s="278"/>
    </row>
    <row r="54" spans="1:6" ht="25.5">
      <c r="C54" s="312" t="s">
        <v>147</v>
      </c>
      <c r="D54" s="281"/>
      <c r="E54" s="278"/>
    </row>
    <row r="55" spans="1:6">
      <c r="D55" s="281"/>
      <c r="E55" s="278"/>
    </row>
    <row r="56" spans="1:6">
      <c r="D56" s="281"/>
      <c r="E56" s="278"/>
    </row>
    <row r="57" spans="1:6">
      <c r="A57" s="277" t="s">
        <v>57</v>
      </c>
      <c r="B57" s="275"/>
      <c r="C57" s="276" t="s">
        <v>165</v>
      </c>
      <c r="D57" s="279" t="s">
        <v>163</v>
      </c>
      <c r="E57" s="276" t="s">
        <v>164</v>
      </c>
    </row>
    <row r="58" spans="1:6" s="146" customFormat="1">
      <c r="B58" s="147" t="s">
        <v>52</v>
      </c>
      <c r="C58" s="148"/>
      <c r="D58" s="280">
        <v>0.7</v>
      </c>
      <c r="E58" s="148" t="str">
        <f>CONCATENATE("Our thinking on ",CompanyName)</f>
        <v>Our thinking on Awesome Company</v>
      </c>
      <c r="F58" s="314" t="s">
        <v>192</v>
      </c>
    </row>
    <row r="59" spans="1:6">
      <c r="C59" s="312" t="s">
        <v>109</v>
      </c>
      <c r="D59" s="281"/>
      <c r="E59" s="278"/>
    </row>
    <row r="60" spans="1:6">
      <c r="C60" s="312" t="s">
        <v>110</v>
      </c>
      <c r="D60" s="281"/>
      <c r="E60" s="278"/>
    </row>
    <row r="61" spans="1:6">
      <c r="C61" s="312" t="s">
        <v>182</v>
      </c>
      <c r="D61" s="281"/>
      <c r="E61" s="278"/>
    </row>
    <row r="62" spans="1:6">
      <c r="C62" s="312"/>
      <c r="D62" s="281"/>
      <c r="E62" s="278"/>
    </row>
    <row r="63" spans="1:6">
      <c r="C63" s="313"/>
      <c r="D63" s="137"/>
      <c r="E63" s="278"/>
    </row>
    <row r="64" spans="1:6" s="146" customFormat="1">
      <c r="B64" s="147" t="s">
        <v>53</v>
      </c>
      <c r="C64" s="311"/>
      <c r="D64" s="280">
        <v>0.7</v>
      </c>
      <c r="E64" s="148" t="str">
        <f>CONCATENATE("Our thinking on ",CompanyName)</f>
        <v>Our thinking on Awesome Company</v>
      </c>
      <c r="F64" s="314" t="s">
        <v>192</v>
      </c>
    </row>
    <row r="65" spans="2:6" ht="25.5">
      <c r="C65" s="312" t="s">
        <v>111</v>
      </c>
      <c r="D65" s="133"/>
      <c r="E65" s="278"/>
    </row>
    <row r="66" spans="2:6" ht="25.5">
      <c r="C66" s="312" t="s">
        <v>112</v>
      </c>
      <c r="D66" s="281"/>
      <c r="E66" s="278"/>
    </row>
    <row r="67" spans="2:6">
      <c r="C67" s="312"/>
      <c r="D67" s="281"/>
      <c r="E67" s="278"/>
    </row>
    <row r="68" spans="2:6">
      <c r="C68" s="312"/>
      <c r="D68" s="281"/>
      <c r="E68" s="278"/>
    </row>
    <row r="69" spans="2:6" s="146" customFormat="1">
      <c r="B69" s="147" t="s">
        <v>54</v>
      </c>
      <c r="C69" s="311"/>
      <c r="D69" s="280">
        <v>0.7</v>
      </c>
      <c r="E69" s="148" t="str">
        <f>CONCATENATE("Our thinking on ",CompanyName)</f>
        <v>Our thinking on Awesome Company</v>
      </c>
      <c r="F69" s="314" t="s">
        <v>192</v>
      </c>
    </row>
    <row r="70" spans="2:6">
      <c r="C70" s="312" t="s">
        <v>113</v>
      </c>
      <c r="D70" s="281"/>
      <c r="E70" s="278"/>
    </row>
    <row r="71" spans="2:6">
      <c r="C71" s="312" t="s">
        <v>114</v>
      </c>
      <c r="D71" s="281"/>
      <c r="E71" s="278"/>
    </row>
    <row r="72" spans="2:6">
      <c r="C72" s="312" t="s">
        <v>115</v>
      </c>
      <c r="D72" s="281"/>
      <c r="E72" s="278"/>
    </row>
    <row r="73" spans="2:6">
      <c r="C73" s="312" t="s">
        <v>116</v>
      </c>
      <c r="D73" s="281"/>
      <c r="E73" s="278"/>
    </row>
    <row r="74" spans="2:6">
      <c r="C74" s="312"/>
      <c r="D74" s="281"/>
      <c r="E74" s="278"/>
    </row>
    <row r="75" spans="2:6" s="146" customFormat="1" ht="15.95" customHeight="1">
      <c r="B75" s="147" t="s">
        <v>55</v>
      </c>
      <c r="C75" s="148"/>
      <c r="D75" s="280">
        <v>0.7</v>
      </c>
      <c r="E75" s="148" t="str">
        <f>CONCATENATE("Our thinking on ",CompanyName)</f>
        <v>Our thinking on Awesome Company</v>
      </c>
      <c r="F75" s="314" t="s">
        <v>192</v>
      </c>
    </row>
    <row r="76" spans="2:6">
      <c r="C76" s="312" t="s">
        <v>117</v>
      </c>
      <c r="D76" s="133"/>
      <c r="E76" s="278"/>
    </row>
    <row r="77" spans="2:6">
      <c r="C77" s="312" t="s">
        <v>118</v>
      </c>
      <c r="D77" s="140"/>
      <c r="E77" s="278"/>
    </row>
    <row r="78" spans="2:6">
      <c r="C78" s="308"/>
      <c r="D78" s="140"/>
      <c r="E78" s="278"/>
    </row>
    <row r="79" spans="2:6">
      <c r="D79" s="140"/>
      <c r="E79" s="278"/>
    </row>
    <row r="80" spans="2:6">
      <c r="D80" s="140"/>
      <c r="E80" s="278"/>
    </row>
    <row r="81" spans="4:5">
      <c r="D81" s="140"/>
      <c r="E81" s="278"/>
    </row>
    <row r="82" spans="4:5">
      <c r="D82" s="140"/>
      <c r="E82" s="278"/>
    </row>
    <row r="83" spans="4:5">
      <c r="D83" s="140"/>
      <c r="E83" s="278"/>
    </row>
    <row r="84" spans="4:5">
      <c r="D84" s="140"/>
      <c r="E84" s="278"/>
    </row>
    <row r="133" spans="3:4">
      <c r="C133" s="315" t="s">
        <v>195</v>
      </c>
      <c r="D133" s="316"/>
    </row>
    <row r="134" spans="3:4">
      <c r="C134" s="315" t="s">
        <v>194</v>
      </c>
      <c r="D134" s="316"/>
    </row>
    <row r="135" spans="3:4">
      <c r="C135" s="317" t="s">
        <v>196</v>
      </c>
      <c r="D135" s="317">
        <v>1</v>
      </c>
    </row>
  </sheetData>
  <conditionalFormatting sqref="G4:G7">
    <cfRule type="expression" dxfId="3" priority="4" stopIfTrue="1">
      <formula>IF($G4=2, TRUE, FALSE)</formula>
    </cfRule>
  </conditionalFormatting>
  <conditionalFormatting sqref="F6:F7 F4">
    <cfRule type="expression" dxfId="2" priority="1" stopIfTrue="1">
      <formula>IF($G4=1, TRUE, FALSE)</formula>
    </cfRule>
  </conditionalFormatting>
  <conditionalFormatting sqref="H4:H7">
    <cfRule type="expression" dxfId="1" priority="2" stopIfTrue="1">
      <formula>IF($G4=3,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Drop Down 1">
              <controlPr defaultSize="0" autoLine="0" autoPict="0">
                <anchor moveWithCells="1">
                  <from>
                    <xdr:col>2</xdr:col>
                    <xdr:colOff>47625</xdr:colOff>
                    <xdr:row>2</xdr:row>
                    <xdr:rowOff>47625</xdr:rowOff>
                  </from>
                  <to>
                    <xdr:col>2</xdr:col>
                    <xdr:colOff>1628775</xdr:colOff>
                    <xdr:row>3</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C2" sqref="C2"/>
    </sheetView>
  </sheetViews>
  <sheetFormatPr defaultColWidth="10.7109375" defaultRowHeight="12.75"/>
  <cols>
    <col min="1" max="1" width="10.7109375" style="102"/>
    <col min="2" max="2" width="13.7109375" style="102" customWidth="1"/>
    <col min="3" max="3" width="37.140625" style="102" customWidth="1"/>
    <col min="4" max="15" width="10.7109375" style="102"/>
    <col min="16" max="16" width="42.5703125" style="102" customWidth="1"/>
    <col min="17" max="18" width="10.7109375" style="102"/>
    <col min="19" max="19" width="38.28515625" style="102" bestFit="1" customWidth="1"/>
    <col min="20" max="20" width="14.85546875" style="102" customWidth="1"/>
    <col min="21" max="21" width="25.28515625" style="103" bestFit="1" customWidth="1"/>
    <col min="22" max="22" width="10.7109375" style="102"/>
    <col min="23" max="23" width="10.7109375" style="103"/>
    <col min="24" max="24" width="10.7109375" style="102"/>
    <col min="25" max="25" width="10.7109375" style="104"/>
    <col min="26" max="27" width="10.7109375" style="102"/>
    <col min="28" max="28" width="10.7109375" style="104"/>
    <col min="29" max="29" width="10.7109375" style="102"/>
    <col min="30" max="31" width="10.7109375" style="104"/>
    <col min="32" max="32" width="12.5703125" style="104" bestFit="1" customWidth="1"/>
    <col min="33" max="33" width="10.7109375" style="104"/>
    <col min="34" max="34" width="10.7109375" style="102"/>
    <col min="35" max="35" width="16.42578125" style="103" bestFit="1" customWidth="1"/>
    <col min="36" max="36" width="10.7109375" style="102"/>
    <col min="37" max="37" width="10.7109375" style="103"/>
    <col min="38" max="38" width="10.7109375" style="102"/>
    <col min="39" max="39" width="10.7109375" style="104"/>
    <col min="40" max="41" width="10.7109375" style="102"/>
    <col min="42" max="42" width="10.7109375" style="104"/>
    <col min="43" max="43" width="10.7109375" style="102"/>
    <col min="44" max="45" width="10.7109375" style="104"/>
    <col min="46" max="46" width="12.5703125" style="104" bestFit="1" customWidth="1"/>
    <col min="47" max="47" width="10.7109375" style="104"/>
    <col min="48" max="48" width="10.7109375" style="102"/>
    <col min="49" max="49" width="16.42578125" style="103" bestFit="1" customWidth="1"/>
    <col min="50" max="50" width="10.7109375" style="102"/>
    <col min="51" max="51" width="10.7109375" style="103"/>
    <col min="52" max="52" width="10.7109375" style="102"/>
    <col min="53" max="53" width="10.7109375" style="104"/>
    <col min="54" max="55" width="10.7109375" style="102"/>
    <col min="56" max="56" width="10.7109375" style="104"/>
    <col min="57" max="57" width="10.7109375" style="102"/>
    <col min="58" max="59" width="10.7109375" style="104"/>
    <col min="60" max="60" width="12.5703125" style="104" bestFit="1" customWidth="1"/>
    <col min="61" max="61" width="10.7109375" style="104"/>
    <col min="62" max="62" width="10.7109375" style="102"/>
    <col min="63" max="63" width="16.42578125" style="103" bestFit="1" customWidth="1"/>
    <col min="64" max="64" width="10.7109375" style="102"/>
    <col min="65" max="65" width="10.7109375" style="103"/>
    <col min="66" max="66" width="10.7109375" style="102"/>
    <col min="67" max="67" width="10.7109375" style="104"/>
    <col min="68" max="69" width="10.7109375" style="102"/>
    <col min="70" max="70" width="10.7109375" style="104"/>
    <col min="71" max="71" width="10.7109375" style="102"/>
    <col min="72" max="73" width="10.7109375" style="104"/>
    <col min="74" max="74" width="12.5703125" style="104" bestFit="1" customWidth="1"/>
    <col min="75" max="75" width="10.7109375" style="104"/>
    <col min="76" max="76" width="10.7109375" style="102"/>
    <col min="77" max="77" width="16.42578125" style="103" bestFit="1" customWidth="1"/>
    <col min="78" max="78" width="10.7109375" style="102"/>
    <col min="79" max="79" width="10.7109375" style="103"/>
    <col min="80" max="80" width="10.7109375" style="102"/>
    <col min="81" max="81" width="10.7109375" style="104"/>
    <col min="82" max="83" width="10.7109375" style="102"/>
    <col min="84" max="84" width="10.7109375" style="104"/>
    <col min="85" max="85" width="10.7109375" style="102"/>
    <col min="86" max="87" width="10.7109375" style="104"/>
    <col min="88" max="88" width="12.5703125" style="104" bestFit="1" customWidth="1"/>
    <col min="89" max="89" width="10.7109375" style="104"/>
    <col min="90" max="90" width="10.7109375" style="102"/>
    <col min="91" max="91" width="16.42578125" style="103" bestFit="1" customWidth="1"/>
    <col min="92" max="92" width="10.7109375" style="102"/>
    <col min="93" max="93" width="10.7109375" style="103"/>
    <col min="94" max="94" width="10.7109375" style="102"/>
    <col min="95" max="95" width="10.7109375" style="104"/>
    <col min="96" max="97" width="10.7109375" style="102"/>
    <col min="98" max="98" width="10.7109375" style="104"/>
    <col min="99" max="99" width="10.7109375" style="102"/>
    <col min="100" max="101" width="10.7109375" style="104"/>
    <col min="102" max="102" width="12.5703125" style="104" bestFit="1" customWidth="1"/>
    <col min="103" max="103" width="10.7109375" style="104"/>
    <col min="104" max="104" width="10.7109375" style="102"/>
    <col min="105" max="105" width="16.42578125" style="103" bestFit="1" customWidth="1"/>
    <col min="106" max="106" width="10.7109375" style="102"/>
    <col min="107" max="107" width="10.7109375" style="103"/>
    <col min="108" max="108" width="10.7109375" style="102"/>
    <col min="109" max="109" width="10.7109375" style="104"/>
    <col min="110" max="111" width="10.7109375" style="102"/>
    <col min="112" max="112" width="10.7109375" style="104"/>
    <col min="113" max="113" width="10.7109375" style="102"/>
    <col min="114" max="115" width="10.7109375" style="104"/>
    <col min="116" max="116" width="12.5703125" style="104" bestFit="1" customWidth="1"/>
    <col min="117" max="117" width="10.7109375" style="104"/>
    <col min="118" max="118" width="10.7109375" style="102"/>
    <col min="119" max="119" width="16.42578125" style="103" bestFit="1" customWidth="1"/>
    <col min="120" max="120" width="10.7109375" style="102"/>
    <col min="121" max="121" width="10.7109375" style="103"/>
    <col min="122" max="122" width="10.7109375" style="102"/>
    <col min="123" max="123" width="10.7109375" style="104"/>
    <col min="124" max="125" width="10.7109375" style="102"/>
    <col min="126" max="126" width="10.7109375" style="104"/>
    <col min="127" max="127" width="10.7109375" style="102"/>
    <col min="128" max="129" width="10.7109375" style="104"/>
    <col min="130" max="130" width="12.5703125" style="104" bestFit="1" customWidth="1"/>
    <col min="131" max="131" width="10.7109375" style="104"/>
    <col min="132" max="132" width="10.7109375" style="102"/>
    <col min="133" max="133" width="16.42578125" style="103" bestFit="1" customWidth="1"/>
    <col min="134" max="134" width="10.7109375" style="102"/>
    <col min="135" max="135" width="10.7109375" style="103"/>
    <col min="136" max="136" width="10.7109375" style="102"/>
    <col min="137" max="137" width="10.7109375" style="104"/>
    <col min="138" max="139" width="10.7109375" style="102"/>
    <col min="140" max="140" width="10.7109375" style="104"/>
    <col min="141" max="141" width="10.7109375" style="102"/>
    <col min="142" max="143" width="10.7109375" style="104"/>
    <col min="144" max="144" width="12.5703125" style="104" bestFit="1" customWidth="1"/>
    <col min="145" max="145" width="10.7109375" style="104"/>
    <col min="146" max="146" width="10.7109375" style="102"/>
    <col min="147" max="147" width="16.42578125" style="103" bestFit="1" customWidth="1"/>
    <col min="148" max="148" width="10.7109375" style="102"/>
    <col min="149" max="149" width="10.7109375" style="103"/>
    <col min="150" max="150" width="10.7109375" style="102"/>
    <col min="151" max="151" width="10.7109375" style="104"/>
    <col min="152" max="153" width="10.7109375" style="102"/>
    <col min="154" max="154" width="10.7109375" style="104"/>
    <col min="155" max="155" width="10.7109375" style="102"/>
    <col min="156" max="157" width="10.7109375" style="104"/>
    <col min="158" max="158" width="12.5703125" style="104" bestFit="1" customWidth="1"/>
    <col min="159" max="159" width="10.7109375" style="104"/>
    <col min="160" max="16384" width="10.7109375" style="102"/>
  </cols>
  <sheetData>
    <row r="1" spans="2:159" ht="13.5" thickBot="1">
      <c r="U1" s="102"/>
      <c r="W1" s="102"/>
      <c r="Y1" s="102"/>
      <c r="AB1" s="102"/>
      <c r="AD1" s="102"/>
      <c r="AE1" s="102"/>
      <c r="AF1" s="102"/>
      <c r="AG1" s="102"/>
      <c r="AI1" s="102"/>
      <c r="AK1" s="102"/>
      <c r="AM1" s="102"/>
      <c r="AP1" s="102"/>
      <c r="AR1" s="102"/>
      <c r="AS1" s="102"/>
      <c r="AT1" s="102"/>
      <c r="AU1" s="102"/>
      <c r="AW1" s="102"/>
      <c r="AY1" s="102"/>
      <c r="BA1" s="102"/>
      <c r="BD1" s="102"/>
      <c r="BF1" s="102"/>
      <c r="BG1" s="102"/>
      <c r="BH1" s="102"/>
      <c r="BI1" s="102"/>
      <c r="BK1" s="102"/>
      <c r="BM1" s="102"/>
      <c r="BO1" s="102"/>
      <c r="BR1" s="102"/>
      <c r="BT1" s="102"/>
      <c r="BU1" s="102"/>
      <c r="BV1" s="102"/>
      <c r="BW1" s="102"/>
      <c r="BY1" s="102"/>
      <c r="CA1" s="102"/>
      <c r="CC1" s="102"/>
      <c r="CF1" s="102"/>
      <c r="CH1" s="102"/>
      <c r="CI1" s="102"/>
      <c r="CJ1" s="102"/>
      <c r="CK1" s="102"/>
      <c r="CM1" s="102"/>
      <c r="CO1" s="102"/>
      <c r="CQ1" s="102"/>
      <c r="CT1" s="102"/>
      <c r="CV1" s="102"/>
      <c r="CW1" s="102"/>
      <c r="CX1" s="102"/>
      <c r="CY1" s="102"/>
      <c r="DA1" s="102"/>
      <c r="DC1" s="102"/>
      <c r="DE1" s="102"/>
      <c r="DH1" s="102"/>
      <c r="DJ1" s="102"/>
      <c r="DK1" s="102"/>
      <c r="DL1" s="102"/>
      <c r="DM1" s="102"/>
      <c r="DO1" s="102"/>
      <c r="DQ1" s="102"/>
      <c r="DS1" s="102"/>
      <c r="DV1" s="102"/>
      <c r="DX1" s="102"/>
      <c r="DY1" s="102"/>
      <c r="DZ1" s="102"/>
      <c r="EA1" s="102"/>
      <c r="EC1" s="102"/>
      <c r="EE1" s="102"/>
      <c r="EG1" s="102"/>
      <c r="EJ1" s="102"/>
      <c r="EL1" s="102"/>
      <c r="EM1" s="102"/>
      <c r="EN1" s="102"/>
      <c r="EO1" s="102"/>
      <c r="EQ1" s="102"/>
      <c r="ES1" s="102"/>
      <c r="EU1" s="102"/>
      <c r="EX1" s="102"/>
      <c r="EZ1" s="102"/>
      <c r="FA1" s="102"/>
      <c r="FB1" s="102"/>
      <c r="FC1" s="102"/>
    </row>
    <row r="2" spans="2:159" ht="18.75" thickBot="1">
      <c r="B2" s="122" t="s">
        <v>96</v>
      </c>
      <c r="C2" s="123" t="s">
        <v>73</v>
      </c>
      <c r="E2" s="106"/>
      <c r="S2" s="118" t="s">
        <v>89</v>
      </c>
      <c r="T2" s="116"/>
      <c r="U2" s="331" t="s">
        <v>160</v>
      </c>
      <c r="V2" s="332"/>
      <c r="W2" s="332"/>
      <c r="X2" s="332"/>
      <c r="Y2" s="332"/>
      <c r="Z2" s="332"/>
      <c r="AA2" s="332"/>
      <c r="AB2" s="332"/>
      <c r="AC2" s="332"/>
      <c r="AD2" s="332"/>
      <c r="AE2" s="332"/>
      <c r="AF2" s="332"/>
      <c r="AG2" s="333"/>
      <c r="AH2" s="106"/>
      <c r="AI2" s="331" t="s">
        <v>98</v>
      </c>
      <c r="AJ2" s="332"/>
      <c r="AK2" s="332"/>
      <c r="AL2" s="332"/>
      <c r="AM2" s="332"/>
      <c r="AN2" s="332"/>
      <c r="AO2" s="332"/>
      <c r="AP2" s="332"/>
      <c r="AQ2" s="332"/>
      <c r="AR2" s="332"/>
      <c r="AS2" s="332"/>
      <c r="AT2" s="332"/>
      <c r="AU2" s="333"/>
      <c r="AW2" s="331" t="s">
        <v>99</v>
      </c>
      <c r="AX2" s="332"/>
      <c r="AY2" s="332"/>
      <c r="AZ2" s="332"/>
      <c r="BA2" s="332"/>
      <c r="BB2" s="332"/>
      <c r="BC2" s="332"/>
      <c r="BD2" s="332"/>
      <c r="BE2" s="332"/>
      <c r="BF2" s="332"/>
      <c r="BG2" s="332"/>
      <c r="BH2" s="332"/>
      <c r="BI2" s="333"/>
      <c r="BK2" s="331" t="s">
        <v>121</v>
      </c>
      <c r="BL2" s="332"/>
      <c r="BM2" s="332"/>
      <c r="BN2" s="332"/>
      <c r="BO2" s="332"/>
      <c r="BP2" s="332"/>
      <c r="BQ2" s="332"/>
      <c r="BR2" s="332"/>
      <c r="BS2" s="332"/>
      <c r="BT2" s="332"/>
      <c r="BU2" s="332"/>
      <c r="BV2" s="332"/>
      <c r="BW2" s="333"/>
      <c r="BY2" s="331" t="s">
        <v>90</v>
      </c>
      <c r="BZ2" s="332"/>
      <c r="CA2" s="332"/>
      <c r="CB2" s="332"/>
      <c r="CC2" s="332"/>
      <c r="CD2" s="332"/>
      <c r="CE2" s="332"/>
      <c r="CF2" s="332"/>
      <c r="CG2" s="332"/>
      <c r="CH2" s="332"/>
      <c r="CI2" s="332"/>
      <c r="CJ2" s="332"/>
      <c r="CK2" s="333"/>
      <c r="CM2" s="325" t="s">
        <v>91</v>
      </c>
      <c r="CN2" s="326"/>
      <c r="CO2" s="326"/>
      <c r="CP2" s="326"/>
      <c r="CQ2" s="326"/>
      <c r="CR2" s="326"/>
      <c r="CS2" s="326"/>
      <c r="CT2" s="326"/>
      <c r="CU2" s="326"/>
      <c r="CV2" s="326"/>
      <c r="CW2" s="326"/>
      <c r="CX2" s="326"/>
      <c r="CY2" s="327"/>
      <c r="DA2" s="325" t="s">
        <v>92</v>
      </c>
      <c r="DB2" s="326"/>
      <c r="DC2" s="326"/>
      <c r="DD2" s="326"/>
      <c r="DE2" s="326"/>
      <c r="DF2" s="326"/>
      <c r="DG2" s="326"/>
      <c r="DH2" s="326"/>
      <c r="DI2" s="326"/>
      <c r="DJ2" s="326"/>
      <c r="DK2" s="326"/>
      <c r="DL2" s="326"/>
      <c r="DM2" s="327"/>
      <c r="DO2" s="325" t="s">
        <v>93</v>
      </c>
      <c r="DP2" s="326"/>
      <c r="DQ2" s="326"/>
      <c r="DR2" s="326"/>
      <c r="DS2" s="326"/>
      <c r="DT2" s="326"/>
      <c r="DU2" s="326"/>
      <c r="DV2" s="326"/>
      <c r="DW2" s="326"/>
      <c r="DX2" s="326"/>
      <c r="DY2" s="326"/>
      <c r="DZ2" s="326"/>
      <c r="EA2" s="327"/>
      <c r="EC2" s="325" t="s">
        <v>94</v>
      </c>
      <c r="ED2" s="326"/>
      <c r="EE2" s="326"/>
      <c r="EF2" s="326"/>
      <c r="EG2" s="326"/>
      <c r="EH2" s="326"/>
      <c r="EI2" s="326"/>
      <c r="EJ2" s="326"/>
      <c r="EK2" s="326"/>
      <c r="EL2" s="326"/>
      <c r="EM2" s="326"/>
      <c r="EN2" s="326"/>
      <c r="EO2" s="327"/>
      <c r="EQ2" s="325" t="s">
        <v>95</v>
      </c>
      <c r="ER2" s="326"/>
      <c r="ES2" s="326"/>
      <c r="ET2" s="326"/>
      <c r="EU2" s="326"/>
      <c r="EV2" s="326"/>
      <c r="EW2" s="326"/>
      <c r="EX2" s="326"/>
      <c r="EY2" s="326"/>
      <c r="EZ2" s="326"/>
      <c r="FA2" s="326"/>
      <c r="FB2" s="326"/>
      <c r="FC2" s="327"/>
    </row>
    <row r="3" spans="2:159">
      <c r="R3" s="126">
        <v>1</v>
      </c>
      <c r="S3" s="121" t="s">
        <v>152</v>
      </c>
      <c r="T3" s="116"/>
      <c r="U3" s="113"/>
      <c r="V3" s="115"/>
      <c r="W3" s="113"/>
      <c r="X3" s="114" t="s">
        <v>75</v>
      </c>
      <c r="Y3" s="114"/>
      <c r="Z3" s="113"/>
      <c r="AA3" s="114" t="s">
        <v>76</v>
      </c>
      <c r="AB3" s="115"/>
      <c r="AC3" s="114"/>
      <c r="AD3" s="114"/>
      <c r="AE3" s="328" t="s">
        <v>88</v>
      </c>
      <c r="AF3" s="329"/>
      <c r="AG3" s="330"/>
      <c r="AI3" s="113"/>
      <c r="AJ3" s="115"/>
      <c r="AK3" s="113"/>
      <c r="AL3" s="114" t="s">
        <v>75</v>
      </c>
      <c r="AM3" s="114"/>
      <c r="AN3" s="113"/>
      <c r="AO3" s="114" t="s">
        <v>76</v>
      </c>
      <c r="AP3" s="115"/>
      <c r="AQ3" s="114"/>
      <c r="AR3" s="114"/>
      <c r="AS3" s="328" t="s">
        <v>88</v>
      </c>
      <c r="AT3" s="329"/>
      <c r="AU3" s="330"/>
      <c r="AW3" s="113"/>
      <c r="AX3" s="115"/>
      <c r="AY3" s="113"/>
      <c r="AZ3" s="114" t="s">
        <v>75</v>
      </c>
      <c r="BA3" s="114"/>
      <c r="BB3" s="113"/>
      <c r="BC3" s="114" t="s">
        <v>76</v>
      </c>
      <c r="BD3" s="115"/>
      <c r="BE3" s="114"/>
      <c r="BF3" s="114"/>
      <c r="BG3" s="328" t="s">
        <v>88</v>
      </c>
      <c r="BH3" s="329"/>
      <c r="BI3" s="330"/>
      <c r="BK3" s="113"/>
      <c r="BL3" s="115"/>
      <c r="BM3" s="113"/>
      <c r="BN3" s="114" t="s">
        <v>75</v>
      </c>
      <c r="BO3" s="114"/>
      <c r="BP3" s="113"/>
      <c r="BQ3" s="114" t="s">
        <v>76</v>
      </c>
      <c r="BR3" s="115"/>
      <c r="BS3" s="114"/>
      <c r="BT3" s="114"/>
      <c r="BU3" s="328" t="s">
        <v>88</v>
      </c>
      <c r="BV3" s="329"/>
      <c r="BW3" s="330"/>
      <c r="BY3" s="113"/>
      <c r="BZ3" s="115"/>
      <c r="CA3" s="113"/>
      <c r="CB3" s="114" t="s">
        <v>75</v>
      </c>
      <c r="CC3" s="114"/>
      <c r="CD3" s="113"/>
      <c r="CE3" s="114" t="s">
        <v>76</v>
      </c>
      <c r="CF3" s="115"/>
      <c r="CG3" s="114"/>
      <c r="CH3" s="114"/>
      <c r="CI3" s="328" t="s">
        <v>88</v>
      </c>
      <c r="CJ3" s="329"/>
      <c r="CK3" s="330"/>
      <c r="CM3" s="113"/>
      <c r="CN3" s="115"/>
      <c r="CO3" s="113"/>
      <c r="CP3" s="114" t="s">
        <v>75</v>
      </c>
      <c r="CQ3" s="114"/>
      <c r="CR3" s="113"/>
      <c r="CS3" s="114" t="s">
        <v>76</v>
      </c>
      <c r="CT3" s="115"/>
      <c r="CU3" s="114"/>
      <c r="CV3" s="114"/>
      <c r="CW3" s="328" t="s">
        <v>88</v>
      </c>
      <c r="CX3" s="329"/>
      <c r="CY3" s="330"/>
      <c r="DA3" s="113"/>
      <c r="DB3" s="115"/>
      <c r="DC3" s="113"/>
      <c r="DD3" s="114" t="s">
        <v>75</v>
      </c>
      <c r="DE3" s="114"/>
      <c r="DF3" s="113"/>
      <c r="DG3" s="114" t="s">
        <v>76</v>
      </c>
      <c r="DH3" s="115"/>
      <c r="DI3" s="114"/>
      <c r="DJ3" s="114"/>
      <c r="DK3" s="328" t="s">
        <v>88</v>
      </c>
      <c r="DL3" s="329"/>
      <c r="DM3" s="330"/>
      <c r="DO3" s="113"/>
      <c r="DP3" s="115"/>
      <c r="DQ3" s="113"/>
      <c r="DR3" s="114" t="s">
        <v>75</v>
      </c>
      <c r="DS3" s="114"/>
      <c r="DT3" s="113"/>
      <c r="DU3" s="114" t="s">
        <v>76</v>
      </c>
      <c r="DV3" s="115"/>
      <c r="DW3" s="114"/>
      <c r="DX3" s="114"/>
      <c r="DY3" s="328" t="s">
        <v>88</v>
      </c>
      <c r="DZ3" s="329"/>
      <c r="EA3" s="330"/>
      <c r="EC3" s="113"/>
      <c r="ED3" s="115"/>
      <c r="EE3" s="113"/>
      <c r="EF3" s="114" t="s">
        <v>75</v>
      </c>
      <c r="EG3" s="114"/>
      <c r="EH3" s="113"/>
      <c r="EI3" s="114" t="s">
        <v>76</v>
      </c>
      <c r="EJ3" s="115"/>
      <c r="EK3" s="114"/>
      <c r="EL3" s="114"/>
      <c r="EM3" s="328" t="s">
        <v>88</v>
      </c>
      <c r="EN3" s="329"/>
      <c r="EO3" s="330"/>
      <c r="EQ3" s="113"/>
      <c r="ER3" s="115"/>
      <c r="ES3" s="113"/>
      <c r="ET3" s="114" t="s">
        <v>75</v>
      </c>
      <c r="EU3" s="114"/>
      <c r="EV3" s="113"/>
      <c r="EW3" s="114" t="s">
        <v>76</v>
      </c>
      <c r="EX3" s="115"/>
      <c r="EY3" s="114"/>
      <c r="EZ3" s="114"/>
      <c r="FA3" s="328" t="s">
        <v>88</v>
      </c>
      <c r="FB3" s="329"/>
      <c r="FC3" s="330"/>
    </row>
    <row r="4" spans="2:159">
      <c r="R4" s="126">
        <v>2</v>
      </c>
      <c r="S4" s="119" t="s">
        <v>72</v>
      </c>
      <c r="T4" s="116"/>
      <c r="U4" s="111" t="s">
        <v>77</v>
      </c>
      <c r="V4" s="110" t="s">
        <v>78</v>
      </c>
      <c r="W4" s="107" t="s">
        <v>14</v>
      </c>
      <c r="X4" s="108" t="s">
        <v>79</v>
      </c>
      <c r="Y4" s="109" t="s">
        <v>16</v>
      </c>
      <c r="Z4" s="108" t="s">
        <v>14</v>
      </c>
      <c r="AA4" s="108" t="s">
        <v>15</v>
      </c>
      <c r="AB4" s="109" t="s">
        <v>16</v>
      </c>
      <c r="AC4" s="108" t="s">
        <v>80</v>
      </c>
      <c r="AD4" s="109" t="s">
        <v>81</v>
      </c>
      <c r="AE4" s="112" t="s">
        <v>86</v>
      </c>
      <c r="AF4" s="109" t="s">
        <v>87</v>
      </c>
      <c r="AG4" s="109" t="s">
        <v>9</v>
      </c>
      <c r="AI4" s="111" t="s">
        <v>77</v>
      </c>
      <c r="AJ4" s="110" t="s">
        <v>78</v>
      </c>
      <c r="AK4" s="107" t="s">
        <v>14</v>
      </c>
      <c r="AL4" s="108" t="s">
        <v>79</v>
      </c>
      <c r="AM4" s="109" t="s">
        <v>16</v>
      </c>
      <c r="AN4" s="108" t="s">
        <v>14</v>
      </c>
      <c r="AO4" s="108" t="s">
        <v>15</v>
      </c>
      <c r="AP4" s="109" t="s">
        <v>16</v>
      </c>
      <c r="AQ4" s="108" t="s">
        <v>80</v>
      </c>
      <c r="AR4" s="109" t="s">
        <v>81</v>
      </c>
      <c r="AS4" s="112" t="s">
        <v>86</v>
      </c>
      <c r="AT4" s="109" t="s">
        <v>87</v>
      </c>
      <c r="AU4" s="109" t="s">
        <v>9</v>
      </c>
      <c r="AW4" s="111" t="s">
        <v>77</v>
      </c>
      <c r="AX4" s="110" t="s">
        <v>78</v>
      </c>
      <c r="AY4" s="107" t="s">
        <v>14</v>
      </c>
      <c r="AZ4" s="108" t="s">
        <v>79</v>
      </c>
      <c r="BA4" s="109" t="s">
        <v>16</v>
      </c>
      <c r="BB4" s="108" t="s">
        <v>14</v>
      </c>
      <c r="BC4" s="108" t="s">
        <v>15</v>
      </c>
      <c r="BD4" s="109" t="s">
        <v>16</v>
      </c>
      <c r="BE4" s="108" t="s">
        <v>80</v>
      </c>
      <c r="BF4" s="109" t="s">
        <v>81</v>
      </c>
      <c r="BG4" s="112" t="s">
        <v>86</v>
      </c>
      <c r="BH4" s="109" t="s">
        <v>87</v>
      </c>
      <c r="BI4" s="109" t="s">
        <v>9</v>
      </c>
      <c r="BK4" s="111" t="s">
        <v>77</v>
      </c>
      <c r="BL4" s="110" t="s">
        <v>78</v>
      </c>
      <c r="BM4" s="107" t="s">
        <v>14</v>
      </c>
      <c r="BN4" s="108" t="s">
        <v>79</v>
      </c>
      <c r="BO4" s="109" t="s">
        <v>16</v>
      </c>
      <c r="BP4" s="108" t="s">
        <v>14</v>
      </c>
      <c r="BQ4" s="108" t="s">
        <v>15</v>
      </c>
      <c r="BR4" s="109" t="s">
        <v>16</v>
      </c>
      <c r="BS4" s="108" t="s">
        <v>80</v>
      </c>
      <c r="BT4" s="109" t="s">
        <v>81</v>
      </c>
      <c r="BU4" s="112" t="s">
        <v>86</v>
      </c>
      <c r="BV4" s="109" t="s">
        <v>87</v>
      </c>
      <c r="BW4" s="109" t="s">
        <v>9</v>
      </c>
      <c r="BY4" s="111" t="s">
        <v>77</v>
      </c>
      <c r="BZ4" s="110" t="s">
        <v>78</v>
      </c>
      <c r="CA4" s="107" t="s">
        <v>14</v>
      </c>
      <c r="CB4" s="108" t="s">
        <v>79</v>
      </c>
      <c r="CC4" s="109" t="s">
        <v>16</v>
      </c>
      <c r="CD4" s="108" t="s">
        <v>14</v>
      </c>
      <c r="CE4" s="108" t="s">
        <v>15</v>
      </c>
      <c r="CF4" s="109" t="s">
        <v>16</v>
      </c>
      <c r="CG4" s="108" t="s">
        <v>80</v>
      </c>
      <c r="CH4" s="109" t="s">
        <v>81</v>
      </c>
      <c r="CI4" s="112" t="s">
        <v>86</v>
      </c>
      <c r="CJ4" s="109" t="s">
        <v>87</v>
      </c>
      <c r="CK4" s="109" t="s">
        <v>9</v>
      </c>
      <c r="CM4" s="111" t="s">
        <v>77</v>
      </c>
      <c r="CN4" s="110" t="s">
        <v>78</v>
      </c>
      <c r="CO4" s="107" t="s">
        <v>14</v>
      </c>
      <c r="CP4" s="108" t="s">
        <v>79</v>
      </c>
      <c r="CQ4" s="109" t="s">
        <v>16</v>
      </c>
      <c r="CR4" s="108" t="s">
        <v>14</v>
      </c>
      <c r="CS4" s="108" t="s">
        <v>15</v>
      </c>
      <c r="CT4" s="109" t="s">
        <v>16</v>
      </c>
      <c r="CU4" s="108" t="s">
        <v>80</v>
      </c>
      <c r="CV4" s="109" t="s">
        <v>81</v>
      </c>
      <c r="CW4" s="112" t="s">
        <v>86</v>
      </c>
      <c r="CX4" s="109" t="s">
        <v>87</v>
      </c>
      <c r="CY4" s="109" t="s">
        <v>9</v>
      </c>
      <c r="DA4" s="111" t="s">
        <v>77</v>
      </c>
      <c r="DB4" s="110" t="s">
        <v>78</v>
      </c>
      <c r="DC4" s="107" t="s">
        <v>14</v>
      </c>
      <c r="DD4" s="108" t="s">
        <v>79</v>
      </c>
      <c r="DE4" s="109" t="s">
        <v>16</v>
      </c>
      <c r="DF4" s="108" t="s">
        <v>14</v>
      </c>
      <c r="DG4" s="108" t="s">
        <v>15</v>
      </c>
      <c r="DH4" s="109" t="s">
        <v>16</v>
      </c>
      <c r="DI4" s="108" t="s">
        <v>80</v>
      </c>
      <c r="DJ4" s="109" t="s">
        <v>81</v>
      </c>
      <c r="DK4" s="112" t="s">
        <v>86</v>
      </c>
      <c r="DL4" s="109" t="s">
        <v>87</v>
      </c>
      <c r="DM4" s="109" t="s">
        <v>9</v>
      </c>
      <c r="DO4" s="111" t="s">
        <v>77</v>
      </c>
      <c r="DP4" s="110" t="s">
        <v>78</v>
      </c>
      <c r="DQ4" s="107" t="s">
        <v>14</v>
      </c>
      <c r="DR4" s="108" t="s">
        <v>79</v>
      </c>
      <c r="DS4" s="109" t="s">
        <v>16</v>
      </c>
      <c r="DT4" s="108" t="s">
        <v>14</v>
      </c>
      <c r="DU4" s="108" t="s">
        <v>15</v>
      </c>
      <c r="DV4" s="109" t="s">
        <v>16</v>
      </c>
      <c r="DW4" s="108" t="s">
        <v>80</v>
      </c>
      <c r="DX4" s="109" t="s">
        <v>81</v>
      </c>
      <c r="DY4" s="112" t="s">
        <v>86</v>
      </c>
      <c r="DZ4" s="109" t="s">
        <v>87</v>
      </c>
      <c r="EA4" s="109" t="s">
        <v>9</v>
      </c>
      <c r="EC4" s="111" t="s">
        <v>77</v>
      </c>
      <c r="ED4" s="110" t="s">
        <v>78</v>
      </c>
      <c r="EE4" s="107" t="s">
        <v>14</v>
      </c>
      <c r="EF4" s="108" t="s">
        <v>79</v>
      </c>
      <c r="EG4" s="109" t="s">
        <v>16</v>
      </c>
      <c r="EH4" s="108" t="s">
        <v>14</v>
      </c>
      <c r="EI4" s="108" t="s">
        <v>15</v>
      </c>
      <c r="EJ4" s="109" t="s">
        <v>16</v>
      </c>
      <c r="EK4" s="108" t="s">
        <v>80</v>
      </c>
      <c r="EL4" s="109" t="s">
        <v>81</v>
      </c>
      <c r="EM4" s="112" t="s">
        <v>86</v>
      </c>
      <c r="EN4" s="109" t="s">
        <v>87</v>
      </c>
      <c r="EO4" s="109" t="s">
        <v>9</v>
      </c>
      <c r="EQ4" s="111" t="s">
        <v>77</v>
      </c>
      <c r="ER4" s="110" t="s">
        <v>78</v>
      </c>
      <c r="ES4" s="107" t="s">
        <v>14</v>
      </c>
      <c r="ET4" s="108" t="s">
        <v>79</v>
      </c>
      <c r="EU4" s="109" t="s">
        <v>16</v>
      </c>
      <c r="EV4" s="108" t="s">
        <v>14</v>
      </c>
      <c r="EW4" s="108" t="s">
        <v>15</v>
      </c>
      <c r="EX4" s="109" t="s">
        <v>16</v>
      </c>
      <c r="EY4" s="108" t="s">
        <v>80</v>
      </c>
      <c r="EZ4" s="109" t="s">
        <v>81</v>
      </c>
      <c r="FA4" s="112" t="s">
        <v>86</v>
      </c>
      <c r="FB4" s="109" t="s">
        <v>87</v>
      </c>
      <c r="FC4" s="109" t="s">
        <v>9</v>
      </c>
    </row>
    <row r="5" spans="2:159">
      <c r="R5" s="126">
        <v>3</v>
      </c>
      <c r="S5" s="119" t="s">
        <v>73</v>
      </c>
      <c r="T5" s="116"/>
      <c r="U5" s="117" t="s">
        <v>97</v>
      </c>
      <c r="V5" s="102" t="s">
        <v>2</v>
      </c>
      <c r="Z5" s="124">
        <v>0</v>
      </c>
      <c r="AA5" s="124">
        <v>0</v>
      </c>
      <c r="AB5" s="125">
        <v>0</v>
      </c>
      <c r="AE5" s="104">
        <v>9.765625E-4</v>
      </c>
      <c r="AF5" s="104">
        <v>9.765625E-4</v>
      </c>
      <c r="AG5" s="104">
        <v>0</v>
      </c>
      <c r="AI5" s="117" t="s">
        <v>97</v>
      </c>
      <c r="AJ5" s="102" t="s">
        <v>2</v>
      </c>
      <c r="AN5" s="124">
        <v>0</v>
      </c>
      <c r="AO5" s="124">
        <v>0</v>
      </c>
      <c r="AP5" s="125">
        <v>0</v>
      </c>
      <c r="AS5" s="104">
        <v>9.765625E-4</v>
      </c>
      <c r="AT5" s="104">
        <v>9.765625E-4</v>
      </c>
      <c r="AU5" s="104">
        <v>0</v>
      </c>
      <c r="AW5" s="117" t="s">
        <v>97</v>
      </c>
      <c r="AX5" s="102" t="s">
        <v>18</v>
      </c>
      <c r="BB5" s="102">
        <v>0</v>
      </c>
      <c r="BC5" s="102">
        <v>0</v>
      </c>
      <c r="BD5" s="104">
        <v>0</v>
      </c>
      <c r="BG5" s="104">
        <v>9.765625E-4</v>
      </c>
      <c r="BH5" s="104">
        <v>9.765625E-4</v>
      </c>
      <c r="BI5" s="104">
        <v>0</v>
      </c>
      <c r="BK5" s="117" t="s">
        <v>97</v>
      </c>
      <c r="BL5" s="102" t="s">
        <v>2</v>
      </c>
      <c r="BP5" s="102">
        <v>0</v>
      </c>
      <c r="BQ5" s="102">
        <v>0</v>
      </c>
      <c r="BR5" s="104">
        <v>0</v>
      </c>
      <c r="BU5" s="104">
        <v>9.765625E-4</v>
      </c>
      <c r="BV5" s="104">
        <v>9.765625E-4</v>
      </c>
      <c r="BW5" s="104">
        <v>0</v>
      </c>
      <c r="BY5" s="117" t="s">
        <v>85</v>
      </c>
      <c r="CM5" s="117" t="s">
        <v>85</v>
      </c>
      <c r="DA5" s="117" t="s">
        <v>85</v>
      </c>
      <c r="DO5" s="117" t="s">
        <v>85</v>
      </c>
      <c r="EC5" s="117" t="s">
        <v>85</v>
      </c>
      <c r="EQ5" s="117" t="s">
        <v>85</v>
      </c>
    </row>
    <row r="6" spans="2:159">
      <c r="R6" s="126">
        <v>4</v>
      </c>
      <c r="S6" s="119" t="s">
        <v>120</v>
      </c>
      <c r="T6" s="116"/>
      <c r="U6" s="103" t="s">
        <v>60</v>
      </c>
      <c r="V6" s="102" t="s">
        <v>19</v>
      </c>
      <c r="W6" s="103">
        <v>0.05</v>
      </c>
      <c r="X6" s="102">
        <v>0.1</v>
      </c>
      <c r="Y6" s="104">
        <v>0.15</v>
      </c>
      <c r="Z6" s="102">
        <v>0</v>
      </c>
      <c r="AA6" s="102">
        <v>0</v>
      </c>
      <c r="AB6" s="104">
        <v>0</v>
      </c>
      <c r="AC6" s="102">
        <v>0</v>
      </c>
      <c r="AD6" s="104">
        <v>0</v>
      </c>
      <c r="AE6" s="104">
        <v>1.953125E-3</v>
      </c>
      <c r="AF6" s="104">
        <v>2.9296875E-3</v>
      </c>
      <c r="AG6" s="104">
        <v>0</v>
      </c>
      <c r="AI6" s="103" t="s">
        <v>60</v>
      </c>
      <c r="AJ6" s="102" t="s">
        <v>19</v>
      </c>
      <c r="AK6" s="103">
        <v>0.05</v>
      </c>
      <c r="AL6" s="102">
        <v>0.1</v>
      </c>
      <c r="AM6" s="104">
        <v>0.15</v>
      </c>
      <c r="AN6" s="102">
        <v>0</v>
      </c>
      <c r="AO6" s="102">
        <v>0</v>
      </c>
      <c r="AP6" s="104">
        <v>0</v>
      </c>
      <c r="AQ6" s="102">
        <v>0</v>
      </c>
      <c r="AR6" s="104">
        <v>0</v>
      </c>
      <c r="AS6" s="104">
        <v>1.953125E-3</v>
      </c>
      <c r="AT6" s="104">
        <v>2.9296875E-3</v>
      </c>
      <c r="AU6" s="104">
        <v>0</v>
      </c>
      <c r="AW6" s="103" t="s">
        <v>60</v>
      </c>
      <c r="AX6" s="102" t="s">
        <v>19</v>
      </c>
      <c r="AY6" s="103">
        <v>0.05</v>
      </c>
      <c r="AZ6" s="102">
        <v>0.1</v>
      </c>
      <c r="BA6" s="104">
        <v>0.15</v>
      </c>
      <c r="BB6" s="102">
        <v>0</v>
      </c>
      <c r="BC6" s="102">
        <v>0</v>
      </c>
      <c r="BD6" s="104">
        <v>0</v>
      </c>
      <c r="BE6" s="102">
        <v>0</v>
      </c>
      <c r="BF6" s="104">
        <v>0</v>
      </c>
      <c r="BG6" s="104">
        <v>1.953125E-3</v>
      </c>
      <c r="BH6" s="104">
        <v>2.9296875E-3</v>
      </c>
      <c r="BI6" s="104">
        <v>0</v>
      </c>
      <c r="BK6" s="103" t="s">
        <v>60</v>
      </c>
      <c r="BL6" s="102" t="s">
        <v>19</v>
      </c>
      <c r="BM6" s="103">
        <v>0.05</v>
      </c>
      <c r="BN6" s="102">
        <v>0.1</v>
      </c>
      <c r="BO6" s="104">
        <v>0.15</v>
      </c>
      <c r="BP6" s="102">
        <v>0</v>
      </c>
      <c r="BQ6" s="102">
        <v>0</v>
      </c>
      <c r="BR6" s="104">
        <v>0</v>
      </c>
      <c r="BS6" s="102">
        <v>0</v>
      </c>
      <c r="BT6" s="104">
        <v>0</v>
      </c>
      <c r="BU6" s="104">
        <v>1.953125E-3</v>
      </c>
      <c r="BV6" s="104">
        <v>2.9296875E-3</v>
      </c>
      <c r="BW6" s="104">
        <v>0</v>
      </c>
    </row>
    <row r="7" spans="2:159">
      <c r="R7" s="126">
        <v>5</v>
      </c>
      <c r="S7" s="119" t="str">
        <f t="shared" ref="S7:S12" si="0">"--Not Used--"</f>
        <v>--Not Used--</v>
      </c>
      <c r="T7" s="116"/>
      <c r="U7" s="103" t="s">
        <v>61</v>
      </c>
      <c r="V7" s="102" t="s">
        <v>19</v>
      </c>
      <c r="W7" s="103">
        <v>0.02</v>
      </c>
      <c r="X7" s="102">
        <v>0.03</v>
      </c>
      <c r="Y7" s="104">
        <v>0.04</v>
      </c>
      <c r="Z7" s="102">
        <v>0</v>
      </c>
      <c r="AA7" s="102">
        <v>0</v>
      </c>
      <c r="AB7" s="104">
        <v>0</v>
      </c>
      <c r="AC7" s="102">
        <v>0</v>
      </c>
      <c r="AD7" s="104">
        <v>0</v>
      </c>
      <c r="AE7" s="104">
        <v>3.90625E-3</v>
      </c>
      <c r="AF7" s="104">
        <v>6.8359375E-3</v>
      </c>
      <c r="AG7" s="104">
        <v>0</v>
      </c>
      <c r="AI7" s="103" t="s">
        <v>61</v>
      </c>
      <c r="AJ7" s="102" t="s">
        <v>19</v>
      </c>
      <c r="AK7" s="103">
        <v>0.02</v>
      </c>
      <c r="AL7" s="102">
        <v>0.03</v>
      </c>
      <c r="AM7" s="104">
        <v>0.04</v>
      </c>
      <c r="AN7" s="102">
        <v>0</v>
      </c>
      <c r="AO7" s="102">
        <v>0</v>
      </c>
      <c r="AP7" s="104">
        <v>0</v>
      </c>
      <c r="AQ7" s="102">
        <v>0</v>
      </c>
      <c r="AR7" s="104">
        <v>0</v>
      </c>
      <c r="AS7" s="104">
        <v>3.90625E-3</v>
      </c>
      <c r="AT7" s="104">
        <v>6.8359375E-3</v>
      </c>
      <c r="AU7" s="104">
        <v>0</v>
      </c>
      <c r="AW7" s="103" t="s">
        <v>61</v>
      </c>
      <c r="AX7" s="102" t="s">
        <v>19</v>
      </c>
      <c r="AY7" s="103">
        <v>0.02</v>
      </c>
      <c r="AZ7" s="102">
        <v>0.03</v>
      </c>
      <c r="BA7" s="104">
        <v>0.04</v>
      </c>
      <c r="BB7" s="102">
        <v>0</v>
      </c>
      <c r="BC7" s="102">
        <v>0</v>
      </c>
      <c r="BD7" s="104">
        <v>0</v>
      </c>
      <c r="BE7" s="102">
        <v>0</v>
      </c>
      <c r="BF7" s="104">
        <v>0</v>
      </c>
      <c r="BG7" s="104">
        <v>3.90625E-3</v>
      </c>
      <c r="BH7" s="104">
        <v>6.8359375E-3</v>
      </c>
      <c r="BI7" s="104">
        <v>0</v>
      </c>
      <c r="BK7" s="103" t="s">
        <v>61</v>
      </c>
      <c r="BL7" s="102" t="s">
        <v>19</v>
      </c>
      <c r="BM7" s="103">
        <v>0.02</v>
      </c>
      <c r="BN7" s="102">
        <v>0.03</v>
      </c>
      <c r="BO7" s="104">
        <v>0.04</v>
      </c>
      <c r="BP7" s="102">
        <v>0</v>
      </c>
      <c r="BQ7" s="102">
        <v>0</v>
      </c>
      <c r="BR7" s="104">
        <v>0</v>
      </c>
      <c r="BS7" s="102">
        <v>0</v>
      </c>
      <c r="BT7" s="104">
        <v>0</v>
      </c>
      <c r="BU7" s="104">
        <v>3.90625E-3</v>
      </c>
      <c r="BV7" s="104">
        <v>6.8359375E-3</v>
      </c>
      <c r="BW7" s="104">
        <v>0</v>
      </c>
    </row>
    <row r="8" spans="2:159">
      <c r="R8" s="126">
        <v>6</v>
      </c>
      <c r="S8" s="119" t="str">
        <f t="shared" si="0"/>
        <v>--Not Used--</v>
      </c>
      <c r="T8" s="116"/>
      <c r="U8" s="103" t="s">
        <v>40</v>
      </c>
      <c r="V8" s="102" t="s">
        <v>19</v>
      </c>
      <c r="W8" s="103">
        <v>0.4</v>
      </c>
      <c r="X8" s="102">
        <v>0.5</v>
      </c>
      <c r="Y8" s="104">
        <v>0.75</v>
      </c>
      <c r="Z8" s="102">
        <v>0</v>
      </c>
      <c r="AA8" s="102">
        <v>0</v>
      </c>
      <c r="AB8" s="104">
        <v>0</v>
      </c>
      <c r="AC8" s="102">
        <v>0</v>
      </c>
      <c r="AD8" s="104">
        <v>0</v>
      </c>
      <c r="AE8" s="104">
        <v>1.953125E-3</v>
      </c>
      <c r="AF8" s="104">
        <v>8.7890625E-3</v>
      </c>
      <c r="AG8" s="104">
        <v>0</v>
      </c>
      <c r="AI8" s="103" t="s">
        <v>40</v>
      </c>
      <c r="AJ8" s="102" t="s">
        <v>19</v>
      </c>
      <c r="AK8" s="103">
        <v>0.4</v>
      </c>
      <c r="AL8" s="102">
        <v>0.5</v>
      </c>
      <c r="AM8" s="104">
        <v>0.75</v>
      </c>
      <c r="AN8" s="102">
        <v>0</v>
      </c>
      <c r="AO8" s="102">
        <v>0</v>
      </c>
      <c r="AP8" s="104">
        <v>0</v>
      </c>
      <c r="AQ8" s="102">
        <v>0</v>
      </c>
      <c r="AR8" s="104">
        <v>0</v>
      </c>
      <c r="AS8" s="104">
        <v>1.953125E-3</v>
      </c>
      <c r="AT8" s="104">
        <v>8.7890625E-3</v>
      </c>
      <c r="AU8" s="104">
        <v>0</v>
      </c>
      <c r="AW8" s="103" t="s">
        <v>40</v>
      </c>
      <c r="AX8" s="102" t="s">
        <v>19</v>
      </c>
      <c r="AY8" s="103">
        <v>0.4</v>
      </c>
      <c r="AZ8" s="102">
        <v>0.5</v>
      </c>
      <c r="BA8" s="104">
        <v>0.75</v>
      </c>
      <c r="BB8" s="102">
        <v>0</v>
      </c>
      <c r="BC8" s="102">
        <v>0</v>
      </c>
      <c r="BD8" s="104">
        <v>0</v>
      </c>
      <c r="BE8" s="102">
        <v>0</v>
      </c>
      <c r="BF8" s="104">
        <v>0</v>
      </c>
      <c r="BG8" s="104">
        <v>1.953125E-3</v>
      </c>
      <c r="BH8" s="104">
        <v>8.7890625E-3</v>
      </c>
      <c r="BI8" s="104">
        <v>0</v>
      </c>
      <c r="BK8" s="103" t="s">
        <v>40</v>
      </c>
      <c r="BL8" s="102" t="s">
        <v>19</v>
      </c>
      <c r="BM8" s="103">
        <v>0.4</v>
      </c>
      <c r="BN8" s="102">
        <v>0.5</v>
      </c>
      <c r="BO8" s="104">
        <v>0.75</v>
      </c>
      <c r="BP8" s="102">
        <v>0</v>
      </c>
      <c r="BQ8" s="102">
        <v>0</v>
      </c>
      <c r="BR8" s="104">
        <v>0</v>
      </c>
      <c r="BS8" s="102">
        <v>0</v>
      </c>
      <c r="BT8" s="104">
        <v>0</v>
      </c>
      <c r="BU8" s="104">
        <v>1.953125E-3</v>
      </c>
      <c r="BV8" s="104">
        <v>8.7890625E-3</v>
      </c>
      <c r="BW8" s="104">
        <v>0</v>
      </c>
    </row>
    <row r="9" spans="2:159">
      <c r="R9" s="126">
        <v>7</v>
      </c>
      <c r="S9" s="119" t="str">
        <f t="shared" si="0"/>
        <v>--Not Used--</v>
      </c>
      <c r="T9" s="116"/>
      <c r="U9" s="103" t="s">
        <v>59</v>
      </c>
      <c r="V9" s="102" t="s">
        <v>19</v>
      </c>
      <c r="W9" s="103">
        <v>0.13</v>
      </c>
      <c r="X9" s="102">
        <v>0.35</v>
      </c>
      <c r="Y9" s="104">
        <v>0.45</v>
      </c>
      <c r="Z9" s="102">
        <v>0</v>
      </c>
      <c r="AA9" s="102">
        <v>0</v>
      </c>
      <c r="AB9" s="104">
        <v>0</v>
      </c>
      <c r="AC9" s="102">
        <v>0</v>
      </c>
      <c r="AD9" s="104">
        <v>0</v>
      </c>
      <c r="AE9" s="104">
        <v>3.90625E-3</v>
      </c>
      <c r="AF9" s="104">
        <v>1.26953125E-2</v>
      </c>
      <c r="AG9" s="104">
        <v>0</v>
      </c>
      <c r="AI9" s="103" t="s">
        <v>59</v>
      </c>
      <c r="AJ9" s="102" t="s">
        <v>19</v>
      </c>
      <c r="AK9" s="103">
        <v>0.13</v>
      </c>
      <c r="AL9" s="102">
        <v>0.35</v>
      </c>
      <c r="AM9" s="104">
        <v>0.45</v>
      </c>
      <c r="AN9" s="102">
        <v>0</v>
      </c>
      <c r="AO9" s="102">
        <v>0</v>
      </c>
      <c r="AP9" s="104">
        <v>0</v>
      </c>
      <c r="AQ9" s="102">
        <v>0</v>
      </c>
      <c r="AR9" s="104">
        <v>0</v>
      </c>
      <c r="AS9" s="104">
        <v>3.90625E-3</v>
      </c>
      <c r="AT9" s="104">
        <v>1.26953125E-2</v>
      </c>
      <c r="AU9" s="104">
        <v>0</v>
      </c>
      <c r="AW9" s="103" t="s">
        <v>59</v>
      </c>
      <c r="AX9" s="102" t="s">
        <v>19</v>
      </c>
      <c r="AY9" s="103">
        <v>0.13</v>
      </c>
      <c r="AZ9" s="102">
        <v>0.35</v>
      </c>
      <c r="BA9" s="104">
        <v>0.45</v>
      </c>
      <c r="BB9" s="102">
        <v>0</v>
      </c>
      <c r="BC9" s="102">
        <v>0</v>
      </c>
      <c r="BD9" s="104">
        <v>0</v>
      </c>
      <c r="BE9" s="102">
        <v>0</v>
      </c>
      <c r="BF9" s="104">
        <v>0</v>
      </c>
      <c r="BG9" s="104">
        <v>3.90625E-3</v>
      </c>
      <c r="BH9" s="104">
        <v>1.26953125E-2</v>
      </c>
      <c r="BI9" s="104">
        <v>0</v>
      </c>
      <c r="BK9" s="103" t="s">
        <v>59</v>
      </c>
      <c r="BL9" s="102" t="s">
        <v>19</v>
      </c>
      <c r="BM9" s="103">
        <v>0.13</v>
      </c>
      <c r="BN9" s="102">
        <v>0.35</v>
      </c>
      <c r="BO9" s="104">
        <v>0.45</v>
      </c>
      <c r="BP9" s="102">
        <v>0</v>
      </c>
      <c r="BQ9" s="102">
        <v>0</v>
      </c>
      <c r="BR9" s="104">
        <v>0</v>
      </c>
      <c r="BS9" s="102">
        <v>0</v>
      </c>
      <c r="BT9" s="104">
        <v>0</v>
      </c>
      <c r="BU9" s="104">
        <v>3.90625E-3</v>
      </c>
      <c r="BV9" s="104">
        <v>1.26953125E-2</v>
      </c>
      <c r="BW9" s="104">
        <v>0</v>
      </c>
    </row>
    <row r="10" spans="2:159">
      <c r="R10" s="126">
        <v>8</v>
      </c>
      <c r="S10" s="119" t="str">
        <f t="shared" si="0"/>
        <v>--Not Used--</v>
      </c>
      <c r="T10" s="116"/>
      <c r="U10" s="103" t="s">
        <v>50</v>
      </c>
      <c r="V10" s="102" t="s">
        <v>2</v>
      </c>
      <c r="W10" s="103">
        <v>5</v>
      </c>
      <c r="X10" s="102">
        <v>8</v>
      </c>
      <c r="Y10" s="104">
        <v>20</v>
      </c>
      <c r="Z10" s="102">
        <v>0</v>
      </c>
      <c r="AA10" s="102">
        <v>0</v>
      </c>
      <c r="AB10" s="104">
        <v>0</v>
      </c>
      <c r="AC10" s="102">
        <v>0</v>
      </c>
      <c r="AD10" s="104">
        <v>0</v>
      </c>
      <c r="AE10" s="104">
        <v>1.953125E-3</v>
      </c>
      <c r="AF10" s="104">
        <v>1.46484375E-2</v>
      </c>
      <c r="AG10" s="104">
        <v>0</v>
      </c>
      <c r="AI10" s="103" t="s">
        <v>50</v>
      </c>
      <c r="AJ10" s="102" t="s">
        <v>2</v>
      </c>
      <c r="AK10" s="103">
        <v>5</v>
      </c>
      <c r="AL10" s="102">
        <v>8</v>
      </c>
      <c r="AM10" s="104">
        <v>20</v>
      </c>
      <c r="AN10" s="102">
        <v>0</v>
      </c>
      <c r="AO10" s="102">
        <v>0</v>
      </c>
      <c r="AP10" s="104">
        <v>0</v>
      </c>
      <c r="AQ10" s="102">
        <v>0</v>
      </c>
      <c r="AR10" s="104">
        <v>0</v>
      </c>
      <c r="AS10" s="104">
        <v>1.953125E-3</v>
      </c>
      <c r="AT10" s="104">
        <v>1.46484375E-2</v>
      </c>
      <c r="AU10" s="104">
        <v>0</v>
      </c>
      <c r="AW10" s="103" t="s">
        <v>50</v>
      </c>
      <c r="AX10" s="102" t="s">
        <v>2</v>
      </c>
      <c r="AY10" s="103">
        <v>5</v>
      </c>
      <c r="AZ10" s="102">
        <v>8</v>
      </c>
      <c r="BA10" s="104">
        <v>20</v>
      </c>
      <c r="BB10" s="102">
        <v>0</v>
      </c>
      <c r="BC10" s="102">
        <v>0</v>
      </c>
      <c r="BD10" s="104">
        <v>0</v>
      </c>
      <c r="BE10" s="102">
        <v>0</v>
      </c>
      <c r="BF10" s="104">
        <v>0</v>
      </c>
      <c r="BG10" s="104">
        <v>1.953125E-3</v>
      </c>
      <c r="BH10" s="104">
        <v>1.46484375E-2</v>
      </c>
      <c r="BI10" s="104">
        <v>0</v>
      </c>
      <c r="BK10" s="103" t="s">
        <v>50</v>
      </c>
      <c r="BL10" s="102" t="s">
        <v>2</v>
      </c>
      <c r="BM10" s="103">
        <v>5</v>
      </c>
      <c r="BN10" s="102">
        <v>8</v>
      </c>
      <c r="BO10" s="104">
        <v>20</v>
      </c>
      <c r="BP10" s="102">
        <v>0</v>
      </c>
      <c r="BQ10" s="102">
        <v>0</v>
      </c>
      <c r="BR10" s="104">
        <v>0</v>
      </c>
      <c r="BS10" s="102">
        <v>0</v>
      </c>
      <c r="BT10" s="104">
        <v>0</v>
      </c>
      <c r="BU10" s="104">
        <v>1.953125E-3</v>
      </c>
      <c r="BV10" s="104">
        <v>1.46484375E-2</v>
      </c>
      <c r="BW10" s="104">
        <v>0</v>
      </c>
    </row>
    <row r="11" spans="2:159">
      <c r="R11" s="126">
        <v>9</v>
      </c>
      <c r="S11" s="119" t="str">
        <f t="shared" si="0"/>
        <v>--Not Used--</v>
      </c>
      <c r="T11" s="116"/>
      <c r="U11" s="103" t="s">
        <v>44</v>
      </c>
      <c r="V11" s="102" t="s">
        <v>19</v>
      </c>
      <c r="W11" s="103">
        <v>0.3</v>
      </c>
      <c r="X11" s="102">
        <v>0.5</v>
      </c>
      <c r="Y11" s="104">
        <v>0.8</v>
      </c>
      <c r="Z11" s="102">
        <v>0</v>
      </c>
      <c r="AA11" s="102">
        <v>0</v>
      </c>
      <c r="AB11" s="104">
        <v>0</v>
      </c>
      <c r="AC11" s="102">
        <v>0</v>
      </c>
      <c r="AD11" s="104">
        <v>0</v>
      </c>
      <c r="AE11" s="104">
        <v>9.765625E-4</v>
      </c>
      <c r="AF11" s="104">
        <v>1.5625E-2</v>
      </c>
      <c r="AG11" s="104">
        <v>0</v>
      </c>
      <c r="AI11" s="103" t="s">
        <v>44</v>
      </c>
      <c r="AJ11" s="102" t="s">
        <v>19</v>
      </c>
      <c r="AK11" s="103">
        <v>0.3</v>
      </c>
      <c r="AL11" s="102">
        <v>0.5</v>
      </c>
      <c r="AM11" s="104">
        <v>0.8</v>
      </c>
      <c r="AN11" s="102">
        <v>0</v>
      </c>
      <c r="AO11" s="102">
        <v>0</v>
      </c>
      <c r="AP11" s="104">
        <v>0</v>
      </c>
      <c r="AQ11" s="102">
        <v>0</v>
      </c>
      <c r="AR11" s="104">
        <v>0</v>
      </c>
      <c r="AS11" s="104">
        <v>9.765625E-4</v>
      </c>
      <c r="AT11" s="104">
        <v>1.5625E-2</v>
      </c>
      <c r="AU11" s="104">
        <v>0</v>
      </c>
      <c r="AW11" s="103" t="s">
        <v>44</v>
      </c>
      <c r="AX11" s="102" t="s">
        <v>19</v>
      </c>
      <c r="AY11" s="103">
        <v>0.3</v>
      </c>
      <c r="AZ11" s="102">
        <v>0.5</v>
      </c>
      <c r="BA11" s="104">
        <v>0.8</v>
      </c>
      <c r="BB11" s="102">
        <v>0</v>
      </c>
      <c r="BC11" s="102">
        <v>0</v>
      </c>
      <c r="BD11" s="104">
        <v>0</v>
      </c>
      <c r="BE11" s="102">
        <v>0</v>
      </c>
      <c r="BF11" s="104">
        <v>0</v>
      </c>
      <c r="BG11" s="104">
        <v>9.765625E-4</v>
      </c>
      <c r="BH11" s="104">
        <v>1.5625E-2</v>
      </c>
      <c r="BI11" s="104">
        <v>0</v>
      </c>
      <c r="BK11" s="103" t="s">
        <v>44</v>
      </c>
      <c r="BL11" s="102" t="s">
        <v>19</v>
      </c>
      <c r="BM11" s="103">
        <v>0.3</v>
      </c>
      <c r="BN11" s="102">
        <v>0.5</v>
      </c>
      <c r="BO11" s="104">
        <v>0.8</v>
      </c>
      <c r="BP11" s="102">
        <v>0</v>
      </c>
      <c r="BQ11" s="102">
        <v>0</v>
      </c>
      <c r="BR11" s="104">
        <v>0</v>
      </c>
      <c r="BS11" s="102">
        <v>0</v>
      </c>
      <c r="BT11" s="104">
        <v>0</v>
      </c>
      <c r="BU11" s="104">
        <v>9.765625E-4</v>
      </c>
      <c r="BV11" s="104">
        <v>1.5625E-2</v>
      </c>
      <c r="BW11" s="104">
        <v>0</v>
      </c>
    </row>
    <row r="12" spans="2:159" ht="13.5" thickBot="1">
      <c r="R12" s="126">
        <v>10</v>
      </c>
      <c r="S12" s="120" t="str">
        <f t="shared" si="0"/>
        <v>--Not Used--</v>
      </c>
      <c r="T12" s="116"/>
      <c r="U12" s="103" t="s">
        <v>71</v>
      </c>
      <c r="V12" s="102" t="s">
        <v>19</v>
      </c>
      <c r="W12" s="103">
        <v>0.1</v>
      </c>
      <c r="X12" s="102">
        <v>0.17</v>
      </c>
      <c r="Y12" s="104">
        <v>0.25</v>
      </c>
      <c r="Z12" s="102">
        <v>0</v>
      </c>
      <c r="AA12" s="102">
        <v>0</v>
      </c>
      <c r="AB12" s="104">
        <v>0</v>
      </c>
      <c r="AC12" s="102">
        <v>0</v>
      </c>
      <c r="AD12" s="104">
        <v>0</v>
      </c>
      <c r="AE12" s="104">
        <v>1.953125E-3</v>
      </c>
      <c r="AF12" s="104">
        <v>1.7578125E-2</v>
      </c>
      <c r="AG12" s="104">
        <v>0</v>
      </c>
      <c r="AI12" s="103" t="s">
        <v>71</v>
      </c>
      <c r="AJ12" s="102" t="s">
        <v>19</v>
      </c>
      <c r="AK12" s="103">
        <v>0.1</v>
      </c>
      <c r="AL12" s="102">
        <v>0.17</v>
      </c>
      <c r="AM12" s="104">
        <v>0.25</v>
      </c>
      <c r="AN12" s="102">
        <v>0</v>
      </c>
      <c r="AO12" s="102">
        <v>0</v>
      </c>
      <c r="AP12" s="104">
        <v>0</v>
      </c>
      <c r="AQ12" s="102">
        <v>0</v>
      </c>
      <c r="AR12" s="104">
        <v>0</v>
      </c>
      <c r="AS12" s="104">
        <v>1.953125E-3</v>
      </c>
      <c r="AT12" s="104">
        <v>1.7578125E-2</v>
      </c>
      <c r="AU12" s="104">
        <v>0</v>
      </c>
      <c r="AW12" s="103" t="s">
        <v>71</v>
      </c>
      <c r="AX12" s="102" t="s">
        <v>19</v>
      </c>
      <c r="AY12" s="103">
        <v>0.1</v>
      </c>
      <c r="AZ12" s="102">
        <v>0.17</v>
      </c>
      <c r="BA12" s="104">
        <v>0.25</v>
      </c>
      <c r="BB12" s="102">
        <v>0</v>
      </c>
      <c r="BC12" s="102">
        <v>0</v>
      </c>
      <c r="BD12" s="104">
        <v>0</v>
      </c>
      <c r="BE12" s="102">
        <v>0</v>
      </c>
      <c r="BF12" s="104">
        <v>0</v>
      </c>
      <c r="BG12" s="104">
        <v>1.953125E-3</v>
      </c>
      <c r="BH12" s="104">
        <v>1.7578125E-2</v>
      </c>
      <c r="BI12" s="104">
        <v>0</v>
      </c>
      <c r="BK12" s="103" t="s">
        <v>71</v>
      </c>
      <c r="BL12" s="102" t="s">
        <v>19</v>
      </c>
      <c r="BM12" s="103">
        <v>0.1</v>
      </c>
      <c r="BN12" s="102">
        <v>0.17</v>
      </c>
      <c r="BO12" s="104">
        <v>0.25</v>
      </c>
      <c r="BP12" s="102">
        <v>0</v>
      </c>
      <c r="BQ12" s="102">
        <v>0</v>
      </c>
      <c r="BR12" s="104">
        <v>0</v>
      </c>
      <c r="BS12" s="102">
        <v>0</v>
      </c>
      <c r="BT12" s="104">
        <v>0</v>
      </c>
      <c r="BU12" s="104">
        <v>1.953125E-3</v>
      </c>
      <c r="BV12" s="104">
        <v>1.7578125E-2</v>
      </c>
      <c r="BW12" s="104">
        <v>0</v>
      </c>
    </row>
    <row r="13" spans="2:159">
      <c r="U13" s="103" t="s">
        <v>69</v>
      </c>
      <c r="V13" s="102" t="s">
        <v>19</v>
      </c>
      <c r="W13" s="103">
        <v>0.01</v>
      </c>
      <c r="X13" s="102">
        <v>0.03</v>
      </c>
      <c r="Y13" s="104">
        <v>0.05</v>
      </c>
      <c r="Z13" s="102">
        <v>0</v>
      </c>
      <c r="AA13" s="102">
        <v>0</v>
      </c>
      <c r="AB13" s="104">
        <v>0</v>
      </c>
      <c r="AC13" s="102">
        <v>0</v>
      </c>
      <c r="AD13" s="104">
        <v>0</v>
      </c>
      <c r="AE13" s="104">
        <v>3.90625E-3</v>
      </c>
      <c r="AF13" s="104">
        <v>2.1484375E-2</v>
      </c>
      <c r="AG13" s="104">
        <v>0</v>
      </c>
      <c r="AI13" s="103" t="s">
        <v>69</v>
      </c>
      <c r="AJ13" s="102" t="s">
        <v>19</v>
      </c>
      <c r="AK13" s="103">
        <v>0.01</v>
      </c>
      <c r="AL13" s="102">
        <v>0.03</v>
      </c>
      <c r="AM13" s="104">
        <v>0.05</v>
      </c>
      <c r="AN13" s="102">
        <v>0</v>
      </c>
      <c r="AO13" s="102">
        <v>0</v>
      </c>
      <c r="AP13" s="104">
        <v>0</v>
      </c>
      <c r="AQ13" s="102">
        <v>0</v>
      </c>
      <c r="AR13" s="104">
        <v>0</v>
      </c>
      <c r="AS13" s="104">
        <v>3.90625E-3</v>
      </c>
      <c r="AT13" s="104">
        <v>2.1484375E-2</v>
      </c>
      <c r="AU13" s="104">
        <v>0</v>
      </c>
      <c r="AW13" s="103" t="s">
        <v>69</v>
      </c>
      <c r="AX13" s="102" t="s">
        <v>19</v>
      </c>
      <c r="AY13" s="103">
        <v>0.01</v>
      </c>
      <c r="AZ13" s="102">
        <v>0.03</v>
      </c>
      <c r="BA13" s="104">
        <v>0.05</v>
      </c>
      <c r="BB13" s="102">
        <v>0</v>
      </c>
      <c r="BC13" s="102">
        <v>0</v>
      </c>
      <c r="BD13" s="104">
        <v>0</v>
      </c>
      <c r="BE13" s="102">
        <v>0</v>
      </c>
      <c r="BF13" s="104">
        <v>0</v>
      </c>
      <c r="BG13" s="104">
        <v>3.90625E-3</v>
      </c>
      <c r="BH13" s="104">
        <v>2.1484375E-2</v>
      </c>
      <c r="BI13" s="104">
        <v>0</v>
      </c>
      <c r="BK13" s="103" t="s">
        <v>69</v>
      </c>
      <c r="BL13" s="102" t="s">
        <v>19</v>
      </c>
      <c r="BM13" s="103">
        <v>0.01</v>
      </c>
      <c r="BN13" s="102">
        <v>0.03</v>
      </c>
      <c r="BO13" s="104">
        <v>0.05</v>
      </c>
      <c r="BP13" s="102">
        <v>0</v>
      </c>
      <c r="BQ13" s="102">
        <v>0</v>
      </c>
      <c r="BR13" s="104">
        <v>0</v>
      </c>
      <c r="BS13" s="102">
        <v>0</v>
      </c>
      <c r="BT13" s="104">
        <v>0</v>
      </c>
      <c r="BU13" s="104">
        <v>3.90625E-3</v>
      </c>
      <c r="BV13" s="104">
        <v>2.1484375E-2</v>
      </c>
      <c r="BW13" s="104">
        <v>0</v>
      </c>
    </row>
    <row r="14" spans="2:159">
      <c r="U14" s="103" t="s">
        <v>169</v>
      </c>
      <c r="V14" s="102" t="s">
        <v>18</v>
      </c>
      <c r="W14" s="103">
        <v>0</v>
      </c>
      <c r="X14" s="102">
        <v>0</v>
      </c>
      <c r="Y14" s="104">
        <v>0</v>
      </c>
      <c r="Z14" s="102">
        <v>0</v>
      </c>
      <c r="AA14" s="102">
        <v>0</v>
      </c>
      <c r="AB14" s="104">
        <v>0</v>
      </c>
      <c r="AC14" s="102">
        <v>0</v>
      </c>
      <c r="AD14" s="104">
        <v>0</v>
      </c>
      <c r="AE14" s="104">
        <v>1.953125E-3</v>
      </c>
      <c r="AF14" s="104">
        <v>2.34375E-2</v>
      </c>
      <c r="AG14" s="104">
        <v>0</v>
      </c>
      <c r="AI14" s="103" t="s">
        <v>169</v>
      </c>
      <c r="AJ14" s="102" t="s">
        <v>18</v>
      </c>
      <c r="AK14" s="103">
        <v>0</v>
      </c>
      <c r="AL14" s="102">
        <v>0</v>
      </c>
      <c r="AM14" s="104">
        <v>0</v>
      </c>
      <c r="AN14" s="102">
        <v>0</v>
      </c>
      <c r="AO14" s="102">
        <v>0</v>
      </c>
      <c r="AP14" s="104">
        <v>0</v>
      </c>
      <c r="AQ14" s="102">
        <v>0</v>
      </c>
      <c r="AR14" s="104">
        <v>0</v>
      </c>
      <c r="AS14" s="104">
        <v>1.953125E-3</v>
      </c>
      <c r="AT14" s="104">
        <v>2.34375E-2</v>
      </c>
      <c r="AU14" s="104">
        <v>0</v>
      </c>
      <c r="AW14" s="103" t="s">
        <v>169</v>
      </c>
      <c r="AX14" s="102" t="s">
        <v>18</v>
      </c>
      <c r="AY14" s="103">
        <v>0</v>
      </c>
      <c r="AZ14" s="102">
        <v>0</v>
      </c>
      <c r="BA14" s="104">
        <v>0</v>
      </c>
      <c r="BB14" s="102">
        <v>0</v>
      </c>
      <c r="BC14" s="102">
        <v>0</v>
      </c>
      <c r="BD14" s="104">
        <v>0</v>
      </c>
      <c r="BE14" s="102">
        <v>0</v>
      </c>
      <c r="BF14" s="104">
        <v>0</v>
      </c>
      <c r="BG14" s="104">
        <v>1.953125E-3</v>
      </c>
      <c r="BH14" s="104">
        <v>2.34375E-2</v>
      </c>
      <c r="BI14" s="104">
        <v>0</v>
      </c>
      <c r="BK14" s="103" t="s">
        <v>169</v>
      </c>
      <c r="BL14" s="102" t="s">
        <v>18</v>
      </c>
      <c r="BM14" s="103">
        <v>0</v>
      </c>
      <c r="BN14" s="102">
        <v>0</v>
      </c>
      <c r="BO14" s="104">
        <v>0</v>
      </c>
      <c r="BP14" s="102">
        <v>0</v>
      </c>
      <c r="BQ14" s="102">
        <v>0</v>
      </c>
      <c r="BR14" s="104">
        <v>0</v>
      </c>
      <c r="BS14" s="102">
        <v>0</v>
      </c>
      <c r="BT14" s="104">
        <v>0</v>
      </c>
      <c r="BU14" s="104">
        <v>1.953125E-3</v>
      </c>
      <c r="BV14" s="104">
        <v>2.34375E-2</v>
      </c>
      <c r="BW14" s="104">
        <v>0</v>
      </c>
    </row>
    <row r="15" spans="2:159">
      <c r="U15" s="103" t="s">
        <v>170</v>
      </c>
      <c r="V15" s="102" t="s">
        <v>171</v>
      </c>
      <c r="W15" s="103">
        <v>0.5</v>
      </c>
      <c r="X15" s="102">
        <v>1</v>
      </c>
      <c r="Y15" s="104">
        <v>2</v>
      </c>
      <c r="Z15" s="102">
        <v>0</v>
      </c>
      <c r="AA15" s="102">
        <v>0</v>
      </c>
      <c r="AB15" s="104">
        <v>0</v>
      </c>
      <c r="AC15" s="102">
        <v>0</v>
      </c>
      <c r="AD15" s="104">
        <v>0</v>
      </c>
      <c r="AE15" s="104">
        <v>3.90625E-3</v>
      </c>
      <c r="AF15" s="104">
        <v>2.734375E-2</v>
      </c>
      <c r="AG15" s="104">
        <v>0</v>
      </c>
      <c r="AI15" s="103" t="s">
        <v>170</v>
      </c>
      <c r="AJ15" s="102" t="s">
        <v>171</v>
      </c>
      <c r="AK15" s="103">
        <v>0.5</v>
      </c>
      <c r="AL15" s="102">
        <v>1</v>
      </c>
      <c r="AM15" s="104">
        <v>2</v>
      </c>
      <c r="AN15" s="102">
        <v>0</v>
      </c>
      <c r="AO15" s="102">
        <v>0</v>
      </c>
      <c r="AP15" s="104">
        <v>0</v>
      </c>
      <c r="AQ15" s="102">
        <v>0</v>
      </c>
      <c r="AR15" s="104">
        <v>0</v>
      </c>
      <c r="AS15" s="104">
        <v>3.90625E-3</v>
      </c>
      <c r="AT15" s="104">
        <v>2.734375E-2</v>
      </c>
      <c r="AU15" s="104">
        <v>0</v>
      </c>
      <c r="AW15" s="103" t="s">
        <v>170</v>
      </c>
      <c r="AX15" s="102" t="s">
        <v>171</v>
      </c>
      <c r="AY15" s="103">
        <v>0.5</v>
      </c>
      <c r="AZ15" s="102">
        <v>1</v>
      </c>
      <c r="BA15" s="104">
        <v>2</v>
      </c>
      <c r="BB15" s="102">
        <v>0</v>
      </c>
      <c r="BC15" s="102">
        <v>0</v>
      </c>
      <c r="BD15" s="104">
        <v>0</v>
      </c>
      <c r="BE15" s="102">
        <v>0</v>
      </c>
      <c r="BF15" s="104">
        <v>0</v>
      </c>
      <c r="BG15" s="104">
        <v>3.90625E-3</v>
      </c>
      <c r="BH15" s="104">
        <v>2.734375E-2</v>
      </c>
      <c r="BI15" s="104">
        <v>0</v>
      </c>
      <c r="BK15" s="103" t="s">
        <v>170</v>
      </c>
      <c r="BL15" s="102" t="s">
        <v>171</v>
      </c>
      <c r="BM15" s="103">
        <v>0.5</v>
      </c>
      <c r="BN15" s="102">
        <v>1</v>
      </c>
      <c r="BO15" s="104">
        <v>2</v>
      </c>
      <c r="BP15" s="102">
        <v>0</v>
      </c>
      <c r="BQ15" s="102">
        <v>0</v>
      </c>
      <c r="BR15" s="104">
        <v>0</v>
      </c>
      <c r="BS15" s="102">
        <v>0</v>
      </c>
      <c r="BT15" s="104">
        <v>0</v>
      </c>
      <c r="BU15" s="104">
        <v>3.90625E-3</v>
      </c>
      <c r="BV15" s="104">
        <v>2.734375E-2</v>
      </c>
      <c r="BW15" s="104">
        <v>0</v>
      </c>
    </row>
    <row r="16" spans="2:159">
      <c r="U16" s="103" t="s">
        <v>169</v>
      </c>
      <c r="V16" s="102" t="s">
        <v>183</v>
      </c>
      <c r="W16" s="103">
        <v>0</v>
      </c>
      <c r="X16" s="102">
        <v>0</v>
      </c>
      <c r="Y16" s="104">
        <v>0</v>
      </c>
      <c r="Z16" s="102">
        <v>0</v>
      </c>
      <c r="AA16" s="102">
        <v>0</v>
      </c>
      <c r="AB16" s="104">
        <v>0</v>
      </c>
      <c r="AC16" s="102">
        <v>0</v>
      </c>
      <c r="AD16" s="104">
        <v>0</v>
      </c>
      <c r="AE16" s="104">
        <v>1.953125E-3</v>
      </c>
      <c r="AF16" s="104">
        <v>2.9296875E-2</v>
      </c>
      <c r="AG16" s="104">
        <v>0</v>
      </c>
      <c r="AI16" s="103" t="s">
        <v>169</v>
      </c>
      <c r="AJ16" s="102" t="s">
        <v>183</v>
      </c>
      <c r="AK16" s="103">
        <v>0</v>
      </c>
      <c r="AL16" s="102">
        <v>0</v>
      </c>
      <c r="AM16" s="104">
        <v>0</v>
      </c>
      <c r="AN16" s="102">
        <v>0</v>
      </c>
      <c r="AO16" s="102">
        <v>0</v>
      </c>
      <c r="AP16" s="104">
        <v>0</v>
      </c>
      <c r="AQ16" s="102">
        <v>0</v>
      </c>
      <c r="AR16" s="104">
        <v>0</v>
      </c>
      <c r="AS16" s="104">
        <v>1.953125E-3</v>
      </c>
      <c r="AT16" s="104">
        <v>2.9296875E-2</v>
      </c>
      <c r="AU16" s="104">
        <v>0</v>
      </c>
      <c r="AW16" s="103" t="s">
        <v>169</v>
      </c>
      <c r="AX16" s="102" t="s">
        <v>183</v>
      </c>
      <c r="AY16" s="103">
        <v>0</v>
      </c>
      <c r="AZ16" s="102">
        <v>0</v>
      </c>
      <c r="BA16" s="104">
        <v>0</v>
      </c>
      <c r="BB16" s="102">
        <v>0</v>
      </c>
      <c r="BC16" s="102">
        <v>0</v>
      </c>
      <c r="BD16" s="104">
        <v>0</v>
      </c>
      <c r="BE16" s="102">
        <v>0</v>
      </c>
      <c r="BF16" s="104">
        <v>0</v>
      </c>
      <c r="BG16" s="104">
        <v>1.953125E-3</v>
      </c>
      <c r="BH16" s="104">
        <v>2.9296875E-2</v>
      </c>
      <c r="BI16" s="104">
        <v>0</v>
      </c>
      <c r="BK16" s="103" t="s">
        <v>169</v>
      </c>
      <c r="BL16" s="102" t="s">
        <v>183</v>
      </c>
      <c r="BM16" s="103">
        <v>0</v>
      </c>
      <c r="BN16" s="102">
        <v>0</v>
      </c>
      <c r="BO16" s="104">
        <v>0</v>
      </c>
      <c r="BP16" s="102">
        <v>0</v>
      </c>
      <c r="BQ16" s="102">
        <v>0</v>
      </c>
      <c r="BR16" s="104">
        <v>0</v>
      </c>
      <c r="BS16" s="102">
        <v>0</v>
      </c>
      <c r="BT16" s="104">
        <v>0</v>
      </c>
      <c r="BU16" s="104">
        <v>1.953125E-3</v>
      </c>
      <c r="BV16" s="104">
        <v>2.9296875E-2</v>
      </c>
      <c r="BW16" s="104">
        <v>0</v>
      </c>
    </row>
    <row r="17" spans="18:75" ht="13.5" thickBot="1">
      <c r="U17" s="103" t="s">
        <v>169</v>
      </c>
      <c r="V17" s="102" t="s">
        <v>19</v>
      </c>
      <c r="W17" s="103">
        <v>0</v>
      </c>
      <c r="X17" s="102">
        <v>0</v>
      </c>
      <c r="Y17" s="104">
        <v>0</v>
      </c>
      <c r="Z17" s="102">
        <v>0</v>
      </c>
      <c r="AA17" s="102">
        <v>0</v>
      </c>
      <c r="AB17" s="104">
        <v>0</v>
      </c>
      <c r="AC17" s="102">
        <v>0</v>
      </c>
      <c r="AD17" s="104">
        <v>0</v>
      </c>
      <c r="AE17" s="104">
        <v>3.90625E-3</v>
      </c>
      <c r="AF17" s="104">
        <v>3.3203125E-2</v>
      </c>
      <c r="AG17" s="104">
        <v>0</v>
      </c>
      <c r="AI17" s="103" t="s">
        <v>169</v>
      </c>
      <c r="AJ17" s="102" t="s">
        <v>19</v>
      </c>
      <c r="AK17" s="103">
        <v>0</v>
      </c>
      <c r="AL17" s="102">
        <v>0</v>
      </c>
      <c r="AM17" s="104">
        <v>0</v>
      </c>
      <c r="AN17" s="102">
        <v>0</v>
      </c>
      <c r="AO17" s="102">
        <v>0</v>
      </c>
      <c r="AP17" s="104">
        <v>0</v>
      </c>
      <c r="AQ17" s="102">
        <v>0</v>
      </c>
      <c r="AR17" s="104">
        <v>0</v>
      </c>
      <c r="AS17" s="104">
        <v>3.90625E-3</v>
      </c>
      <c r="AT17" s="104">
        <v>3.3203125E-2</v>
      </c>
      <c r="AU17" s="104">
        <v>0</v>
      </c>
      <c r="AW17" s="103" t="s">
        <v>169</v>
      </c>
      <c r="AX17" s="102" t="s">
        <v>19</v>
      </c>
      <c r="AY17" s="103">
        <v>0</v>
      </c>
      <c r="AZ17" s="102">
        <v>0</v>
      </c>
      <c r="BA17" s="104">
        <v>0</v>
      </c>
      <c r="BB17" s="102">
        <v>0</v>
      </c>
      <c r="BC17" s="102">
        <v>0</v>
      </c>
      <c r="BD17" s="104">
        <v>0</v>
      </c>
      <c r="BE17" s="102">
        <v>0</v>
      </c>
      <c r="BF17" s="104">
        <v>0</v>
      </c>
      <c r="BG17" s="104">
        <v>3.90625E-3</v>
      </c>
      <c r="BH17" s="104">
        <v>3.3203125E-2</v>
      </c>
      <c r="BI17" s="104">
        <v>0</v>
      </c>
      <c r="BK17" s="103" t="s">
        <v>169</v>
      </c>
      <c r="BL17" s="102" t="s">
        <v>19</v>
      </c>
      <c r="BM17" s="103">
        <v>0</v>
      </c>
      <c r="BN17" s="102">
        <v>0</v>
      </c>
      <c r="BO17" s="104">
        <v>0</v>
      </c>
      <c r="BP17" s="102">
        <v>0</v>
      </c>
      <c r="BQ17" s="102">
        <v>0</v>
      </c>
      <c r="BR17" s="104">
        <v>0</v>
      </c>
      <c r="BS17" s="102">
        <v>0</v>
      </c>
      <c r="BT17" s="104">
        <v>0</v>
      </c>
      <c r="BU17" s="104">
        <v>3.90625E-3</v>
      </c>
      <c r="BV17" s="104">
        <v>3.3203125E-2</v>
      </c>
      <c r="BW17" s="104">
        <v>0</v>
      </c>
    </row>
    <row r="18" spans="18:75">
      <c r="R18" s="128" t="s">
        <v>13</v>
      </c>
      <c r="S18" s="129" t="s">
        <v>100</v>
      </c>
      <c r="T18" s="127"/>
      <c r="U18" s="103" t="s">
        <v>64</v>
      </c>
      <c r="V18" s="102" t="s">
        <v>18</v>
      </c>
      <c r="W18" s="103">
        <v>1.5</v>
      </c>
      <c r="X18" s="102">
        <v>2</v>
      </c>
      <c r="Y18" s="104">
        <v>3</v>
      </c>
      <c r="Z18" s="102">
        <v>0</v>
      </c>
      <c r="AA18" s="102">
        <v>0</v>
      </c>
      <c r="AB18" s="104">
        <v>0</v>
      </c>
      <c r="AC18" s="102">
        <v>0</v>
      </c>
      <c r="AD18" s="104">
        <v>0</v>
      </c>
      <c r="AE18" s="104">
        <v>7.8125E-3</v>
      </c>
      <c r="AF18" s="104">
        <v>4.1015625E-2</v>
      </c>
      <c r="AG18" s="104">
        <v>0</v>
      </c>
      <c r="AI18" s="103" t="s">
        <v>64</v>
      </c>
      <c r="AJ18" s="102" t="s">
        <v>18</v>
      </c>
      <c r="AK18" s="103">
        <v>1.5</v>
      </c>
      <c r="AL18" s="102">
        <v>2</v>
      </c>
      <c r="AM18" s="104">
        <v>3</v>
      </c>
      <c r="AN18" s="102">
        <v>0</v>
      </c>
      <c r="AO18" s="102">
        <v>0</v>
      </c>
      <c r="AP18" s="104">
        <v>0</v>
      </c>
      <c r="AQ18" s="102">
        <v>0</v>
      </c>
      <c r="AR18" s="104">
        <v>0</v>
      </c>
      <c r="AS18" s="104">
        <v>7.8125E-3</v>
      </c>
      <c r="AT18" s="104">
        <v>4.1015625E-2</v>
      </c>
      <c r="AU18" s="104">
        <v>0</v>
      </c>
      <c r="AW18" s="103" t="s">
        <v>64</v>
      </c>
      <c r="AX18" s="102" t="s">
        <v>18</v>
      </c>
      <c r="AY18" s="103">
        <v>1.5</v>
      </c>
      <c r="AZ18" s="102">
        <v>2</v>
      </c>
      <c r="BA18" s="104">
        <v>3</v>
      </c>
      <c r="BB18" s="102">
        <v>0</v>
      </c>
      <c r="BC18" s="102">
        <v>0</v>
      </c>
      <c r="BD18" s="104">
        <v>0</v>
      </c>
      <c r="BE18" s="102">
        <v>0</v>
      </c>
      <c r="BF18" s="104">
        <v>0</v>
      </c>
      <c r="BG18" s="104">
        <v>7.8125E-3</v>
      </c>
      <c r="BH18" s="104">
        <v>4.1015625E-2</v>
      </c>
      <c r="BI18" s="104">
        <v>0</v>
      </c>
      <c r="BK18" s="103" t="s">
        <v>64</v>
      </c>
      <c r="BL18" s="102" t="s">
        <v>18</v>
      </c>
      <c r="BM18" s="103">
        <v>1.5</v>
      </c>
      <c r="BN18" s="102">
        <v>2</v>
      </c>
      <c r="BO18" s="104">
        <v>3</v>
      </c>
      <c r="BP18" s="102">
        <v>0</v>
      </c>
      <c r="BQ18" s="102">
        <v>0</v>
      </c>
      <c r="BR18" s="104">
        <v>0</v>
      </c>
      <c r="BS18" s="102">
        <v>0</v>
      </c>
      <c r="BT18" s="104">
        <v>0</v>
      </c>
      <c r="BU18" s="104">
        <v>7.8125E-3</v>
      </c>
      <c r="BV18" s="104">
        <v>4.1015625E-2</v>
      </c>
      <c r="BW18" s="104">
        <v>0</v>
      </c>
    </row>
    <row r="19" spans="18:75" ht="13.5" thickBot="1">
      <c r="R19" s="130">
        <f>MATCH(C2,S3:S12,FALSE)</f>
        <v>3</v>
      </c>
      <c r="S19" s="131" t="str">
        <f>CONCATENATE("Tornado_Output",Tornado_TableIndex)</f>
        <v>Tornado_Output3</v>
      </c>
      <c r="U19" s="103" t="s">
        <v>24</v>
      </c>
      <c r="V19" s="102" t="s">
        <v>19</v>
      </c>
      <c r="W19" s="103">
        <v>0.7</v>
      </c>
      <c r="X19" s="102">
        <v>0.8</v>
      </c>
      <c r="Y19" s="104">
        <v>0.9</v>
      </c>
      <c r="Z19" s="102">
        <v>0</v>
      </c>
      <c r="AA19" s="102">
        <v>0</v>
      </c>
      <c r="AB19" s="104">
        <v>0</v>
      </c>
      <c r="AC19" s="102">
        <v>0</v>
      </c>
      <c r="AD19" s="104">
        <v>0</v>
      </c>
      <c r="AE19" s="104">
        <v>3.90625E-3</v>
      </c>
      <c r="AF19" s="104">
        <v>4.4921875E-2</v>
      </c>
      <c r="AG19" s="104">
        <v>0</v>
      </c>
      <c r="AI19" s="103" t="s">
        <v>24</v>
      </c>
      <c r="AJ19" s="102" t="s">
        <v>19</v>
      </c>
      <c r="AK19" s="103">
        <v>0.7</v>
      </c>
      <c r="AL19" s="102">
        <v>0.8</v>
      </c>
      <c r="AM19" s="104">
        <v>0.9</v>
      </c>
      <c r="AN19" s="102">
        <v>0</v>
      </c>
      <c r="AO19" s="102">
        <v>0</v>
      </c>
      <c r="AP19" s="104">
        <v>0</v>
      </c>
      <c r="AQ19" s="102">
        <v>0</v>
      </c>
      <c r="AR19" s="104">
        <v>0</v>
      </c>
      <c r="AS19" s="104">
        <v>3.90625E-3</v>
      </c>
      <c r="AT19" s="104">
        <v>4.4921875E-2</v>
      </c>
      <c r="AU19" s="104">
        <v>0</v>
      </c>
      <c r="AW19" s="103" t="s">
        <v>24</v>
      </c>
      <c r="AX19" s="102" t="s">
        <v>19</v>
      </c>
      <c r="AY19" s="103">
        <v>0.7</v>
      </c>
      <c r="AZ19" s="102">
        <v>0.8</v>
      </c>
      <c r="BA19" s="104">
        <v>0.9</v>
      </c>
      <c r="BB19" s="102">
        <v>0</v>
      </c>
      <c r="BC19" s="102">
        <v>0</v>
      </c>
      <c r="BD19" s="104">
        <v>0</v>
      </c>
      <c r="BE19" s="102">
        <v>0</v>
      </c>
      <c r="BF19" s="104">
        <v>0</v>
      </c>
      <c r="BG19" s="104">
        <v>3.90625E-3</v>
      </c>
      <c r="BH19" s="104">
        <v>4.4921875E-2</v>
      </c>
      <c r="BI19" s="104">
        <v>0</v>
      </c>
      <c r="BK19" s="103" t="s">
        <v>24</v>
      </c>
      <c r="BL19" s="102" t="s">
        <v>19</v>
      </c>
      <c r="BM19" s="103">
        <v>0.7</v>
      </c>
      <c r="BN19" s="102">
        <v>0.8</v>
      </c>
      <c r="BO19" s="104">
        <v>0.9</v>
      </c>
      <c r="BP19" s="102">
        <v>0</v>
      </c>
      <c r="BQ19" s="102">
        <v>0</v>
      </c>
      <c r="BR19" s="104">
        <v>0</v>
      </c>
      <c r="BS19" s="102">
        <v>0</v>
      </c>
      <c r="BT19" s="104">
        <v>0</v>
      </c>
      <c r="BU19" s="104">
        <v>3.90625E-3</v>
      </c>
      <c r="BV19" s="104">
        <v>4.4921875E-2</v>
      </c>
      <c r="BW19" s="104">
        <v>0</v>
      </c>
    </row>
    <row r="20" spans="18:75">
      <c r="U20" s="103" t="s">
        <v>181</v>
      </c>
      <c r="V20" s="102" t="s">
        <v>18</v>
      </c>
      <c r="W20" s="103">
        <v>0.5</v>
      </c>
      <c r="X20" s="102">
        <v>0.75</v>
      </c>
      <c r="Y20" s="104">
        <v>1</v>
      </c>
      <c r="Z20" s="102">
        <v>0</v>
      </c>
      <c r="AA20" s="102">
        <v>0</v>
      </c>
      <c r="AB20" s="104">
        <v>0</v>
      </c>
      <c r="AC20" s="102">
        <v>0</v>
      </c>
      <c r="AD20" s="104">
        <v>0</v>
      </c>
      <c r="AE20" s="104">
        <v>1.953125E-3</v>
      </c>
      <c r="AF20" s="104">
        <v>4.6875E-2</v>
      </c>
      <c r="AG20" s="104">
        <v>0</v>
      </c>
      <c r="AI20" s="103" t="s">
        <v>181</v>
      </c>
      <c r="AJ20" s="102" t="s">
        <v>18</v>
      </c>
      <c r="AK20" s="103">
        <v>0.5</v>
      </c>
      <c r="AL20" s="102">
        <v>0.75</v>
      </c>
      <c r="AM20" s="104">
        <v>1</v>
      </c>
      <c r="AN20" s="102">
        <v>0</v>
      </c>
      <c r="AO20" s="102">
        <v>0</v>
      </c>
      <c r="AP20" s="104">
        <v>0</v>
      </c>
      <c r="AQ20" s="102">
        <v>0</v>
      </c>
      <c r="AR20" s="104">
        <v>0</v>
      </c>
      <c r="AS20" s="104">
        <v>1.953125E-3</v>
      </c>
      <c r="AT20" s="104">
        <v>4.6875E-2</v>
      </c>
      <c r="AU20" s="104">
        <v>0</v>
      </c>
      <c r="AW20" s="103" t="s">
        <v>181</v>
      </c>
      <c r="AX20" s="102" t="s">
        <v>18</v>
      </c>
      <c r="AY20" s="103">
        <v>0.5</v>
      </c>
      <c r="AZ20" s="102">
        <v>0.75</v>
      </c>
      <c r="BA20" s="104">
        <v>1</v>
      </c>
      <c r="BB20" s="102">
        <v>0</v>
      </c>
      <c r="BC20" s="102">
        <v>0</v>
      </c>
      <c r="BD20" s="104">
        <v>0</v>
      </c>
      <c r="BE20" s="102">
        <v>0</v>
      </c>
      <c r="BF20" s="104">
        <v>0</v>
      </c>
      <c r="BG20" s="104">
        <v>1.953125E-3</v>
      </c>
      <c r="BH20" s="104">
        <v>4.6875E-2</v>
      </c>
      <c r="BI20" s="104">
        <v>0</v>
      </c>
      <c r="BK20" s="103" t="s">
        <v>181</v>
      </c>
      <c r="BL20" s="102" t="s">
        <v>18</v>
      </c>
      <c r="BM20" s="103">
        <v>0.5</v>
      </c>
      <c r="BN20" s="102">
        <v>0.75</v>
      </c>
      <c r="BO20" s="104">
        <v>1</v>
      </c>
      <c r="BP20" s="102">
        <v>0</v>
      </c>
      <c r="BQ20" s="102">
        <v>0</v>
      </c>
      <c r="BR20" s="104">
        <v>0</v>
      </c>
      <c r="BS20" s="102">
        <v>0</v>
      </c>
      <c r="BT20" s="104">
        <v>0</v>
      </c>
      <c r="BU20" s="104">
        <v>1.953125E-3</v>
      </c>
      <c r="BV20" s="104">
        <v>4.6875E-2</v>
      </c>
      <c r="BW20" s="104">
        <v>0</v>
      </c>
    </row>
    <row r="21" spans="18:75">
      <c r="U21" s="103" t="s">
        <v>63</v>
      </c>
      <c r="V21" s="102" t="s">
        <v>18</v>
      </c>
      <c r="W21" s="103">
        <v>5</v>
      </c>
      <c r="X21" s="102">
        <v>7</v>
      </c>
      <c r="Y21" s="104">
        <v>10</v>
      </c>
      <c r="Z21" s="102">
        <v>0</v>
      </c>
      <c r="AA21" s="102">
        <v>0</v>
      </c>
      <c r="AB21" s="104">
        <v>0</v>
      </c>
      <c r="AC21" s="102">
        <v>0</v>
      </c>
      <c r="AD21" s="104">
        <v>0</v>
      </c>
      <c r="AE21" s="104">
        <v>3.90625E-3</v>
      </c>
      <c r="AF21" s="104">
        <v>5.078125E-2</v>
      </c>
      <c r="AG21" s="104">
        <v>0</v>
      </c>
      <c r="AI21" s="103" t="s">
        <v>63</v>
      </c>
      <c r="AJ21" s="102" t="s">
        <v>18</v>
      </c>
      <c r="AK21" s="103">
        <v>5</v>
      </c>
      <c r="AL21" s="102">
        <v>7</v>
      </c>
      <c r="AM21" s="104">
        <v>10</v>
      </c>
      <c r="AN21" s="102">
        <v>0</v>
      </c>
      <c r="AO21" s="102">
        <v>0</v>
      </c>
      <c r="AP21" s="104">
        <v>0</v>
      </c>
      <c r="AQ21" s="102">
        <v>0</v>
      </c>
      <c r="AR21" s="104">
        <v>0</v>
      </c>
      <c r="AS21" s="104">
        <v>3.90625E-3</v>
      </c>
      <c r="AT21" s="104">
        <v>5.078125E-2</v>
      </c>
      <c r="AU21" s="104">
        <v>0</v>
      </c>
      <c r="AW21" s="103" t="s">
        <v>63</v>
      </c>
      <c r="AX21" s="102" t="s">
        <v>18</v>
      </c>
      <c r="AY21" s="103">
        <v>5</v>
      </c>
      <c r="AZ21" s="102">
        <v>7</v>
      </c>
      <c r="BA21" s="104">
        <v>10</v>
      </c>
      <c r="BB21" s="102">
        <v>0</v>
      </c>
      <c r="BC21" s="102">
        <v>0</v>
      </c>
      <c r="BD21" s="104">
        <v>0</v>
      </c>
      <c r="BE21" s="102">
        <v>0</v>
      </c>
      <c r="BF21" s="104">
        <v>0</v>
      </c>
      <c r="BG21" s="104">
        <v>3.90625E-3</v>
      </c>
      <c r="BH21" s="104">
        <v>5.078125E-2</v>
      </c>
      <c r="BI21" s="104">
        <v>0</v>
      </c>
      <c r="BK21" s="103" t="s">
        <v>63</v>
      </c>
      <c r="BL21" s="102" t="s">
        <v>18</v>
      </c>
      <c r="BM21" s="103">
        <v>5</v>
      </c>
      <c r="BN21" s="102">
        <v>7</v>
      </c>
      <c r="BO21" s="104">
        <v>10</v>
      </c>
      <c r="BP21" s="102">
        <v>0</v>
      </c>
      <c r="BQ21" s="102">
        <v>0</v>
      </c>
      <c r="BR21" s="104">
        <v>0</v>
      </c>
      <c r="BS21" s="102">
        <v>0</v>
      </c>
      <c r="BT21" s="104">
        <v>0</v>
      </c>
      <c r="BU21" s="104">
        <v>3.90625E-3</v>
      </c>
      <c r="BV21" s="104">
        <v>5.078125E-2</v>
      </c>
      <c r="BW21" s="104">
        <v>0</v>
      </c>
    </row>
    <row r="22" spans="18:75">
      <c r="S22" s="126"/>
      <c r="T22" s="126"/>
      <c r="AE22" s="104">
        <v>7.8125E-3</v>
      </c>
      <c r="AF22" s="104">
        <v>5.859375E-2</v>
      </c>
      <c r="AG22" s="104">
        <v>0</v>
      </c>
      <c r="AS22" s="104">
        <v>7.8125E-3</v>
      </c>
      <c r="AT22" s="104">
        <v>5.859375E-2</v>
      </c>
      <c r="AU22" s="104">
        <v>0</v>
      </c>
      <c r="BG22" s="104">
        <v>7.8125E-3</v>
      </c>
      <c r="BH22" s="104">
        <v>5.859375E-2</v>
      </c>
      <c r="BI22" s="104">
        <v>0</v>
      </c>
      <c r="BU22" s="104">
        <v>7.8125E-3</v>
      </c>
      <c r="BV22" s="104">
        <v>5.859375E-2</v>
      </c>
      <c r="BW22" s="104">
        <v>0</v>
      </c>
    </row>
    <row r="23" spans="18:75">
      <c r="AE23" s="104">
        <v>3.90625E-3</v>
      </c>
      <c r="AF23" s="104">
        <v>6.25E-2</v>
      </c>
      <c r="AG23" s="104">
        <v>0</v>
      </c>
      <c r="AS23" s="104">
        <v>3.90625E-3</v>
      </c>
      <c r="AT23" s="104">
        <v>6.25E-2</v>
      </c>
      <c r="AU23" s="104">
        <v>0</v>
      </c>
      <c r="BG23" s="104">
        <v>3.90625E-3</v>
      </c>
      <c r="BH23" s="104">
        <v>6.25E-2</v>
      </c>
      <c r="BI23" s="104">
        <v>0</v>
      </c>
      <c r="BU23" s="104">
        <v>3.90625E-3</v>
      </c>
      <c r="BV23" s="104">
        <v>6.25E-2</v>
      </c>
      <c r="BW23" s="104">
        <v>0</v>
      </c>
    </row>
    <row r="24" spans="18:75">
      <c r="AE24" s="104">
        <v>1.953125E-3</v>
      </c>
      <c r="AF24" s="104">
        <v>6.4453125E-2</v>
      </c>
      <c r="AG24" s="104">
        <v>0</v>
      </c>
      <c r="AS24" s="104">
        <v>1.953125E-3</v>
      </c>
      <c r="AT24" s="104">
        <v>6.4453125E-2</v>
      </c>
      <c r="AU24" s="104">
        <v>0</v>
      </c>
      <c r="BG24" s="104">
        <v>1.953125E-3</v>
      </c>
      <c r="BH24" s="104">
        <v>6.4453125E-2</v>
      </c>
      <c r="BI24" s="104">
        <v>0</v>
      </c>
      <c r="BU24" s="104">
        <v>1.953125E-3</v>
      </c>
      <c r="BV24" s="104">
        <v>6.4453125E-2</v>
      </c>
      <c r="BW24" s="104">
        <v>0</v>
      </c>
    </row>
    <row r="25" spans="18:75">
      <c r="AE25" s="104">
        <v>9.765625E-4</v>
      </c>
      <c r="AF25" s="104">
        <v>6.54296875E-2</v>
      </c>
      <c r="AG25" s="104">
        <v>0</v>
      </c>
      <c r="AS25" s="104">
        <v>9.765625E-4</v>
      </c>
      <c r="AT25" s="104">
        <v>6.54296875E-2</v>
      </c>
      <c r="AU25" s="104">
        <v>0</v>
      </c>
      <c r="BG25" s="104">
        <v>9.765625E-4</v>
      </c>
      <c r="BH25" s="104">
        <v>6.54296875E-2</v>
      </c>
      <c r="BI25" s="104">
        <v>0</v>
      </c>
      <c r="BU25" s="104">
        <v>9.765625E-4</v>
      </c>
      <c r="BV25" s="104">
        <v>6.54296875E-2</v>
      </c>
      <c r="BW25" s="104">
        <v>0</v>
      </c>
    </row>
    <row r="26" spans="18:75">
      <c r="AE26" s="104">
        <v>1.953125E-3</v>
      </c>
      <c r="AF26" s="104">
        <v>6.73828125E-2</v>
      </c>
      <c r="AG26" s="104">
        <v>0</v>
      </c>
      <c r="AS26" s="104">
        <v>1.953125E-3</v>
      </c>
      <c r="AT26" s="104">
        <v>6.73828125E-2</v>
      </c>
      <c r="AU26" s="104">
        <v>0</v>
      </c>
      <c r="BG26" s="104">
        <v>1.953125E-3</v>
      </c>
      <c r="BH26" s="104">
        <v>6.73828125E-2</v>
      </c>
      <c r="BI26" s="104">
        <v>0</v>
      </c>
      <c r="BU26" s="104">
        <v>1.953125E-3</v>
      </c>
      <c r="BV26" s="104">
        <v>6.73828125E-2</v>
      </c>
      <c r="BW26" s="104">
        <v>0</v>
      </c>
    </row>
    <row r="27" spans="18:75">
      <c r="AE27" s="104">
        <v>3.90625E-3</v>
      </c>
      <c r="AF27" s="104">
        <v>7.12890625E-2</v>
      </c>
      <c r="AG27" s="104">
        <v>0</v>
      </c>
      <c r="AS27" s="104">
        <v>3.90625E-3</v>
      </c>
      <c r="AT27" s="104">
        <v>7.12890625E-2</v>
      </c>
      <c r="AU27" s="104">
        <v>0</v>
      </c>
      <c r="BG27" s="104">
        <v>3.90625E-3</v>
      </c>
      <c r="BH27" s="104">
        <v>7.12890625E-2</v>
      </c>
      <c r="BI27" s="104">
        <v>0</v>
      </c>
      <c r="BU27" s="104">
        <v>3.90625E-3</v>
      </c>
      <c r="BV27" s="104">
        <v>7.12890625E-2</v>
      </c>
      <c r="BW27" s="104">
        <v>0</v>
      </c>
    </row>
    <row r="28" spans="18:75">
      <c r="AE28" s="104">
        <v>1.953125E-3</v>
      </c>
      <c r="AF28" s="104">
        <v>7.32421875E-2</v>
      </c>
      <c r="AG28" s="104">
        <v>0</v>
      </c>
      <c r="AS28" s="104">
        <v>1.953125E-3</v>
      </c>
      <c r="AT28" s="104">
        <v>7.32421875E-2</v>
      </c>
      <c r="AU28" s="104">
        <v>0</v>
      </c>
      <c r="BG28" s="104">
        <v>1.953125E-3</v>
      </c>
      <c r="BH28" s="104">
        <v>7.32421875E-2</v>
      </c>
      <c r="BI28" s="104">
        <v>0</v>
      </c>
      <c r="BU28" s="104">
        <v>1.953125E-3</v>
      </c>
      <c r="BV28" s="104">
        <v>7.32421875E-2</v>
      </c>
      <c r="BW28" s="104">
        <v>0</v>
      </c>
    </row>
    <row r="29" spans="18:75">
      <c r="AE29" s="104">
        <v>9.765625E-4</v>
      </c>
      <c r="AF29" s="104">
        <v>7.421875E-2</v>
      </c>
      <c r="AG29" s="104">
        <v>0</v>
      </c>
      <c r="AS29" s="104">
        <v>9.765625E-4</v>
      </c>
      <c r="AT29" s="104">
        <v>7.421875E-2</v>
      </c>
      <c r="AU29" s="104">
        <v>0</v>
      </c>
      <c r="BG29" s="104">
        <v>9.765625E-4</v>
      </c>
      <c r="BH29" s="104">
        <v>7.421875E-2</v>
      </c>
      <c r="BI29" s="104">
        <v>0</v>
      </c>
      <c r="BU29" s="104">
        <v>9.765625E-4</v>
      </c>
      <c r="BV29" s="104">
        <v>7.421875E-2</v>
      </c>
      <c r="BW29" s="104">
        <v>0</v>
      </c>
    </row>
    <row r="30" spans="18:75">
      <c r="AE30" s="104">
        <v>1.953125E-3</v>
      </c>
      <c r="AF30" s="104">
        <v>7.6171875E-2</v>
      </c>
      <c r="AG30" s="104">
        <v>0</v>
      </c>
      <c r="AS30" s="104">
        <v>1.953125E-3</v>
      </c>
      <c r="AT30" s="104">
        <v>7.6171875E-2</v>
      </c>
      <c r="AU30" s="104">
        <v>0</v>
      </c>
      <c r="BG30" s="104">
        <v>1.953125E-3</v>
      </c>
      <c r="BH30" s="104">
        <v>7.6171875E-2</v>
      </c>
      <c r="BI30" s="104">
        <v>0</v>
      </c>
      <c r="BU30" s="104">
        <v>1.953125E-3</v>
      </c>
      <c r="BV30" s="104">
        <v>7.6171875E-2</v>
      </c>
      <c r="BW30" s="104">
        <v>0</v>
      </c>
    </row>
    <row r="31" spans="18:75">
      <c r="AE31" s="104">
        <v>9.765625E-4</v>
      </c>
      <c r="AF31" s="104">
        <v>7.71484375E-2</v>
      </c>
      <c r="AG31" s="104">
        <v>0</v>
      </c>
      <c r="AS31" s="104">
        <v>9.765625E-4</v>
      </c>
      <c r="AT31" s="104">
        <v>7.71484375E-2</v>
      </c>
      <c r="AU31" s="104">
        <v>0</v>
      </c>
      <c r="BG31" s="104">
        <v>9.765625E-4</v>
      </c>
      <c r="BH31" s="104">
        <v>7.71484375E-2</v>
      </c>
      <c r="BI31" s="104">
        <v>0</v>
      </c>
      <c r="BU31" s="104">
        <v>9.765625E-4</v>
      </c>
      <c r="BV31" s="104">
        <v>7.71484375E-2</v>
      </c>
      <c r="BW31" s="104">
        <v>0</v>
      </c>
    </row>
    <row r="32" spans="18:75">
      <c r="AE32" s="104">
        <v>1.953125E-3</v>
      </c>
      <c r="AF32" s="104">
        <v>7.91015625E-2</v>
      </c>
      <c r="AG32" s="104">
        <v>0</v>
      </c>
      <c r="AS32" s="104">
        <v>1.953125E-3</v>
      </c>
      <c r="AT32" s="104">
        <v>7.91015625E-2</v>
      </c>
      <c r="AU32" s="104">
        <v>0</v>
      </c>
      <c r="BG32" s="104">
        <v>1.953125E-3</v>
      </c>
      <c r="BH32" s="104">
        <v>7.91015625E-2</v>
      </c>
      <c r="BI32" s="104">
        <v>0</v>
      </c>
      <c r="BU32" s="104">
        <v>1.953125E-3</v>
      </c>
      <c r="BV32" s="104">
        <v>7.91015625E-2</v>
      </c>
      <c r="BW32" s="104">
        <v>0</v>
      </c>
    </row>
    <row r="33" spans="31:75">
      <c r="AE33" s="104">
        <v>3.90625E-3</v>
      </c>
      <c r="AF33" s="104">
        <v>8.30078125E-2</v>
      </c>
      <c r="AG33" s="104">
        <v>0</v>
      </c>
      <c r="AS33" s="104">
        <v>3.90625E-3</v>
      </c>
      <c r="AT33" s="104">
        <v>8.30078125E-2</v>
      </c>
      <c r="AU33" s="104">
        <v>0</v>
      </c>
      <c r="BG33" s="104">
        <v>3.90625E-3</v>
      </c>
      <c r="BH33" s="104">
        <v>8.30078125E-2</v>
      </c>
      <c r="BI33" s="104">
        <v>0</v>
      </c>
      <c r="BU33" s="104">
        <v>3.90625E-3</v>
      </c>
      <c r="BV33" s="104">
        <v>8.30078125E-2</v>
      </c>
      <c r="BW33" s="104">
        <v>0</v>
      </c>
    </row>
    <row r="34" spans="31:75">
      <c r="AE34" s="104">
        <v>1.953125E-3</v>
      </c>
      <c r="AF34" s="104">
        <v>8.49609375E-2</v>
      </c>
      <c r="AG34" s="104">
        <v>0</v>
      </c>
      <c r="AS34" s="104">
        <v>1.953125E-3</v>
      </c>
      <c r="AT34" s="104">
        <v>8.49609375E-2</v>
      </c>
      <c r="AU34" s="104">
        <v>0</v>
      </c>
      <c r="BG34" s="104">
        <v>1.953125E-3</v>
      </c>
      <c r="BH34" s="104">
        <v>8.49609375E-2</v>
      </c>
      <c r="BI34" s="104">
        <v>0</v>
      </c>
      <c r="BU34" s="104">
        <v>1.953125E-3</v>
      </c>
      <c r="BV34" s="104">
        <v>8.49609375E-2</v>
      </c>
      <c r="BW34" s="104">
        <v>0</v>
      </c>
    </row>
    <row r="35" spans="31:75">
      <c r="AE35" s="104">
        <v>3.90625E-3</v>
      </c>
      <c r="AF35" s="104">
        <v>8.88671875E-2</v>
      </c>
      <c r="AG35" s="104">
        <v>0</v>
      </c>
      <c r="AS35" s="104">
        <v>3.90625E-3</v>
      </c>
      <c r="AT35" s="104">
        <v>8.88671875E-2</v>
      </c>
      <c r="AU35" s="104">
        <v>0</v>
      </c>
      <c r="BG35" s="104">
        <v>3.90625E-3</v>
      </c>
      <c r="BH35" s="104">
        <v>8.88671875E-2</v>
      </c>
      <c r="BI35" s="104">
        <v>0</v>
      </c>
      <c r="BU35" s="104">
        <v>3.90625E-3</v>
      </c>
      <c r="BV35" s="104">
        <v>8.88671875E-2</v>
      </c>
      <c r="BW35" s="104">
        <v>0</v>
      </c>
    </row>
    <row r="36" spans="31:75">
      <c r="AE36" s="104">
        <v>7.8125E-3</v>
      </c>
      <c r="AF36" s="104">
        <v>9.66796875E-2</v>
      </c>
      <c r="AG36" s="104">
        <v>0</v>
      </c>
      <c r="AS36" s="104">
        <v>7.8125E-3</v>
      </c>
      <c r="AT36" s="104">
        <v>9.66796875E-2</v>
      </c>
      <c r="AU36" s="104">
        <v>0</v>
      </c>
      <c r="BG36" s="104">
        <v>7.8125E-3</v>
      </c>
      <c r="BH36" s="104">
        <v>9.66796875E-2</v>
      </c>
      <c r="BI36" s="104">
        <v>0</v>
      </c>
      <c r="BU36" s="104">
        <v>7.8125E-3</v>
      </c>
      <c r="BV36" s="104">
        <v>9.66796875E-2</v>
      </c>
      <c r="BW36" s="104">
        <v>0</v>
      </c>
    </row>
    <row r="37" spans="31:75">
      <c r="AE37" s="104">
        <v>1.5625E-2</v>
      </c>
      <c r="AF37" s="104">
        <v>0.1123046875</v>
      </c>
      <c r="AG37" s="104">
        <v>0</v>
      </c>
      <c r="AS37" s="104">
        <v>1.5625E-2</v>
      </c>
      <c r="AT37" s="104">
        <v>0.1123046875</v>
      </c>
      <c r="AU37" s="104">
        <v>0</v>
      </c>
      <c r="BG37" s="104">
        <v>1.5625E-2</v>
      </c>
      <c r="BH37" s="104">
        <v>0.1123046875</v>
      </c>
      <c r="BI37" s="104">
        <v>0</v>
      </c>
      <c r="BU37" s="104">
        <v>1.5625E-2</v>
      </c>
      <c r="BV37" s="104">
        <v>0.1123046875</v>
      </c>
      <c r="BW37" s="104">
        <v>0</v>
      </c>
    </row>
    <row r="38" spans="31:75">
      <c r="AE38" s="104">
        <v>7.8125E-3</v>
      </c>
      <c r="AF38" s="104">
        <v>0.1201171875</v>
      </c>
      <c r="AG38" s="104">
        <v>0</v>
      </c>
      <c r="AS38" s="104">
        <v>7.8125E-3</v>
      </c>
      <c r="AT38" s="104">
        <v>0.1201171875</v>
      </c>
      <c r="AU38" s="104">
        <v>0</v>
      </c>
      <c r="BG38" s="104">
        <v>7.8125E-3</v>
      </c>
      <c r="BH38" s="104">
        <v>0.1201171875</v>
      </c>
      <c r="BI38" s="104">
        <v>0</v>
      </c>
      <c r="BU38" s="104">
        <v>7.8125E-3</v>
      </c>
      <c r="BV38" s="104">
        <v>0.1201171875</v>
      </c>
      <c r="BW38" s="104">
        <v>0</v>
      </c>
    </row>
    <row r="39" spans="31:75">
      <c r="AE39" s="104">
        <v>3.90625E-3</v>
      </c>
      <c r="AF39" s="104">
        <v>0.1240234375</v>
      </c>
      <c r="AG39" s="104">
        <v>0</v>
      </c>
      <c r="AS39" s="104">
        <v>3.90625E-3</v>
      </c>
      <c r="AT39" s="104">
        <v>0.1240234375</v>
      </c>
      <c r="AU39" s="104">
        <v>0</v>
      </c>
      <c r="BG39" s="104">
        <v>3.90625E-3</v>
      </c>
      <c r="BH39" s="104">
        <v>0.1240234375</v>
      </c>
      <c r="BI39" s="104">
        <v>0</v>
      </c>
      <c r="BU39" s="104">
        <v>3.90625E-3</v>
      </c>
      <c r="BV39" s="104">
        <v>0.1240234375</v>
      </c>
      <c r="BW39" s="104">
        <v>0</v>
      </c>
    </row>
    <row r="40" spans="31:75">
      <c r="AE40" s="104">
        <v>1.953125E-3</v>
      </c>
      <c r="AF40" s="104">
        <v>0.1259765625</v>
      </c>
      <c r="AG40" s="104">
        <v>0</v>
      </c>
      <c r="AS40" s="104">
        <v>1.953125E-3</v>
      </c>
      <c r="AT40" s="104">
        <v>0.1259765625</v>
      </c>
      <c r="AU40" s="104">
        <v>0</v>
      </c>
      <c r="BG40" s="104">
        <v>1.953125E-3</v>
      </c>
      <c r="BH40" s="104">
        <v>0.1259765625</v>
      </c>
      <c r="BI40" s="104">
        <v>0</v>
      </c>
      <c r="BU40" s="104">
        <v>1.953125E-3</v>
      </c>
      <c r="BV40" s="104">
        <v>0.1259765625</v>
      </c>
      <c r="BW40" s="104">
        <v>0</v>
      </c>
    </row>
    <row r="41" spans="31:75">
      <c r="AE41" s="104">
        <v>3.90625E-3</v>
      </c>
      <c r="AF41" s="104">
        <v>0.1298828125</v>
      </c>
      <c r="AG41" s="104">
        <v>0</v>
      </c>
      <c r="AS41" s="104">
        <v>3.90625E-3</v>
      </c>
      <c r="AT41" s="104">
        <v>0.1298828125</v>
      </c>
      <c r="AU41" s="104">
        <v>0</v>
      </c>
      <c r="BG41" s="104">
        <v>3.90625E-3</v>
      </c>
      <c r="BH41" s="104">
        <v>0.1298828125</v>
      </c>
      <c r="BI41" s="104">
        <v>0</v>
      </c>
      <c r="BU41" s="104">
        <v>3.90625E-3</v>
      </c>
      <c r="BV41" s="104">
        <v>0.1298828125</v>
      </c>
      <c r="BW41" s="104">
        <v>0</v>
      </c>
    </row>
    <row r="42" spans="31:75">
      <c r="AE42" s="104">
        <v>7.8125E-3</v>
      </c>
      <c r="AF42" s="104">
        <v>0.1376953125</v>
      </c>
      <c r="AG42" s="104">
        <v>0</v>
      </c>
      <c r="AS42" s="104">
        <v>7.8125E-3</v>
      </c>
      <c r="AT42" s="104">
        <v>0.1376953125</v>
      </c>
      <c r="AU42" s="104">
        <v>0</v>
      </c>
      <c r="BG42" s="104">
        <v>7.8125E-3</v>
      </c>
      <c r="BH42" s="104">
        <v>0.1376953125</v>
      </c>
      <c r="BI42" s="104">
        <v>0</v>
      </c>
      <c r="BU42" s="104">
        <v>7.8125E-3</v>
      </c>
      <c r="BV42" s="104">
        <v>0.1376953125</v>
      </c>
      <c r="BW42" s="104">
        <v>0</v>
      </c>
    </row>
    <row r="43" spans="31:75">
      <c r="AE43" s="104">
        <v>1.5625E-2</v>
      </c>
      <c r="AF43" s="104">
        <v>0.1533203125</v>
      </c>
      <c r="AG43" s="104">
        <v>0</v>
      </c>
      <c r="AS43" s="104">
        <v>1.5625E-2</v>
      </c>
      <c r="AT43" s="104">
        <v>0.1533203125</v>
      </c>
      <c r="AU43" s="104">
        <v>0</v>
      </c>
      <c r="BG43" s="104">
        <v>1.5625E-2</v>
      </c>
      <c r="BH43" s="104">
        <v>0.1533203125</v>
      </c>
      <c r="BI43" s="104">
        <v>0</v>
      </c>
      <c r="BU43" s="104">
        <v>1.5625E-2</v>
      </c>
      <c r="BV43" s="104">
        <v>0.1533203125</v>
      </c>
      <c r="BW43" s="104">
        <v>0</v>
      </c>
    </row>
    <row r="44" spans="31:75">
      <c r="AE44" s="104">
        <v>7.8125E-3</v>
      </c>
      <c r="AF44" s="104">
        <v>0.1611328125</v>
      </c>
      <c r="AG44" s="104">
        <v>0</v>
      </c>
      <c r="AS44" s="104">
        <v>7.8125E-3</v>
      </c>
      <c r="AT44" s="104">
        <v>0.1611328125</v>
      </c>
      <c r="AU44" s="104">
        <v>0</v>
      </c>
      <c r="BG44" s="104">
        <v>7.8125E-3</v>
      </c>
      <c r="BH44" s="104">
        <v>0.1611328125</v>
      </c>
      <c r="BI44" s="104">
        <v>0</v>
      </c>
      <c r="BU44" s="104">
        <v>7.8125E-3</v>
      </c>
      <c r="BV44" s="104">
        <v>0.1611328125</v>
      </c>
      <c r="BW44" s="104">
        <v>0</v>
      </c>
    </row>
    <row r="45" spans="31:75">
      <c r="AE45" s="104">
        <v>1.5625E-2</v>
      </c>
      <c r="AF45" s="104">
        <v>0.1767578125</v>
      </c>
      <c r="AG45" s="104">
        <v>0</v>
      </c>
      <c r="AS45" s="104">
        <v>1.5625E-2</v>
      </c>
      <c r="AT45" s="104">
        <v>0.1767578125</v>
      </c>
      <c r="AU45" s="104">
        <v>0</v>
      </c>
      <c r="BG45" s="104">
        <v>1.5625E-2</v>
      </c>
      <c r="BH45" s="104">
        <v>0.1767578125</v>
      </c>
      <c r="BI45" s="104">
        <v>0</v>
      </c>
      <c r="BU45" s="104">
        <v>1.5625E-2</v>
      </c>
      <c r="BV45" s="104">
        <v>0.1767578125</v>
      </c>
      <c r="BW45" s="104">
        <v>0</v>
      </c>
    </row>
    <row r="46" spans="31:75">
      <c r="AE46" s="104">
        <v>7.8125E-3</v>
      </c>
      <c r="AF46" s="104">
        <v>0.1845703125</v>
      </c>
      <c r="AG46" s="104">
        <v>0</v>
      </c>
      <c r="AS46" s="104">
        <v>7.8125E-3</v>
      </c>
      <c r="AT46" s="104">
        <v>0.1845703125</v>
      </c>
      <c r="AU46" s="104">
        <v>0</v>
      </c>
      <c r="BG46" s="104">
        <v>7.8125E-3</v>
      </c>
      <c r="BH46" s="104">
        <v>0.1845703125</v>
      </c>
      <c r="BI46" s="104">
        <v>0</v>
      </c>
      <c r="BU46" s="104">
        <v>7.8125E-3</v>
      </c>
      <c r="BV46" s="104">
        <v>0.1845703125</v>
      </c>
      <c r="BW46" s="104">
        <v>0</v>
      </c>
    </row>
    <row r="47" spans="31:75">
      <c r="AE47" s="104">
        <v>3.90625E-3</v>
      </c>
      <c r="AF47" s="104">
        <v>0.1884765625</v>
      </c>
      <c r="AG47" s="104">
        <v>0</v>
      </c>
      <c r="AS47" s="104">
        <v>3.90625E-3</v>
      </c>
      <c r="AT47" s="104">
        <v>0.1884765625</v>
      </c>
      <c r="AU47" s="104">
        <v>0</v>
      </c>
      <c r="BG47" s="104">
        <v>3.90625E-3</v>
      </c>
      <c r="BH47" s="104">
        <v>0.1884765625</v>
      </c>
      <c r="BI47" s="104">
        <v>0</v>
      </c>
      <c r="BU47" s="104">
        <v>3.90625E-3</v>
      </c>
      <c r="BV47" s="104">
        <v>0.1884765625</v>
      </c>
      <c r="BW47" s="104">
        <v>0</v>
      </c>
    </row>
    <row r="48" spans="31:75">
      <c r="AE48" s="104">
        <v>7.8125E-3</v>
      </c>
      <c r="AF48" s="104">
        <v>0.1962890625</v>
      </c>
      <c r="AG48" s="104">
        <v>0</v>
      </c>
      <c r="AS48" s="104">
        <v>7.8125E-3</v>
      </c>
      <c r="AT48" s="104">
        <v>0.1962890625</v>
      </c>
      <c r="AU48" s="104">
        <v>0</v>
      </c>
      <c r="BG48" s="104">
        <v>7.8125E-3</v>
      </c>
      <c r="BH48" s="104">
        <v>0.1962890625</v>
      </c>
      <c r="BI48" s="104">
        <v>0</v>
      </c>
      <c r="BU48" s="104">
        <v>7.8125E-3</v>
      </c>
      <c r="BV48" s="104">
        <v>0.1962890625</v>
      </c>
      <c r="BW48" s="104">
        <v>0</v>
      </c>
    </row>
    <row r="49" spans="31:75">
      <c r="AE49" s="104">
        <v>3.90625E-3</v>
      </c>
      <c r="AF49" s="104">
        <v>0.2001953125</v>
      </c>
      <c r="AG49" s="104">
        <v>0</v>
      </c>
      <c r="AS49" s="104">
        <v>3.90625E-3</v>
      </c>
      <c r="AT49" s="104">
        <v>0.2001953125</v>
      </c>
      <c r="AU49" s="104">
        <v>0</v>
      </c>
      <c r="BG49" s="104">
        <v>3.90625E-3</v>
      </c>
      <c r="BH49" s="104">
        <v>0.2001953125</v>
      </c>
      <c r="BI49" s="104">
        <v>0</v>
      </c>
      <c r="BU49" s="104">
        <v>3.90625E-3</v>
      </c>
      <c r="BV49" s="104">
        <v>0.2001953125</v>
      </c>
      <c r="BW49" s="104">
        <v>0</v>
      </c>
    </row>
    <row r="50" spans="31:75">
      <c r="AE50" s="104">
        <v>7.8125E-3</v>
      </c>
      <c r="AF50" s="104">
        <v>0.2080078125</v>
      </c>
      <c r="AG50" s="104">
        <v>0</v>
      </c>
      <c r="AS50" s="104">
        <v>7.8125E-3</v>
      </c>
      <c r="AT50" s="104">
        <v>0.2080078125</v>
      </c>
      <c r="AU50" s="104">
        <v>0</v>
      </c>
      <c r="BG50" s="104">
        <v>7.8125E-3</v>
      </c>
      <c r="BH50" s="104">
        <v>0.2080078125</v>
      </c>
      <c r="BI50" s="104">
        <v>0</v>
      </c>
      <c r="BU50" s="104">
        <v>7.8125E-3</v>
      </c>
      <c r="BV50" s="104">
        <v>0.2080078125</v>
      </c>
      <c r="BW50" s="104">
        <v>0</v>
      </c>
    </row>
    <row r="51" spans="31:75">
      <c r="AE51" s="104">
        <v>3.90625E-3</v>
      </c>
      <c r="AF51" s="104">
        <v>0.2119140625</v>
      </c>
      <c r="AG51" s="104">
        <v>0</v>
      </c>
      <c r="AS51" s="104">
        <v>3.90625E-3</v>
      </c>
      <c r="AT51" s="104">
        <v>0.2119140625</v>
      </c>
      <c r="AU51" s="104">
        <v>0</v>
      </c>
      <c r="BG51" s="104">
        <v>3.90625E-3</v>
      </c>
      <c r="BH51" s="104">
        <v>0.2119140625</v>
      </c>
      <c r="BI51" s="104">
        <v>0</v>
      </c>
      <c r="BU51" s="104">
        <v>3.90625E-3</v>
      </c>
      <c r="BV51" s="104">
        <v>0.2119140625</v>
      </c>
      <c r="BW51" s="104">
        <v>0</v>
      </c>
    </row>
    <row r="52" spans="31:75">
      <c r="AE52" s="104">
        <v>7.8125E-3</v>
      </c>
      <c r="AF52" s="104">
        <v>0.2197265625</v>
      </c>
      <c r="AG52" s="104">
        <v>0</v>
      </c>
      <c r="AS52" s="104">
        <v>7.8125E-3</v>
      </c>
      <c r="AT52" s="104">
        <v>0.2197265625</v>
      </c>
      <c r="AU52" s="104">
        <v>0</v>
      </c>
      <c r="BG52" s="104">
        <v>7.8125E-3</v>
      </c>
      <c r="BH52" s="104">
        <v>0.2197265625</v>
      </c>
      <c r="BI52" s="104">
        <v>0</v>
      </c>
      <c r="BU52" s="104">
        <v>7.8125E-3</v>
      </c>
      <c r="BV52" s="104">
        <v>0.2197265625</v>
      </c>
      <c r="BW52" s="104">
        <v>0</v>
      </c>
    </row>
    <row r="53" spans="31:75">
      <c r="AE53" s="104">
        <v>1.5625E-2</v>
      </c>
      <c r="AF53" s="104">
        <v>0.2353515625</v>
      </c>
      <c r="AG53" s="104">
        <v>0</v>
      </c>
      <c r="AS53" s="104">
        <v>1.5625E-2</v>
      </c>
      <c r="AT53" s="104">
        <v>0.2353515625</v>
      </c>
      <c r="AU53" s="104">
        <v>0</v>
      </c>
      <c r="BG53" s="104">
        <v>1.5625E-2</v>
      </c>
      <c r="BH53" s="104">
        <v>0.2353515625</v>
      </c>
      <c r="BI53" s="104">
        <v>0</v>
      </c>
      <c r="BU53" s="104">
        <v>1.5625E-2</v>
      </c>
      <c r="BV53" s="104">
        <v>0.2353515625</v>
      </c>
      <c r="BW53" s="104">
        <v>0</v>
      </c>
    </row>
    <row r="54" spans="31:75">
      <c r="AE54" s="104">
        <v>7.8125E-3</v>
      </c>
      <c r="AF54" s="104">
        <v>0.2431640625</v>
      </c>
      <c r="AG54" s="104">
        <v>0</v>
      </c>
      <c r="AS54" s="104">
        <v>7.8125E-3</v>
      </c>
      <c r="AT54" s="104">
        <v>0.2431640625</v>
      </c>
      <c r="AU54" s="104">
        <v>0</v>
      </c>
      <c r="BG54" s="104">
        <v>7.8125E-3</v>
      </c>
      <c r="BH54" s="104">
        <v>0.2431640625</v>
      </c>
      <c r="BI54" s="104">
        <v>0</v>
      </c>
      <c r="BU54" s="104">
        <v>7.8125E-3</v>
      </c>
      <c r="BV54" s="104">
        <v>0.2431640625</v>
      </c>
      <c r="BW54" s="104">
        <v>0</v>
      </c>
    </row>
    <row r="55" spans="31:75">
      <c r="AE55" s="104">
        <v>3.90625E-3</v>
      </c>
      <c r="AF55" s="104">
        <v>0.2470703125</v>
      </c>
      <c r="AG55" s="104">
        <v>0</v>
      </c>
      <c r="AS55" s="104">
        <v>3.90625E-3</v>
      </c>
      <c r="AT55" s="104">
        <v>0.2470703125</v>
      </c>
      <c r="AU55" s="104">
        <v>0</v>
      </c>
      <c r="BG55" s="104">
        <v>3.90625E-3</v>
      </c>
      <c r="BH55" s="104">
        <v>0.2470703125</v>
      </c>
      <c r="BI55" s="104">
        <v>0</v>
      </c>
      <c r="BU55" s="104">
        <v>3.90625E-3</v>
      </c>
      <c r="BV55" s="104">
        <v>0.2470703125</v>
      </c>
      <c r="BW55" s="104">
        <v>0</v>
      </c>
    </row>
    <row r="56" spans="31:75">
      <c r="AE56" s="104">
        <v>7.8125E-3</v>
      </c>
      <c r="AF56" s="104">
        <v>0.2548828125</v>
      </c>
      <c r="AG56" s="104">
        <v>0</v>
      </c>
      <c r="AS56" s="104">
        <v>7.8125E-3</v>
      </c>
      <c r="AT56" s="104">
        <v>0.2548828125</v>
      </c>
      <c r="AU56" s="104">
        <v>0</v>
      </c>
      <c r="BG56" s="104">
        <v>7.8125E-3</v>
      </c>
      <c r="BH56" s="104">
        <v>0.2548828125</v>
      </c>
      <c r="BI56" s="104">
        <v>0</v>
      </c>
      <c r="BU56" s="104">
        <v>7.8125E-3</v>
      </c>
      <c r="BV56" s="104">
        <v>0.2548828125</v>
      </c>
      <c r="BW56" s="104">
        <v>0</v>
      </c>
    </row>
    <row r="57" spans="31:75">
      <c r="AE57" s="104">
        <v>3.90625E-3</v>
      </c>
      <c r="AF57" s="104">
        <v>0.2587890625</v>
      </c>
      <c r="AG57" s="104">
        <v>0</v>
      </c>
      <c r="AS57" s="104">
        <v>3.90625E-3</v>
      </c>
      <c r="AT57" s="104">
        <v>0.2587890625</v>
      </c>
      <c r="AU57" s="104">
        <v>0</v>
      </c>
      <c r="BG57" s="104">
        <v>3.90625E-3</v>
      </c>
      <c r="BH57" s="104">
        <v>0.2587890625</v>
      </c>
      <c r="BI57" s="104">
        <v>0</v>
      </c>
      <c r="BU57" s="104">
        <v>3.90625E-3</v>
      </c>
      <c r="BV57" s="104">
        <v>0.2587890625</v>
      </c>
      <c r="BW57" s="104">
        <v>0</v>
      </c>
    </row>
    <row r="58" spans="31:75">
      <c r="AE58" s="104">
        <v>7.8125E-3</v>
      </c>
      <c r="AF58" s="104">
        <v>0.2666015625</v>
      </c>
      <c r="AG58" s="104">
        <v>0</v>
      </c>
      <c r="AS58" s="104">
        <v>7.8125E-3</v>
      </c>
      <c r="AT58" s="104">
        <v>0.2666015625</v>
      </c>
      <c r="AU58" s="104">
        <v>0</v>
      </c>
      <c r="BG58" s="104">
        <v>7.8125E-3</v>
      </c>
      <c r="BH58" s="104">
        <v>0.2666015625</v>
      </c>
      <c r="BI58" s="104">
        <v>0</v>
      </c>
      <c r="BU58" s="104">
        <v>7.8125E-3</v>
      </c>
      <c r="BV58" s="104">
        <v>0.2666015625</v>
      </c>
      <c r="BW58" s="104">
        <v>0</v>
      </c>
    </row>
    <row r="59" spans="31:75">
      <c r="AE59" s="104">
        <v>3.90625E-3</v>
      </c>
      <c r="AF59" s="104">
        <v>0.2705078125</v>
      </c>
      <c r="AG59" s="104">
        <v>0</v>
      </c>
      <c r="AS59" s="104">
        <v>3.90625E-3</v>
      </c>
      <c r="AT59" s="104">
        <v>0.2705078125</v>
      </c>
      <c r="AU59" s="104">
        <v>0</v>
      </c>
      <c r="BG59" s="104">
        <v>3.90625E-3</v>
      </c>
      <c r="BH59" s="104">
        <v>0.2705078125</v>
      </c>
      <c r="BI59" s="104">
        <v>0</v>
      </c>
      <c r="BU59" s="104">
        <v>3.90625E-3</v>
      </c>
      <c r="BV59" s="104">
        <v>0.2705078125</v>
      </c>
      <c r="BW59" s="104">
        <v>0</v>
      </c>
    </row>
    <row r="60" spans="31:75">
      <c r="AE60" s="104">
        <v>1.953125E-3</v>
      </c>
      <c r="AF60" s="104">
        <v>0.2724609375</v>
      </c>
      <c r="AG60" s="104">
        <v>0</v>
      </c>
      <c r="AS60" s="104">
        <v>1.953125E-3</v>
      </c>
      <c r="AT60" s="104">
        <v>0.2724609375</v>
      </c>
      <c r="AU60" s="104">
        <v>0</v>
      </c>
      <c r="BG60" s="104">
        <v>1.953125E-3</v>
      </c>
      <c r="BH60" s="104">
        <v>0.2724609375</v>
      </c>
      <c r="BI60" s="104">
        <v>0</v>
      </c>
      <c r="BU60" s="104">
        <v>1.953125E-3</v>
      </c>
      <c r="BV60" s="104">
        <v>0.2724609375</v>
      </c>
      <c r="BW60" s="104">
        <v>0</v>
      </c>
    </row>
    <row r="61" spans="31:75">
      <c r="AE61" s="104">
        <v>3.90625E-3</v>
      </c>
      <c r="AF61" s="104">
        <v>0.2763671875</v>
      </c>
      <c r="AG61" s="104">
        <v>0</v>
      </c>
      <c r="AS61" s="104">
        <v>3.90625E-3</v>
      </c>
      <c r="AT61" s="104">
        <v>0.2763671875</v>
      </c>
      <c r="AU61" s="104">
        <v>0</v>
      </c>
      <c r="BG61" s="104">
        <v>3.90625E-3</v>
      </c>
      <c r="BH61" s="104">
        <v>0.2763671875</v>
      </c>
      <c r="BI61" s="104">
        <v>0</v>
      </c>
      <c r="BU61" s="104">
        <v>3.90625E-3</v>
      </c>
      <c r="BV61" s="104">
        <v>0.2763671875</v>
      </c>
      <c r="BW61" s="104">
        <v>0</v>
      </c>
    </row>
    <row r="62" spans="31:75">
      <c r="AE62" s="104">
        <v>1.953125E-3</v>
      </c>
      <c r="AF62" s="104">
        <v>0.2783203125</v>
      </c>
      <c r="AG62" s="104">
        <v>0</v>
      </c>
      <c r="AS62" s="104">
        <v>1.953125E-3</v>
      </c>
      <c r="AT62" s="104">
        <v>0.2783203125</v>
      </c>
      <c r="AU62" s="104">
        <v>0</v>
      </c>
      <c r="BG62" s="104">
        <v>1.953125E-3</v>
      </c>
      <c r="BH62" s="104">
        <v>0.2783203125</v>
      </c>
      <c r="BI62" s="104">
        <v>0</v>
      </c>
      <c r="BU62" s="104">
        <v>1.953125E-3</v>
      </c>
      <c r="BV62" s="104">
        <v>0.2783203125</v>
      </c>
      <c r="BW62" s="104">
        <v>0</v>
      </c>
    </row>
    <row r="63" spans="31:75">
      <c r="AE63" s="104">
        <v>3.90625E-3</v>
      </c>
      <c r="AF63" s="104">
        <v>0.2822265625</v>
      </c>
      <c r="AG63" s="104">
        <v>0</v>
      </c>
      <c r="AS63" s="104">
        <v>3.90625E-3</v>
      </c>
      <c r="AT63" s="104">
        <v>0.2822265625</v>
      </c>
      <c r="AU63" s="104">
        <v>0</v>
      </c>
      <c r="BG63" s="104">
        <v>3.90625E-3</v>
      </c>
      <c r="BH63" s="104">
        <v>0.2822265625</v>
      </c>
      <c r="BI63" s="104">
        <v>0</v>
      </c>
      <c r="BU63" s="104">
        <v>3.90625E-3</v>
      </c>
      <c r="BV63" s="104">
        <v>0.2822265625</v>
      </c>
      <c r="BW63" s="104">
        <v>0</v>
      </c>
    </row>
    <row r="64" spans="31:75">
      <c r="AE64" s="104">
        <v>1.953125E-3</v>
      </c>
      <c r="AF64" s="104">
        <v>0.2841796875</v>
      </c>
      <c r="AG64" s="104">
        <v>0</v>
      </c>
      <c r="AS64" s="104">
        <v>1.953125E-3</v>
      </c>
      <c r="AT64" s="104">
        <v>0.2841796875</v>
      </c>
      <c r="AU64" s="104">
        <v>0</v>
      </c>
      <c r="BG64" s="104">
        <v>1.953125E-3</v>
      </c>
      <c r="BH64" s="104">
        <v>0.2841796875</v>
      </c>
      <c r="BI64" s="104">
        <v>0</v>
      </c>
      <c r="BU64" s="104">
        <v>1.953125E-3</v>
      </c>
      <c r="BV64" s="104">
        <v>0.2841796875</v>
      </c>
      <c r="BW64" s="104">
        <v>0</v>
      </c>
    </row>
    <row r="65" spans="31:75">
      <c r="AE65" s="104">
        <v>9.765625E-4</v>
      </c>
      <c r="AF65" s="104">
        <v>0.28515625</v>
      </c>
      <c r="AG65" s="104">
        <v>0</v>
      </c>
      <c r="AS65" s="104">
        <v>9.765625E-4</v>
      </c>
      <c r="AT65" s="104">
        <v>0.28515625</v>
      </c>
      <c r="AU65" s="104">
        <v>0</v>
      </c>
      <c r="BG65" s="104">
        <v>9.765625E-4</v>
      </c>
      <c r="BH65" s="104">
        <v>0.28515625</v>
      </c>
      <c r="BI65" s="104">
        <v>0</v>
      </c>
      <c r="BU65" s="104">
        <v>9.765625E-4</v>
      </c>
      <c r="BV65" s="104">
        <v>0.28515625</v>
      </c>
      <c r="BW65" s="104">
        <v>0</v>
      </c>
    </row>
    <row r="66" spans="31:75">
      <c r="AE66" s="104">
        <v>1.953125E-3</v>
      </c>
      <c r="AF66" s="104">
        <v>0.287109375</v>
      </c>
      <c r="AG66" s="104">
        <v>0</v>
      </c>
      <c r="AS66" s="104">
        <v>1.953125E-3</v>
      </c>
      <c r="AT66" s="104">
        <v>0.287109375</v>
      </c>
      <c r="AU66" s="104">
        <v>0</v>
      </c>
      <c r="BG66" s="104">
        <v>1.953125E-3</v>
      </c>
      <c r="BH66" s="104">
        <v>0.287109375</v>
      </c>
      <c r="BI66" s="104">
        <v>0</v>
      </c>
      <c r="BU66" s="104">
        <v>1.953125E-3</v>
      </c>
      <c r="BV66" s="104">
        <v>0.287109375</v>
      </c>
      <c r="BW66" s="104">
        <v>0</v>
      </c>
    </row>
    <row r="67" spans="31:75">
      <c r="AE67" s="104">
        <v>9.765625E-4</v>
      </c>
      <c r="AF67" s="104">
        <v>0.2880859375</v>
      </c>
      <c r="AG67" s="104">
        <v>0</v>
      </c>
      <c r="AS67" s="104">
        <v>9.765625E-4</v>
      </c>
      <c r="AT67" s="104">
        <v>0.2880859375</v>
      </c>
      <c r="AU67" s="104">
        <v>0</v>
      </c>
      <c r="BG67" s="104">
        <v>9.765625E-4</v>
      </c>
      <c r="BH67" s="104">
        <v>0.2880859375</v>
      </c>
      <c r="BI67" s="104">
        <v>0</v>
      </c>
      <c r="BU67" s="104">
        <v>9.765625E-4</v>
      </c>
      <c r="BV67" s="104">
        <v>0.2880859375</v>
      </c>
      <c r="BW67" s="104">
        <v>0</v>
      </c>
    </row>
    <row r="68" spans="31:75">
      <c r="AE68" s="104">
        <v>1.953125E-3</v>
      </c>
      <c r="AF68" s="104">
        <v>0.2900390625</v>
      </c>
      <c r="AG68" s="104">
        <v>0</v>
      </c>
      <c r="AS68" s="104">
        <v>1.953125E-3</v>
      </c>
      <c r="AT68" s="104">
        <v>0.2900390625</v>
      </c>
      <c r="AU68" s="104">
        <v>0</v>
      </c>
      <c r="BG68" s="104">
        <v>1.953125E-3</v>
      </c>
      <c r="BH68" s="104">
        <v>0.2900390625</v>
      </c>
      <c r="BI68" s="104">
        <v>0</v>
      </c>
      <c r="BU68" s="104">
        <v>1.953125E-3</v>
      </c>
      <c r="BV68" s="104">
        <v>0.2900390625</v>
      </c>
      <c r="BW68" s="104">
        <v>0</v>
      </c>
    </row>
    <row r="69" spans="31:75">
      <c r="AE69" s="104">
        <v>9.765625E-4</v>
      </c>
      <c r="AF69" s="104">
        <v>0.291015625</v>
      </c>
      <c r="AG69" s="104">
        <v>0</v>
      </c>
      <c r="AS69" s="104">
        <v>9.765625E-4</v>
      </c>
      <c r="AT69" s="104">
        <v>0.291015625</v>
      </c>
      <c r="AU69" s="104">
        <v>0</v>
      </c>
      <c r="BG69" s="104">
        <v>9.765625E-4</v>
      </c>
      <c r="BH69" s="104">
        <v>0.291015625</v>
      </c>
      <c r="BI69" s="104">
        <v>0</v>
      </c>
      <c r="BU69" s="104">
        <v>9.765625E-4</v>
      </c>
      <c r="BV69" s="104">
        <v>0.291015625</v>
      </c>
      <c r="BW69" s="104">
        <v>0</v>
      </c>
    </row>
    <row r="70" spans="31:75">
      <c r="AE70" s="104">
        <v>1.953125E-3</v>
      </c>
      <c r="AF70" s="104">
        <v>0.29296875</v>
      </c>
      <c r="AG70" s="104">
        <v>0</v>
      </c>
      <c r="AS70" s="104">
        <v>1.953125E-3</v>
      </c>
      <c r="AT70" s="104">
        <v>0.29296875</v>
      </c>
      <c r="AU70" s="104">
        <v>0</v>
      </c>
      <c r="BG70" s="104">
        <v>1.953125E-3</v>
      </c>
      <c r="BH70" s="104">
        <v>0.29296875</v>
      </c>
      <c r="BI70" s="104">
        <v>0</v>
      </c>
      <c r="BU70" s="104">
        <v>1.953125E-3</v>
      </c>
      <c r="BV70" s="104">
        <v>0.29296875</v>
      </c>
      <c r="BW70" s="104">
        <v>0</v>
      </c>
    </row>
    <row r="71" spans="31:75">
      <c r="AE71" s="104">
        <v>3.90625E-3</v>
      </c>
      <c r="AF71" s="104">
        <v>0.296875</v>
      </c>
      <c r="AG71" s="104">
        <v>0</v>
      </c>
      <c r="AS71" s="104">
        <v>3.90625E-3</v>
      </c>
      <c r="AT71" s="104">
        <v>0.296875</v>
      </c>
      <c r="AU71" s="104">
        <v>0</v>
      </c>
      <c r="BG71" s="104">
        <v>3.90625E-3</v>
      </c>
      <c r="BH71" s="104">
        <v>0.296875</v>
      </c>
      <c r="BI71" s="104">
        <v>0</v>
      </c>
      <c r="BU71" s="104">
        <v>3.90625E-3</v>
      </c>
      <c r="BV71" s="104">
        <v>0.296875</v>
      </c>
      <c r="BW71" s="104">
        <v>0</v>
      </c>
    </row>
    <row r="72" spans="31:75">
      <c r="AE72" s="104">
        <v>1.953125E-3</v>
      </c>
      <c r="AF72" s="104">
        <v>0.298828125</v>
      </c>
      <c r="AG72" s="104">
        <v>0</v>
      </c>
      <c r="AS72" s="104">
        <v>1.953125E-3</v>
      </c>
      <c r="AT72" s="104">
        <v>0.298828125</v>
      </c>
      <c r="AU72" s="104">
        <v>0</v>
      </c>
      <c r="BG72" s="104">
        <v>1.953125E-3</v>
      </c>
      <c r="BH72" s="104">
        <v>0.298828125</v>
      </c>
      <c r="BI72" s="104">
        <v>0</v>
      </c>
      <c r="BU72" s="104">
        <v>1.953125E-3</v>
      </c>
      <c r="BV72" s="104">
        <v>0.298828125</v>
      </c>
      <c r="BW72" s="104">
        <v>0</v>
      </c>
    </row>
    <row r="73" spans="31:75">
      <c r="AE73" s="104">
        <v>3.90625E-3</v>
      </c>
      <c r="AF73" s="104">
        <v>0.302734375</v>
      </c>
      <c r="AG73" s="104">
        <v>0</v>
      </c>
      <c r="AS73" s="104">
        <v>3.90625E-3</v>
      </c>
      <c r="AT73" s="104">
        <v>0.302734375</v>
      </c>
      <c r="AU73" s="104">
        <v>0</v>
      </c>
      <c r="BG73" s="104">
        <v>3.90625E-3</v>
      </c>
      <c r="BH73" s="104">
        <v>0.302734375</v>
      </c>
      <c r="BI73" s="104">
        <v>0</v>
      </c>
      <c r="BU73" s="104">
        <v>3.90625E-3</v>
      </c>
      <c r="BV73" s="104">
        <v>0.302734375</v>
      </c>
      <c r="BW73" s="104">
        <v>0</v>
      </c>
    </row>
    <row r="74" spans="31:75">
      <c r="AE74" s="104">
        <v>1.953125E-3</v>
      </c>
      <c r="AF74" s="104">
        <v>0.3046875</v>
      </c>
      <c r="AG74" s="104">
        <v>0</v>
      </c>
      <c r="AS74" s="104">
        <v>1.953125E-3</v>
      </c>
      <c r="AT74" s="104">
        <v>0.3046875</v>
      </c>
      <c r="AU74" s="104">
        <v>0</v>
      </c>
      <c r="BG74" s="104">
        <v>1.953125E-3</v>
      </c>
      <c r="BH74" s="104">
        <v>0.3046875</v>
      </c>
      <c r="BI74" s="104">
        <v>0</v>
      </c>
      <c r="BU74" s="104">
        <v>1.953125E-3</v>
      </c>
      <c r="BV74" s="104">
        <v>0.3046875</v>
      </c>
      <c r="BW74" s="104">
        <v>0</v>
      </c>
    </row>
    <row r="75" spans="31:75">
      <c r="AE75" s="104">
        <v>3.90625E-3</v>
      </c>
      <c r="AF75" s="104">
        <v>0.30859375</v>
      </c>
      <c r="AG75" s="104">
        <v>0</v>
      </c>
      <c r="AS75" s="104">
        <v>3.90625E-3</v>
      </c>
      <c r="AT75" s="104">
        <v>0.30859375</v>
      </c>
      <c r="AU75" s="104">
        <v>0</v>
      </c>
      <c r="BG75" s="104">
        <v>3.90625E-3</v>
      </c>
      <c r="BH75" s="104">
        <v>0.30859375</v>
      </c>
      <c r="BI75" s="104">
        <v>0</v>
      </c>
      <c r="BU75" s="104">
        <v>3.90625E-3</v>
      </c>
      <c r="BV75" s="104">
        <v>0.30859375</v>
      </c>
      <c r="BW75" s="104">
        <v>0</v>
      </c>
    </row>
    <row r="76" spans="31:75">
      <c r="AE76" s="104">
        <v>1.953125E-3</v>
      </c>
      <c r="AF76" s="104">
        <v>0.310546875</v>
      </c>
      <c r="AG76" s="104">
        <v>0</v>
      </c>
      <c r="AS76" s="104">
        <v>1.953125E-3</v>
      </c>
      <c r="AT76" s="104">
        <v>0.310546875</v>
      </c>
      <c r="AU76" s="104">
        <v>0</v>
      </c>
      <c r="BG76" s="104">
        <v>1.953125E-3</v>
      </c>
      <c r="BH76" s="104">
        <v>0.310546875</v>
      </c>
      <c r="BI76" s="104">
        <v>0</v>
      </c>
      <c r="BU76" s="104">
        <v>1.953125E-3</v>
      </c>
      <c r="BV76" s="104">
        <v>0.310546875</v>
      </c>
      <c r="BW76" s="104">
        <v>0</v>
      </c>
    </row>
    <row r="77" spans="31:75">
      <c r="AE77" s="104">
        <v>9.765625E-4</v>
      </c>
      <c r="AF77" s="104">
        <v>0.3115234375</v>
      </c>
      <c r="AG77" s="104">
        <v>0</v>
      </c>
      <c r="AS77" s="104">
        <v>9.765625E-4</v>
      </c>
      <c r="AT77" s="104">
        <v>0.3115234375</v>
      </c>
      <c r="AU77" s="104">
        <v>0</v>
      </c>
      <c r="BG77" s="104">
        <v>9.765625E-4</v>
      </c>
      <c r="BH77" s="104">
        <v>0.3115234375</v>
      </c>
      <c r="BI77" s="104">
        <v>0</v>
      </c>
      <c r="BU77" s="104">
        <v>9.765625E-4</v>
      </c>
      <c r="BV77" s="104">
        <v>0.3115234375</v>
      </c>
      <c r="BW77" s="104">
        <v>0</v>
      </c>
    </row>
    <row r="78" spans="31:75">
      <c r="AE78" s="104">
        <v>1.953125E-3</v>
      </c>
      <c r="AF78" s="104">
        <v>0.3134765625</v>
      </c>
      <c r="AG78" s="104">
        <v>0</v>
      </c>
      <c r="AS78" s="104">
        <v>1.953125E-3</v>
      </c>
      <c r="AT78" s="104">
        <v>0.3134765625</v>
      </c>
      <c r="AU78" s="104">
        <v>0</v>
      </c>
      <c r="BG78" s="104">
        <v>1.953125E-3</v>
      </c>
      <c r="BH78" s="104">
        <v>0.3134765625</v>
      </c>
      <c r="BI78" s="104">
        <v>0</v>
      </c>
      <c r="BU78" s="104">
        <v>1.953125E-3</v>
      </c>
      <c r="BV78" s="104">
        <v>0.3134765625</v>
      </c>
      <c r="BW78" s="104">
        <v>0</v>
      </c>
    </row>
    <row r="79" spans="31:75">
      <c r="AE79" s="104">
        <v>9.765625E-4</v>
      </c>
      <c r="AF79" s="104">
        <v>0.314453125</v>
      </c>
      <c r="AG79" s="104">
        <v>0</v>
      </c>
      <c r="AS79" s="104">
        <v>9.765625E-4</v>
      </c>
      <c r="AT79" s="104">
        <v>0.314453125</v>
      </c>
      <c r="AU79" s="104">
        <v>0</v>
      </c>
      <c r="BG79" s="104">
        <v>9.765625E-4</v>
      </c>
      <c r="BH79" s="104">
        <v>0.314453125</v>
      </c>
      <c r="BI79" s="104">
        <v>0</v>
      </c>
      <c r="BU79" s="104">
        <v>9.765625E-4</v>
      </c>
      <c r="BV79" s="104">
        <v>0.314453125</v>
      </c>
      <c r="BW79" s="104">
        <v>0</v>
      </c>
    </row>
    <row r="80" spans="31:75">
      <c r="AE80" s="104">
        <v>1.953125E-3</v>
      </c>
      <c r="AF80" s="104">
        <v>0.31640625</v>
      </c>
      <c r="AG80" s="104">
        <v>0</v>
      </c>
      <c r="AS80" s="104">
        <v>1.953125E-3</v>
      </c>
      <c r="AT80" s="104">
        <v>0.31640625</v>
      </c>
      <c r="AU80" s="104">
        <v>0</v>
      </c>
      <c r="BG80" s="104">
        <v>1.953125E-3</v>
      </c>
      <c r="BH80" s="104">
        <v>0.31640625</v>
      </c>
      <c r="BI80" s="104">
        <v>0</v>
      </c>
      <c r="BU80" s="104">
        <v>1.953125E-3</v>
      </c>
      <c r="BV80" s="104">
        <v>0.31640625</v>
      </c>
      <c r="BW80" s="104">
        <v>0</v>
      </c>
    </row>
    <row r="81" spans="31:75">
      <c r="AE81" s="104">
        <v>3.90625E-3</v>
      </c>
      <c r="AF81" s="104">
        <v>0.3203125</v>
      </c>
      <c r="AG81" s="104">
        <v>0</v>
      </c>
      <c r="AS81" s="104">
        <v>3.90625E-3</v>
      </c>
      <c r="AT81" s="104">
        <v>0.3203125</v>
      </c>
      <c r="AU81" s="104">
        <v>0</v>
      </c>
      <c r="BG81" s="104">
        <v>3.90625E-3</v>
      </c>
      <c r="BH81" s="104">
        <v>0.3203125</v>
      </c>
      <c r="BI81" s="104">
        <v>0</v>
      </c>
      <c r="BU81" s="104">
        <v>3.90625E-3</v>
      </c>
      <c r="BV81" s="104">
        <v>0.3203125</v>
      </c>
      <c r="BW81" s="104">
        <v>0</v>
      </c>
    </row>
    <row r="82" spans="31:75">
      <c r="AE82" s="104">
        <v>1.953125E-3</v>
      </c>
      <c r="AF82" s="104">
        <v>0.322265625</v>
      </c>
      <c r="AG82" s="104">
        <v>0</v>
      </c>
      <c r="AS82" s="104">
        <v>1.953125E-3</v>
      </c>
      <c r="AT82" s="104">
        <v>0.322265625</v>
      </c>
      <c r="AU82" s="104">
        <v>0</v>
      </c>
      <c r="BG82" s="104">
        <v>1.953125E-3</v>
      </c>
      <c r="BH82" s="104">
        <v>0.322265625</v>
      </c>
      <c r="BI82" s="104">
        <v>0</v>
      </c>
      <c r="BU82" s="104">
        <v>1.953125E-3</v>
      </c>
      <c r="BV82" s="104">
        <v>0.322265625</v>
      </c>
      <c r="BW82" s="104">
        <v>0</v>
      </c>
    </row>
    <row r="83" spans="31:75">
      <c r="AE83" s="104">
        <v>9.765625E-4</v>
      </c>
      <c r="AF83" s="104">
        <v>0.3232421875</v>
      </c>
      <c r="AG83" s="104">
        <v>0</v>
      </c>
      <c r="AS83" s="104">
        <v>9.765625E-4</v>
      </c>
      <c r="AT83" s="104">
        <v>0.3232421875</v>
      </c>
      <c r="AU83" s="104">
        <v>0</v>
      </c>
      <c r="BG83" s="104">
        <v>9.765625E-4</v>
      </c>
      <c r="BH83" s="104">
        <v>0.3232421875</v>
      </c>
      <c r="BI83" s="104">
        <v>0</v>
      </c>
      <c r="BU83" s="104">
        <v>9.765625E-4</v>
      </c>
      <c r="BV83" s="104">
        <v>0.3232421875</v>
      </c>
      <c r="BW83" s="104">
        <v>0</v>
      </c>
    </row>
    <row r="84" spans="31:75">
      <c r="AE84" s="104">
        <v>1.953125E-3</v>
      </c>
      <c r="AF84" s="104">
        <v>0.3251953125</v>
      </c>
      <c r="AG84" s="104">
        <v>0</v>
      </c>
      <c r="AS84" s="104">
        <v>1.953125E-3</v>
      </c>
      <c r="AT84" s="104">
        <v>0.3251953125</v>
      </c>
      <c r="AU84" s="104">
        <v>0</v>
      </c>
      <c r="BG84" s="104">
        <v>1.953125E-3</v>
      </c>
      <c r="BH84" s="104">
        <v>0.3251953125</v>
      </c>
      <c r="BI84" s="104">
        <v>0</v>
      </c>
      <c r="BU84" s="104">
        <v>1.953125E-3</v>
      </c>
      <c r="BV84" s="104">
        <v>0.3251953125</v>
      </c>
      <c r="BW84" s="104">
        <v>0</v>
      </c>
    </row>
    <row r="85" spans="31:75">
      <c r="AE85" s="104">
        <v>9.765625E-4</v>
      </c>
      <c r="AF85" s="104">
        <v>0.326171875</v>
      </c>
      <c r="AG85" s="104">
        <v>0</v>
      </c>
      <c r="AS85" s="104">
        <v>9.765625E-4</v>
      </c>
      <c r="AT85" s="104">
        <v>0.326171875</v>
      </c>
      <c r="AU85" s="104">
        <v>0</v>
      </c>
      <c r="BG85" s="104">
        <v>9.765625E-4</v>
      </c>
      <c r="BH85" s="104">
        <v>0.326171875</v>
      </c>
      <c r="BI85" s="104">
        <v>0</v>
      </c>
      <c r="BU85" s="104">
        <v>9.765625E-4</v>
      </c>
      <c r="BV85" s="104">
        <v>0.326171875</v>
      </c>
      <c r="BW85" s="104">
        <v>0</v>
      </c>
    </row>
    <row r="86" spans="31:75">
      <c r="AE86" s="104">
        <v>1.953125E-3</v>
      </c>
      <c r="AF86" s="104">
        <v>0.328125</v>
      </c>
      <c r="AG86" s="104">
        <v>0</v>
      </c>
      <c r="AS86" s="104">
        <v>1.953125E-3</v>
      </c>
      <c r="AT86" s="104">
        <v>0.328125</v>
      </c>
      <c r="AU86" s="104">
        <v>0</v>
      </c>
      <c r="BG86" s="104">
        <v>1.953125E-3</v>
      </c>
      <c r="BH86" s="104">
        <v>0.328125</v>
      </c>
      <c r="BI86" s="104">
        <v>0</v>
      </c>
      <c r="BU86" s="104">
        <v>1.953125E-3</v>
      </c>
      <c r="BV86" s="104">
        <v>0.328125</v>
      </c>
      <c r="BW86" s="104">
        <v>0</v>
      </c>
    </row>
    <row r="87" spans="31:75">
      <c r="AE87" s="104">
        <v>9.765625E-4</v>
      </c>
      <c r="AF87" s="104">
        <v>0.3291015625</v>
      </c>
      <c r="AG87" s="104">
        <v>0</v>
      </c>
      <c r="AS87" s="104">
        <v>9.765625E-4</v>
      </c>
      <c r="AT87" s="104">
        <v>0.3291015625</v>
      </c>
      <c r="AU87" s="104">
        <v>0</v>
      </c>
      <c r="BG87" s="104">
        <v>9.765625E-4</v>
      </c>
      <c r="BH87" s="104">
        <v>0.3291015625</v>
      </c>
      <c r="BI87" s="104">
        <v>0</v>
      </c>
      <c r="BU87" s="104">
        <v>9.765625E-4</v>
      </c>
      <c r="BV87" s="104">
        <v>0.3291015625</v>
      </c>
      <c r="BW87" s="104">
        <v>0</v>
      </c>
    </row>
    <row r="88" spans="31:75">
      <c r="AE88" s="104">
        <v>1.953125E-3</v>
      </c>
      <c r="AF88" s="104">
        <v>0.3310546875</v>
      </c>
      <c r="AG88" s="104">
        <v>0</v>
      </c>
      <c r="AS88" s="104">
        <v>1.953125E-3</v>
      </c>
      <c r="AT88" s="104">
        <v>0.3310546875</v>
      </c>
      <c r="AU88" s="104">
        <v>0</v>
      </c>
      <c r="BG88" s="104">
        <v>1.953125E-3</v>
      </c>
      <c r="BH88" s="104">
        <v>0.3310546875</v>
      </c>
      <c r="BI88" s="104">
        <v>0</v>
      </c>
      <c r="BU88" s="104">
        <v>1.953125E-3</v>
      </c>
      <c r="BV88" s="104">
        <v>0.3310546875</v>
      </c>
      <c r="BW88" s="104">
        <v>0</v>
      </c>
    </row>
    <row r="89" spans="31:75">
      <c r="AE89" s="104">
        <v>3.90625E-3</v>
      </c>
      <c r="AF89" s="104">
        <v>0.3349609375</v>
      </c>
      <c r="AG89" s="104">
        <v>0</v>
      </c>
      <c r="AS89" s="104">
        <v>3.90625E-3</v>
      </c>
      <c r="AT89" s="104">
        <v>0.3349609375</v>
      </c>
      <c r="AU89" s="104">
        <v>0</v>
      </c>
      <c r="BG89" s="104">
        <v>3.90625E-3</v>
      </c>
      <c r="BH89" s="104">
        <v>0.3349609375</v>
      </c>
      <c r="BI89" s="104">
        <v>0</v>
      </c>
      <c r="BU89" s="104">
        <v>3.90625E-3</v>
      </c>
      <c r="BV89" s="104">
        <v>0.3349609375</v>
      </c>
      <c r="BW89" s="104">
        <v>0</v>
      </c>
    </row>
    <row r="90" spans="31:75">
      <c r="AE90" s="104">
        <v>7.8125E-3</v>
      </c>
      <c r="AF90" s="104">
        <v>0.3427734375</v>
      </c>
      <c r="AG90" s="104">
        <v>0</v>
      </c>
      <c r="AS90" s="104">
        <v>7.8125E-3</v>
      </c>
      <c r="AT90" s="104">
        <v>0.3427734375</v>
      </c>
      <c r="AU90" s="104">
        <v>0</v>
      </c>
      <c r="BG90" s="104">
        <v>7.8125E-3</v>
      </c>
      <c r="BH90" s="104">
        <v>0.3427734375</v>
      </c>
      <c r="BI90" s="104">
        <v>0</v>
      </c>
      <c r="BU90" s="104">
        <v>7.8125E-3</v>
      </c>
      <c r="BV90" s="104">
        <v>0.3427734375</v>
      </c>
      <c r="BW90" s="104">
        <v>0</v>
      </c>
    </row>
    <row r="91" spans="31:75">
      <c r="AE91" s="104">
        <v>3.90625E-3</v>
      </c>
      <c r="AF91" s="104">
        <v>0.3466796875</v>
      </c>
      <c r="AG91" s="104">
        <v>0</v>
      </c>
      <c r="AS91" s="104">
        <v>3.90625E-3</v>
      </c>
      <c r="AT91" s="104">
        <v>0.3466796875</v>
      </c>
      <c r="AU91" s="104">
        <v>0</v>
      </c>
      <c r="BG91" s="104">
        <v>3.90625E-3</v>
      </c>
      <c r="BH91" s="104">
        <v>0.3466796875</v>
      </c>
      <c r="BI91" s="104">
        <v>0</v>
      </c>
      <c r="BU91" s="104">
        <v>3.90625E-3</v>
      </c>
      <c r="BV91" s="104">
        <v>0.3466796875</v>
      </c>
      <c r="BW91" s="104">
        <v>0</v>
      </c>
    </row>
    <row r="92" spans="31:75">
      <c r="AE92" s="104">
        <v>1.953125E-3</v>
      </c>
      <c r="AF92" s="104">
        <v>0.3486328125</v>
      </c>
      <c r="AG92" s="104">
        <v>0</v>
      </c>
      <c r="AS92" s="104">
        <v>1.953125E-3</v>
      </c>
      <c r="AT92" s="104">
        <v>0.3486328125</v>
      </c>
      <c r="AU92" s="104">
        <v>0</v>
      </c>
      <c r="BG92" s="104">
        <v>1.953125E-3</v>
      </c>
      <c r="BH92" s="104">
        <v>0.3486328125</v>
      </c>
      <c r="BI92" s="104">
        <v>0</v>
      </c>
      <c r="BU92" s="104">
        <v>1.953125E-3</v>
      </c>
      <c r="BV92" s="104">
        <v>0.3486328125</v>
      </c>
      <c r="BW92" s="104">
        <v>0</v>
      </c>
    </row>
    <row r="93" spans="31:75">
      <c r="AE93" s="104">
        <v>9.765625E-4</v>
      </c>
      <c r="AF93" s="104">
        <v>0.349609375</v>
      </c>
      <c r="AG93" s="104">
        <v>0</v>
      </c>
      <c r="AS93" s="104">
        <v>9.765625E-4</v>
      </c>
      <c r="AT93" s="104">
        <v>0.349609375</v>
      </c>
      <c r="AU93" s="104">
        <v>0</v>
      </c>
      <c r="BG93" s="104">
        <v>9.765625E-4</v>
      </c>
      <c r="BH93" s="104">
        <v>0.349609375</v>
      </c>
      <c r="BI93" s="104">
        <v>0</v>
      </c>
      <c r="BU93" s="104">
        <v>9.765625E-4</v>
      </c>
      <c r="BV93" s="104">
        <v>0.349609375</v>
      </c>
      <c r="BW93" s="104">
        <v>0</v>
      </c>
    </row>
    <row r="94" spans="31:75">
      <c r="AE94" s="104">
        <v>1.953125E-3</v>
      </c>
      <c r="AF94" s="104">
        <v>0.3515625</v>
      </c>
      <c r="AG94" s="104">
        <v>0</v>
      </c>
      <c r="AS94" s="104">
        <v>1.953125E-3</v>
      </c>
      <c r="AT94" s="104">
        <v>0.3515625</v>
      </c>
      <c r="AU94" s="104">
        <v>0</v>
      </c>
      <c r="BG94" s="104">
        <v>1.953125E-3</v>
      </c>
      <c r="BH94" s="104">
        <v>0.3515625</v>
      </c>
      <c r="BI94" s="104">
        <v>0</v>
      </c>
      <c r="BU94" s="104">
        <v>1.953125E-3</v>
      </c>
      <c r="BV94" s="104">
        <v>0.3515625</v>
      </c>
      <c r="BW94" s="104">
        <v>0</v>
      </c>
    </row>
    <row r="95" spans="31:75">
      <c r="AE95" s="104">
        <v>3.90625E-3</v>
      </c>
      <c r="AF95" s="104">
        <v>0.35546875</v>
      </c>
      <c r="AG95" s="104">
        <v>0</v>
      </c>
      <c r="AS95" s="104">
        <v>3.90625E-3</v>
      </c>
      <c r="AT95" s="104">
        <v>0.35546875</v>
      </c>
      <c r="AU95" s="104">
        <v>0</v>
      </c>
      <c r="BG95" s="104">
        <v>3.90625E-3</v>
      </c>
      <c r="BH95" s="104">
        <v>0.35546875</v>
      </c>
      <c r="BI95" s="104">
        <v>0</v>
      </c>
      <c r="BU95" s="104">
        <v>3.90625E-3</v>
      </c>
      <c r="BV95" s="104">
        <v>0.35546875</v>
      </c>
      <c r="BW95" s="104">
        <v>0</v>
      </c>
    </row>
    <row r="96" spans="31:75">
      <c r="AE96" s="104">
        <v>7.8125E-3</v>
      </c>
      <c r="AF96" s="104">
        <v>0.36328125</v>
      </c>
      <c r="AG96" s="104">
        <v>0</v>
      </c>
      <c r="AS96" s="104">
        <v>7.8125E-3</v>
      </c>
      <c r="AT96" s="104">
        <v>0.36328125</v>
      </c>
      <c r="AU96" s="104">
        <v>0</v>
      </c>
      <c r="BG96" s="104">
        <v>7.8125E-3</v>
      </c>
      <c r="BH96" s="104">
        <v>0.36328125</v>
      </c>
      <c r="BI96" s="104">
        <v>0</v>
      </c>
      <c r="BU96" s="104">
        <v>7.8125E-3</v>
      </c>
      <c r="BV96" s="104">
        <v>0.36328125</v>
      </c>
      <c r="BW96" s="104">
        <v>0</v>
      </c>
    </row>
    <row r="97" spans="31:75">
      <c r="AE97" s="104">
        <v>3.90625E-3</v>
      </c>
      <c r="AF97" s="104">
        <v>0.3671875</v>
      </c>
      <c r="AG97" s="104">
        <v>0</v>
      </c>
      <c r="AS97" s="104">
        <v>3.90625E-3</v>
      </c>
      <c r="AT97" s="104">
        <v>0.3671875</v>
      </c>
      <c r="AU97" s="104">
        <v>0</v>
      </c>
      <c r="BG97" s="104">
        <v>3.90625E-3</v>
      </c>
      <c r="BH97" s="104">
        <v>0.3671875</v>
      </c>
      <c r="BI97" s="104">
        <v>0</v>
      </c>
      <c r="BU97" s="104">
        <v>3.90625E-3</v>
      </c>
      <c r="BV97" s="104">
        <v>0.3671875</v>
      </c>
      <c r="BW97" s="104">
        <v>0</v>
      </c>
    </row>
    <row r="98" spans="31:75">
      <c r="AE98" s="104">
        <v>1.953125E-3</v>
      </c>
      <c r="AF98" s="104">
        <v>0.369140625</v>
      </c>
      <c r="AG98" s="104">
        <v>0</v>
      </c>
      <c r="AS98" s="104">
        <v>1.953125E-3</v>
      </c>
      <c r="AT98" s="104">
        <v>0.369140625</v>
      </c>
      <c r="AU98" s="104">
        <v>0</v>
      </c>
      <c r="BG98" s="104">
        <v>1.953125E-3</v>
      </c>
      <c r="BH98" s="104">
        <v>0.369140625</v>
      </c>
      <c r="BI98" s="104">
        <v>0</v>
      </c>
      <c r="BU98" s="104">
        <v>1.953125E-3</v>
      </c>
      <c r="BV98" s="104">
        <v>0.369140625</v>
      </c>
      <c r="BW98" s="104">
        <v>0</v>
      </c>
    </row>
    <row r="99" spans="31:75">
      <c r="AE99" s="104">
        <v>3.90625E-3</v>
      </c>
      <c r="AF99" s="104">
        <v>0.373046875</v>
      </c>
      <c r="AG99" s="104">
        <v>0</v>
      </c>
      <c r="AS99" s="104">
        <v>3.90625E-3</v>
      </c>
      <c r="AT99" s="104">
        <v>0.373046875</v>
      </c>
      <c r="AU99" s="104">
        <v>0</v>
      </c>
      <c r="BG99" s="104">
        <v>3.90625E-3</v>
      </c>
      <c r="BH99" s="104">
        <v>0.373046875</v>
      </c>
      <c r="BI99" s="104">
        <v>0</v>
      </c>
      <c r="BU99" s="104">
        <v>3.90625E-3</v>
      </c>
      <c r="BV99" s="104">
        <v>0.373046875</v>
      </c>
      <c r="BW99" s="104">
        <v>0</v>
      </c>
    </row>
    <row r="100" spans="31:75">
      <c r="AE100" s="104">
        <v>1.953125E-3</v>
      </c>
      <c r="AF100" s="104">
        <v>0.375</v>
      </c>
      <c r="AG100" s="104">
        <v>0</v>
      </c>
      <c r="AS100" s="104">
        <v>1.953125E-3</v>
      </c>
      <c r="AT100" s="104">
        <v>0.375</v>
      </c>
      <c r="AU100" s="104">
        <v>0</v>
      </c>
      <c r="BG100" s="104">
        <v>1.953125E-3</v>
      </c>
      <c r="BH100" s="104">
        <v>0.375</v>
      </c>
      <c r="BI100" s="104">
        <v>0</v>
      </c>
      <c r="BU100" s="104">
        <v>1.953125E-3</v>
      </c>
      <c r="BV100" s="104">
        <v>0.375</v>
      </c>
      <c r="BW100" s="104">
        <v>0</v>
      </c>
    </row>
    <row r="101" spans="31:75">
      <c r="AE101" s="104">
        <v>3.90625E-3</v>
      </c>
      <c r="AF101" s="104">
        <v>0.37890625</v>
      </c>
      <c r="AG101" s="104">
        <v>0</v>
      </c>
      <c r="AS101" s="104">
        <v>3.90625E-3</v>
      </c>
      <c r="AT101" s="104">
        <v>0.37890625</v>
      </c>
      <c r="AU101" s="104">
        <v>0</v>
      </c>
      <c r="BG101" s="104">
        <v>3.90625E-3</v>
      </c>
      <c r="BH101" s="104">
        <v>0.37890625</v>
      </c>
      <c r="BI101" s="104">
        <v>0</v>
      </c>
      <c r="BU101" s="104">
        <v>3.90625E-3</v>
      </c>
      <c r="BV101" s="104">
        <v>0.37890625</v>
      </c>
      <c r="BW101" s="104">
        <v>0</v>
      </c>
    </row>
    <row r="102" spans="31:75">
      <c r="AE102" s="104">
        <v>1.953125E-3</v>
      </c>
      <c r="AF102" s="104">
        <v>0.380859375</v>
      </c>
      <c r="AG102" s="104">
        <v>0</v>
      </c>
      <c r="AS102" s="104">
        <v>1.953125E-3</v>
      </c>
      <c r="AT102" s="104">
        <v>0.380859375</v>
      </c>
      <c r="AU102" s="104">
        <v>0</v>
      </c>
      <c r="BG102" s="104">
        <v>1.953125E-3</v>
      </c>
      <c r="BH102" s="104">
        <v>0.380859375</v>
      </c>
      <c r="BI102" s="104">
        <v>0</v>
      </c>
      <c r="BU102" s="104">
        <v>1.953125E-3</v>
      </c>
      <c r="BV102" s="104">
        <v>0.380859375</v>
      </c>
      <c r="BW102" s="104">
        <v>0</v>
      </c>
    </row>
    <row r="103" spans="31:75">
      <c r="AE103" s="104">
        <v>3.90625E-3</v>
      </c>
      <c r="AF103" s="104">
        <v>0.384765625</v>
      </c>
      <c r="AG103" s="104">
        <v>0</v>
      </c>
      <c r="AS103" s="104">
        <v>3.90625E-3</v>
      </c>
      <c r="AT103" s="104">
        <v>0.384765625</v>
      </c>
      <c r="AU103" s="104">
        <v>0</v>
      </c>
      <c r="BG103" s="104">
        <v>3.90625E-3</v>
      </c>
      <c r="BH103" s="104">
        <v>0.384765625</v>
      </c>
      <c r="BI103" s="104">
        <v>0</v>
      </c>
      <c r="BU103" s="104">
        <v>3.90625E-3</v>
      </c>
      <c r="BV103" s="104">
        <v>0.384765625</v>
      </c>
      <c r="BW103" s="104">
        <v>0</v>
      </c>
    </row>
    <row r="104" spans="31:75">
      <c r="AE104" s="104">
        <v>1.953125E-3</v>
      </c>
      <c r="AF104" s="104">
        <v>0.38671875</v>
      </c>
      <c r="AG104" s="104">
        <v>0</v>
      </c>
      <c r="AS104" s="104">
        <v>1.953125E-3</v>
      </c>
      <c r="AT104" s="104">
        <v>0.38671875</v>
      </c>
      <c r="AU104" s="104">
        <v>0</v>
      </c>
      <c r="BG104" s="104">
        <v>1.953125E-3</v>
      </c>
      <c r="BH104" s="104">
        <v>0.38671875</v>
      </c>
      <c r="BI104" s="104">
        <v>0</v>
      </c>
      <c r="BU104" s="104">
        <v>1.953125E-3</v>
      </c>
      <c r="BV104" s="104">
        <v>0.38671875</v>
      </c>
      <c r="BW104" s="104">
        <v>0</v>
      </c>
    </row>
    <row r="105" spans="31:75">
      <c r="AE105" s="104">
        <v>3.90625E-3</v>
      </c>
      <c r="AF105" s="104">
        <v>0.390625</v>
      </c>
      <c r="AG105" s="104">
        <v>0</v>
      </c>
      <c r="AS105" s="104">
        <v>3.90625E-3</v>
      </c>
      <c r="AT105" s="104">
        <v>0.390625</v>
      </c>
      <c r="AU105" s="104">
        <v>0</v>
      </c>
      <c r="BG105" s="104">
        <v>3.90625E-3</v>
      </c>
      <c r="BH105" s="104">
        <v>0.390625</v>
      </c>
      <c r="BI105" s="104">
        <v>0</v>
      </c>
      <c r="BU105" s="104">
        <v>3.90625E-3</v>
      </c>
      <c r="BV105" s="104">
        <v>0.390625</v>
      </c>
      <c r="BW105" s="104">
        <v>0</v>
      </c>
    </row>
    <row r="106" spans="31:75">
      <c r="AE106" s="104">
        <v>1.953125E-3</v>
      </c>
      <c r="AF106" s="104">
        <v>0.392578125</v>
      </c>
      <c r="AG106" s="104">
        <v>0</v>
      </c>
      <c r="AS106" s="104">
        <v>1.953125E-3</v>
      </c>
      <c r="AT106" s="104">
        <v>0.392578125</v>
      </c>
      <c r="AU106" s="104">
        <v>0</v>
      </c>
      <c r="BG106" s="104">
        <v>1.953125E-3</v>
      </c>
      <c r="BH106" s="104">
        <v>0.392578125</v>
      </c>
      <c r="BI106" s="104">
        <v>0</v>
      </c>
      <c r="BU106" s="104">
        <v>1.953125E-3</v>
      </c>
      <c r="BV106" s="104">
        <v>0.392578125</v>
      </c>
      <c r="BW106" s="104">
        <v>0</v>
      </c>
    </row>
    <row r="107" spans="31:75">
      <c r="AE107" s="104">
        <v>9.765625E-4</v>
      </c>
      <c r="AF107" s="104">
        <v>0.3935546875</v>
      </c>
      <c r="AG107" s="104">
        <v>0</v>
      </c>
      <c r="AS107" s="104">
        <v>9.765625E-4</v>
      </c>
      <c r="AT107" s="104">
        <v>0.3935546875</v>
      </c>
      <c r="AU107" s="104">
        <v>0</v>
      </c>
      <c r="BG107" s="104">
        <v>9.765625E-4</v>
      </c>
      <c r="BH107" s="104">
        <v>0.3935546875</v>
      </c>
      <c r="BI107" s="104">
        <v>0</v>
      </c>
      <c r="BU107" s="104">
        <v>9.765625E-4</v>
      </c>
      <c r="BV107" s="104">
        <v>0.3935546875</v>
      </c>
      <c r="BW107" s="104">
        <v>0</v>
      </c>
    </row>
    <row r="108" spans="31:75">
      <c r="AE108" s="104">
        <v>1.953125E-3</v>
      </c>
      <c r="AF108" s="104">
        <v>0.3955078125</v>
      </c>
      <c r="AG108" s="104">
        <v>0</v>
      </c>
      <c r="AS108" s="104">
        <v>1.953125E-3</v>
      </c>
      <c r="AT108" s="104">
        <v>0.3955078125</v>
      </c>
      <c r="AU108" s="104">
        <v>0</v>
      </c>
      <c r="BG108" s="104">
        <v>1.953125E-3</v>
      </c>
      <c r="BH108" s="104">
        <v>0.3955078125</v>
      </c>
      <c r="BI108" s="104">
        <v>0</v>
      </c>
      <c r="BU108" s="104">
        <v>1.953125E-3</v>
      </c>
      <c r="BV108" s="104">
        <v>0.3955078125</v>
      </c>
      <c r="BW108" s="104">
        <v>0</v>
      </c>
    </row>
    <row r="109" spans="31:75">
      <c r="AE109" s="104">
        <v>9.765625E-4</v>
      </c>
      <c r="AF109" s="104">
        <v>0.396484375</v>
      </c>
      <c r="AG109" s="104">
        <v>0</v>
      </c>
      <c r="AS109" s="104">
        <v>9.765625E-4</v>
      </c>
      <c r="AT109" s="104">
        <v>0.396484375</v>
      </c>
      <c r="AU109" s="104">
        <v>0</v>
      </c>
      <c r="BG109" s="104">
        <v>9.765625E-4</v>
      </c>
      <c r="BH109" s="104">
        <v>0.396484375</v>
      </c>
      <c r="BI109" s="104">
        <v>0</v>
      </c>
      <c r="BU109" s="104">
        <v>9.765625E-4</v>
      </c>
      <c r="BV109" s="104">
        <v>0.396484375</v>
      </c>
      <c r="BW109" s="104">
        <v>0</v>
      </c>
    </row>
    <row r="110" spans="31:75">
      <c r="AE110" s="104">
        <v>1.953125E-3</v>
      </c>
      <c r="AF110" s="104">
        <v>0.3984375</v>
      </c>
      <c r="AG110" s="104">
        <v>0</v>
      </c>
      <c r="AS110" s="104">
        <v>1.953125E-3</v>
      </c>
      <c r="AT110" s="104">
        <v>0.3984375</v>
      </c>
      <c r="AU110" s="104">
        <v>0</v>
      </c>
      <c r="BG110" s="104">
        <v>1.953125E-3</v>
      </c>
      <c r="BH110" s="104">
        <v>0.3984375</v>
      </c>
      <c r="BI110" s="104">
        <v>0</v>
      </c>
      <c r="BU110" s="104">
        <v>1.953125E-3</v>
      </c>
      <c r="BV110" s="104">
        <v>0.3984375</v>
      </c>
      <c r="BW110" s="104">
        <v>0</v>
      </c>
    </row>
    <row r="111" spans="31:75">
      <c r="AE111" s="104">
        <v>3.90625E-3</v>
      </c>
      <c r="AF111" s="104">
        <v>0.40234375</v>
      </c>
      <c r="AG111" s="104">
        <v>0</v>
      </c>
      <c r="AS111" s="104">
        <v>3.90625E-3</v>
      </c>
      <c r="AT111" s="104">
        <v>0.40234375</v>
      </c>
      <c r="AU111" s="104">
        <v>0</v>
      </c>
      <c r="BG111" s="104">
        <v>3.90625E-3</v>
      </c>
      <c r="BH111" s="104">
        <v>0.40234375</v>
      </c>
      <c r="BI111" s="104">
        <v>0</v>
      </c>
      <c r="BU111" s="104">
        <v>3.90625E-3</v>
      </c>
      <c r="BV111" s="104">
        <v>0.40234375</v>
      </c>
      <c r="BW111" s="104">
        <v>0</v>
      </c>
    </row>
    <row r="112" spans="31:75">
      <c r="AE112" s="104">
        <v>1.953125E-3</v>
      </c>
      <c r="AF112" s="104">
        <v>0.404296875</v>
      </c>
      <c r="AG112" s="104">
        <v>0</v>
      </c>
      <c r="AS112" s="104">
        <v>1.953125E-3</v>
      </c>
      <c r="AT112" s="104">
        <v>0.404296875</v>
      </c>
      <c r="AU112" s="104">
        <v>0</v>
      </c>
      <c r="BG112" s="104">
        <v>1.953125E-3</v>
      </c>
      <c r="BH112" s="104">
        <v>0.404296875</v>
      </c>
      <c r="BI112" s="104">
        <v>0</v>
      </c>
      <c r="BU112" s="104">
        <v>1.953125E-3</v>
      </c>
      <c r="BV112" s="104">
        <v>0.404296875</v>
      </c>
      <c r="BW112" s="104">
        <v>0</v>
      </c>
    </row>
    <row r="113" spans="31:75">
      <c r="AE113" s="104">
        <v>3.90625E-3</v>
      </c>
      <c r="AF113" s="104">
        <v>0.408203125</v>
      </c>
      <c r="AG113" s="104">
        <v>0</v>
      </c>
      <c r="AS113" s="104">
        <v>3.90625E-3</v>
      </c>
      <c r="AT113" s="104">
        <v>0.408203125</v>
      </c>
      <c r="AU113" s="104">
        <v>0</v>
      </c>
      <c r="BG113" s="104">
        <v>3.90625E-3</v>
      </c>
      <c r="BH113" s="104">
        <v>0.408203125</v>
      </c>
      <c r="BI113" s="104">
        <v>0</v>
      </c>
      <c r="BU113" s="104">
        <v>3.90625E-3</v>
      </c>
      <c r="BV113" s="104">
        <v>0.408203125</v>
      </c>
      <c r="BW113" s="104">
        <v>0</v>
      </c>
    </row>
    <row r="114" spans="31:75">
      <c r="AE114" s="104">
        <v>1.953125E-3</v>
      </c>
      <c r="AF114" s="104">
        <v>0.41015625</v>
      </c>
      <c r="AG114" s="104">
        <v>0</v>
      </c>
      <c r="AS114" s="104">
        <v>1.953125E-3</v>
      </c>
      <c r="AT114" s="104">
        <v>0.41015625</v>
      </c>
      <c r="AU114" s="104">
        <v>0</v>
      </c>
      <c r="BG114" s="104">
        <v>1.953125E-3</v>
      </c>
      <c r="BH114" s="104">
        <v>0.41015625</v>
      </c>
      <c r="BI114" s="104">
        <v>0</v>
      </c>
      <c r="BU114" s="104">
        <v>1.953125E-3</v>
      </c>
      <c r="BV114" s="104">
        <v>0.41015625</v>
      </c>
      <c r="BW114" s="104">
        <v>0</v>
      </c>
    </row>
    <row r="115" spans="31:75">
      <c r="AE115" s="104">
        <v>3.90625E-3</v>
      </c>
      <c r="AF115" s="104">
        <v>0.4140625</v>
      </c>
      <c r="AG115" s="104">
        <v>0</v>
      </c>
      <c r="AS115" s="104">
        <v>3.90625E-3</v>
      </c>
      <c r="AT115" s="104">
        <v>0.4140625</v>
      </c>
      <c r="AU115" s="104">
        <v>0</v>
      </c>
      <c r="BG115" s="104">
        <v>3.90625E-3</v>
      </c>
      <c r="BH115" s="104">
        <v>0.4140625</v>
      </c>
      <c r="BI115" s="104">
        <v>0</v>
      </c>
      <c r="BU115" s="104">
        <v>3.90625E-3</v>
      </c>
      <c r="BV115" s="104">
        <v>0.4140625</v>
      </c>
      <c r="BW115" s="104">
        <v>0</v>
      </c>
    </row>
    <row r="116" spans="31:75">
      <c r="AE116" s="104">
        <v>7.8125E-3</v>
      </c>
      <c r="AF116" s="104">
        <v>0.421875</v>
      </c>
      <c r="AG116" s="104">
        <v>0</v>
      </c>
      <c r="AS116" s="104">
        <v>7.8125E-3</v>
      </c>
      <c r="AT116" s="104">
        <v>0.421875</v>
      </c>
      <c r="AU116" s="104">
        <v>0</v>
      </c>
      <c r="BG116" s="104">
        <v>7.8125E-3</v>
      </c>
      <c r="BH116" s="104">
        <v>0.421875</v>
      </c>
      <c r="BI116" s="104">
        <v>0</v>
      </c>
      <c r="BU116" s="104">
        <v>7.8125E-3</v>
      </c>
      <c r="BV116" s="104">
        <v>0.421875</v>
      </c>
      <c r="BW116" s="104">
        <v>0</v>
      </c>
    </row>
    <row r="117" spans="31:75">
      <c r="AE117" s="104">
        <v>3.90625E-3</v>
      </c>
      <c r="AF117" s="104">
        <v>0.42578125</v>
      </c>
      <c r="AG117" s="104">
        <v>0</v>
      </c>
      <c r="AS117" s="104">
        <v>3.90625E-3</v>
      </c>
      <c r="AT117" s="104">
        <v>0.42578125</v>
      </c>
      <c r="AU117" s="104">
        <v>0</v>
      </c>
      <c r="BG117" s="104">
        <v>3.90625E-3</v>
      </c>
      <c r="BH117" s="104">
        <v>0.42578125</v>
      </c>
      <c r="BI117" s="104">
        <v>0</v>
      </c>
      <c r="BU117" s="104">
        <v>3.90625E-3</v>
      </c>
      <c r="BV117" s="104">
        <v>0.42578125</v>
      </c>
      <c r="BW117" s="104">
        <v>0</v>
      </c>
    </row>
    <row r="118" spans="31:75">
      <c r="AE118" s="104">
        <v>7.8125E-3</v>
      </c>
      <c r="AF118" s="104">
        <v>0.43359375</v>
      </c>
      <c r="AG118" s="104">
        <v>0</v>
      </c>
      <c r="AS118" s="104">
        <v>7.8125E-3</v>
      </c>
      <c r="AT118" s="104">
        <v>0.43359375</v>
      </c>
      <c r="AU118" s="104">
        <v>0</v>
      </c>
      <c r="BG118" s="104">
        <v>7.8125E-3</v>
      </c>
      <c r="BH118" s="104">
        <v>0.43359375</v>
      </c>
      <c r="BI118" s="104">
        <v>0</v>
      </c>
      <c r="BU118" s="104">
        <v>7.8125E-3</v>
      </c>
      <c r="BV118" s="104">
        <v>0.43359375</v>
      </c>
      <c r="BW118" s="104">
        <v>0</v>
      </c>
    </row>
    <row r="119" spans="31:75">
      <c r="AE119" s="104">
        <v>3.90625E-3</v>
      </c>
      <c r="AF119" s="104">
        <v>0.4375</v>
      </c>
      <c r="AG119" s="104">
        <v>0</v>
      </c>
      <c r="AS119" s="104">
        <v>3.90625E-3</v>
      </c>
      <c r="AT119" s="104">
        <v>0.4375</v>
      </c>
      <c r="AU119" s="104">
        <v>0</v>
      </c>
      <c r="BG119" s="104">
        <v>3.90625E-3</v>
      </c>
      <c r="BH119" s="104">
        <v>0.4375</v>
      </c>
      <c r="BI119" s="104">
        <v>0</v>
      </c>
      <c r="BU119" s="104">
        <v>3.90625E-3</v>
      </c>
      <c r="BV119" s="104">
        <v>0.4375</v>
      </c>
      <c r="BW119" s="104">
        <v>0</v>
      </c>
    </row>
    <row r="120" spans="31:75">
      <c r="AE120" s="104">
        <v>7.8125E-3</v>
      </c>
      <c r="AF120" s="104">
        <v>0.4453125</v>
      </c>
      <c r="AG120" s="104">
        <v>0</v>
      </c>
      <c r="AS120" s="104">
        <v>7.8125E-3</v>
      </c>
      <c r="AT120" s="104">
        <v>0.4453125</v>
      </c>
      <c r="AU120" s="104">
        <v>0</v>
      </c>
      <c r="BG120" s="104">
        <v>7.8125E-3</v>
      </c>
      <c r="BH120" s="104">
        <v>0.4453125</v>
      </c>
      <c r="BI120" s="104">
        <v>0</v>
      </c>
      <c r="BU120" s="104">
        <v>7.8125E-3</v>
      </c>
      <c r="BV120" s="104">
        <v>0.4453125</v>
      </c>
      <c r="BW120" s="104">
        <v>0</v>
      </c>
    </row>
    <row r="121" spans="31:75">
      <c r="AE121" s="104">
        <v>3.90625E-3</v>
      </c>
      <c r="AF121" s="104">
        <v>0.44921875</v>
      </c>
      <c r="AG121" s="104">
        <v>0</v>
      </c>
      <c r="AS121" s="104">
        <v>3.90625E-3</v>
      </c>
      <c r="AT121" s="104">
        <v>0.44921875</v>
      </c>
      <c r="AU121" s="104">
        <v>0</v>
      </c>
      <c r="BG121" s="104">
        <v>3.90625E-3</v>
      </c>
      <c r="BH121" s="104">
        <v>0.44921875</v>
      </c>
      <c r="BI121" s="104">
        <v>0</v>
      </c>
      <c r="BU121" s="104">
        <v>3.90625E-3</v>
      </c>
      <c r="BV121" s="104">
        <v>0.44921875</v>
      </c>
      <c r="BW121" s="104">
        <v>0</v>
      </c>
    </row>
    <row r="122" spans="31:75">
      <c r="AE122" s="104">
        <v>7.8125E-3</v>
      </c>
      <c r="AF122" s="104">
        <v>0.45703125</v>
      </c>
      <c r="AG122" s="104">
        <v>0</v>
      </c>
      <c r="AS122" s="104">
        <v>7.8125E-3</v>
      </c>
      <c r="AT122" s="104">
        <v>0.45703125</v>
      </c>
      <c r="AU122" s="104">
        <v>0</v>
      </c>
      <c r="BG122" s="104">
        <v>7.8125E-3</v>
      </c>
      <c r="BH122" s="104">
        <v>0.45703125</v>
      </c>
      <c r="BI122" s="104">
        <v>0</v>
      </c>
      <c r="BU122" s="104">
        <v>7.8125E-3</v>
      </c>
      <c r="BV122" s="104">
        <v>0.45703125</v>
      </c>
      <c r="BW122" s="104">
        <v>0</v>
      </c>
    </row>
    <row r="123" spans="31:75">
      <c r="AE123" s="104">
        <v>3.90625E-3</v>
      </c>
      <c r="AF123" s="104">
        <v>0.4609375</v>
      </c>
      <c r="AG123" s="104">
        <v>0</v>
      </c>
      <c r="AS123" s="104">
        <v>3.90625E-3</v>
      </c>
      <c r="AT123" s="104">
        <v>0.4609375</v>
      </c>
      <c r="AU123" s="104">
        <v>0</v>
      </c>
      <c r="BG123" s="104">
        <v>3.90625E-3</v>
      </c>
      <c r="BH123" s="104">
        <v>0.4609375</v>
      </c>
      <c r="BI123" s="104">
        <v>0</v>
      </c>
      <c r="BU123" s="104">
        <v>3.90625E-3</v>
      </c>
      <c r="BV123" s="104">
        <v>0.4609375</v>
      </c>
      <c r="BW123" s="104">
        <v>0</v>
      </c>
    </row>
    <row r="124" spans="31:75">
      <c r="AE124" s="104">
        <v>7.8125E-3</v>
      </c>
      <c r="AF124" s="104">
        <v>0.46875</v>
      </c>
      <c r="AG124" s="104">
        <v>0</v>
      </c>
      <c r="AS124" s="104">
        <v>7.8125E-3</v>
      </c>
      <c r="AT124" s="104">
        <v>0.46875</v>
      </c>
      <c r="AU124" s="104">
        <v>0</v>
      </c>
      <c r="BG124" s="104">
        <v>7.8125E-3</v>
      </c>
      <c r="BH124" s="104">
        <v>0.46875</v>
      </c>
      <c r="BI124" s="104">
        <v>0</v>
      </c>
      <c r="BU124" s="104">
        <v>7.8125E-3</v>
      </c>
      <c r="BV124" s="104">
        <v>0.46875</v>
      </c>
      <c r="BW124" s="104">
        <v>0</v>
      </c>
    </row>
    <row r="125" spans="31:75">
      <c r="AE125" s="104">
        <v>1.5625E-2</v>
      </c>
      <c r="AF125" s="104">
        <v>0.484375</v>
      </c>
      <c r="AG125" s="104">
        <v>0</v>
      </c>
      <c r="AS125" s="104">
        <v>1.5625E-2</v>
      </c>
      <c r="AT125" s="104">
        <v>0.484375</v>
      </c>
      <c r="AU125" s="104">
        <v>0</v>
      </c>
      <c r="BG125" s="104">
        <v>1.5625E-2</v>
      </c>
      <c r="BH125" s="104">
        <v>0.484375</v>
      </c>
      <c r="BI125" s="104">
        <v>0</v>
      </c>
      <c r="BU125" s="104">
        <v>1.5625E-2</v>
      </c>
      <c r="BV125" s="104">
        <v>0.484375</v>
      </c>
      <c r="BW125" s="104">
        <v>0</v>
      </c>
    </row>
    <row r="126" spans="31:75">
      <c r="AE126" s="104">
        <v>3.125E-2</v>
      </c>
      <c r="AF126" s="104">
        <v>0.515625</v>
      </c>
      <c r="AG126" s="104">
        <v>0</v>
      </c>
      <c r="AS126" s="104">
        <v>3.125E-2</v>
      </c>
      <c r="AT126" s="104">
        <v>0.515625</v>
      </c>
      <c r="AU126" s="104">
        <v>0</v>
      </c>
      <c r="BG126" s="104">
        <v>3.125E-2</v>
      </c>
      <c r="BH126" s="104">
        <v>0.515625</v>
      </c>
      <c r="BI126" s="104">
        <v>0</v>
      </c>
      <c r="BU126" s="104">
        <v>3.125E-2</v>
      </c>
      <c r="BV126" s="104">
        <v>0.515625</v>
      </c>
      <c r="BW126" s="104">
        <v>0</v>
      </c>
    </row>
    <row r="127" spans="31:75">
      <c r="AE127" s="104">
        <v>1.5625E-2</v>
      </c>
      <c r="AF127" s="104">
        <v>0.53125</v>
      </c>
      <c r="AG127" s="104">
        <v>0</v>
      </c>
      <c r="AS127" s="104">
        <v>1.5625E-2</v>
      </c>
      <c r="AT127" s="104">
        <v>0.53125</v>
      </c>
      <c r="AU127" s="104">
        <v>0</v>
      </c>
      <c r="BG127" s="104">
        <v>1.5625E-2</v>
      </c>
      <c r="BH127" s="104">
        <v>0.53125</v>
      </c>
      <c r="BI127" s="104">
        <v>0</v>
      </c>
      <c r="BU127" s="104">
        <v>1.5625E-2</v>
      </c>
      <c r="BV127" s="104">
        <v>0.53125</v>
      </c>
      <c r="BW127" s="104">
        <v>0</v>
      </c>
    </row>
    <row r="128" spans="31:75">
      <c r="AE128" s="104">
        <v>7.8125E-3</v>
      </c>
      <c r="AF128" s="104">
        <v>0.5390625</v>
      </c>
      <c r="AG128" s="104">
        <v>0</v>
      </c>
      <c r="AS128" s="104">
        <v>7.8125E-3</v>
      </c>
      <c r="AT128" s="104">
        <v>0.5390625</v>
      </c>
      <c r="AU128" s="104">
        <v>0</v>
      </c>
      <c r="BG128" s="104">
        <v>7.8125E-3</v>
      </c>
      <c r="BH128" s="104">
        <v>0.5390625</v>
      </c>
      <c r="BI128" s="104">
        <v>0</v>
      </c>
      <c r="BU128" s="104">
        <v>7.8125E-3</v>
      </c>
      <c r="BV128" s="104">
        <v>0.5390625</v>
      </c>
      <c r="BW128" s="104">
        <v>0</v>
      </c>
    </row>
    <row r="129" spans="31:75">
      <c r="AE129" s="104">
        <v>3.90625E-3</v>
      </c>
      <c r="AF129" s="104">
        <v>0.54296875</v>
      </c>
      <c r="AG129" s="104">
        <v>0</v>
      </c>
      <c r="AS129" s="104">
        <v>3.90625E-3</v>
      </c>
      <c r="AT129" s="104">
        <v>0.54296875</v>
      </c>
      <c r="AU129" s="104">
        <v>0</v>
      </c>
      <c r="BG129" s="104">
        <v>3.90625E-3</v>
      </c>
      <c r="BH129" s="104">
        <v>0.54296875</v>
      </c>
      <c r="BI129" s="104">
        <v>0</v>
      </c>
      <c r="BU129" s="104">
        <v>3.90625E-3</v>
      </c>
      <c r="BV129" s="104">
        <v>0.54296875</v>
      </c>
      <c r="BW129" s="104">
        <v>0</v>
      </c>
    </row>
    <row r="130" spans="31:75">
      <c r="AE130" s="104">
        <v>7.8125E-3</v>
      </c>
      <c r="AF130" s="104">
        <v>0.55078125</v>
      </c>
      <c r="AG130" s="104">
        <v>0</v>
      </c>
      <c r="AS130" s="104">
        <v>7.8125E-3</v>
      </c>
      <c r="AT130" s="104">
        <v>0.55078125</v>
      </c>
      <c r="AU130" s="104">
        <v>0</v>
      </c>
      <c r="BG130" s="104">
        <v>7.8125E-3</v>
      </c>
      <c r="BH130" s="104">
        <v>0.55078125</v>
      </c>
      <c r="BI130" s="104">
        <v>0</v>
      </c>
      <c r="BU130" s="104">
        <v>7.8125E-3</v>
      </c>
      <c r="BV130" s="104">
        <v>0.55078125</v>
      </c>
      <c r="BW130" s="104">
        <v>0</v>
      </c>
    </row>
    <row r="131" spans="31:75">
      <c r="AE131" s="104">
        <v>3.90625E-3</v>
      </c>
      <c r="AF131" s="104">
        <v>0.5546875</v>
      </c>
      <c r="AG131" s="104">
        <v>0</v>
      </c>
      <c r="AS131" s="104">
        <v>3.90625E-3</v>
      </c>
      <c r="AT131" s="104">
        <v>0.5546875</v>
      </c>
      <c r="AU131" s="104">
        <v>0</v>
      </c>
      <c r="BG131" s="104">
        <v>3.90625E-3</v>
      </c>
      <c r="BH131" s="104">
        <v>0.5546875</v>
      </c>
      <c r="BI131" s="104">
        <v>0</v>
      </c>
      <c r="BU131" s="104">
        <v>3.90625E-3</v>
      </c>
      <c r="BV131" s="104">
        <v>0.5546875</v>
      </c>
      <c r="BW131" s="104">
        <v>0</v>
      </c>
    </row>
    <row r="132" spans="31:75">
      <c r="AE132" s="104">
        <v>7.8125E-3</v>
      </c>
      <c r="AF132" s="104">
        <v>0.5625</v>
      </c>
      <c r="AG132" s="104">
        <v>0</v>
      </c>
      <c r="AS132" s="104">
        <v>7.8125E-3</v>
      </c>
      <c r="AT132" s="104">
        <v>0.5625</v>
      </c>
      <c r="AU132" s="104">
        <v>0</v>
      </c>
      <c r="BG132" s="104">
        <v>7.8125E-3</v>
      </c>
      <c r="BH132" s="104">
        <v>0.5625</v>
      </c>
      <c r="BI132" s="104">
        <v>0</v>
      </c>
      <c r="BU132" s="104">
        <v>7.8125E-3</v>
      </c>
      <c r="BV132" s="104">
        <v>0.5625</v>
      </c>
      <c r="BW132" s="104">
        <v>0</v>
      </c>
    </row>
    <row r="133" spans="31:75">
      <c r="AE133" s="104">
        <v>3.90625E-3</v>
      </c>
      <c r="AF133" s="104">
        <v>0.56640625</v>
      </c>
      <c r="AG133" s="104">
        <v>0</v>
      </c>
      <c r="AS133" s="104">
        <v>3.90625E-3</v>
      </c>
      <c r="AT133" s="104">
        <v>0.56640625</v>
      </c>
      <c r="AU133" s="104">
        <v>0</v>
      </c>
      <c r="BG133" s="104">
        <v>3.90625E-3</v>
      </c>
      <c r="BH133" s="104">
        <v>0.56640625</v>
      </c>
      <c r="BI133" s="104">
        <v>0</v>
      </c>
      <c r="BU133" s="104">
        <v>3.90625E-3</v>
      </c>
      <c r="BV133" s="104">
        <v>0.56640625</v>
      </c>
      <c r="BW133" s="104">
        <v>0</v>
      </c>
    </row>
    <row r="134" spans="31:75">
      <c r="AE134" s="104">
        <v>7.8125E-3</v>
      </c>
      <c r="AF134" s="104">
        <v>0.57421875</v>
      </c>
      <c r="AG134" s="104">
        <v>0</v>
      </c>
      <c r="AS134" s="104">
        <v>7.8125E-3</v>
      </c>
      <c r="AT134" s="104">
        <v>0.57421875</v>
      </c>
      <c r="AU134" s="104">
        <v>0</v>
      </c>
      <c r="BG134" s="104">
        <v>7.8125E-3</v>
      </c>
      <c r="BH134" s="104">
        <v>0.57421875</v>
      </c>
      <c r="BI134" s="104">
        <v>0</v>
      </c>
      <c r="BU134" s="104">
        <v>7.8125E-3</v>
      </c>
      <c r="BV134" s="104">
        <v>0.57421875</v>
      </c>
      <c r="BW134" s="104">
        <v>0</v>
      </c>
    </row>
    <row r="135" spans="31:75">
      <c r="AE135" s="104">
        <v>3.90625E-3</v>
      </c>
      <c r="AF135" s="104">
        <v>0.578125</v>
      </c>
      <c r="AG135" s="104">
        <v>0</v>
      </c>
      <c r="AS135" s="104">
        <v>3.90625E-3</v>
      </c>
      <c r="AT135" s="104">
        <v>0.578125</v>
      </c>
      <c r="AU135" s="104">
        <v>0</v>
      </c>
      <c r="BG135" s="104">
        <v>3.90625E-3</v>
      </c>
      <c r="BH135" s="104">
        <v>0.578125</v>
      </c>
      <c r="BI135" s="104">
        <v>0</v>
      </c>
      <c r="BU135" s="104">
        <v>3.90625E-3</v>
      </c>
      <c r="BV135" s="104">
        <v>0.578125</v>
      </c>
      <c r="BW135" s="104">
        <v>0</v>
      </c>
    </row>
    <row r="136" spans="31:75">
      <c r="AE136" s="104">
        <v>7.8125E-3</v>
      </c>
      <c r="AF136" s="104">
        <v>0.5859375</v>
      </c>
      <c r="AG136" s="104">
        <v>0</v>
      </c>
      <c r="AS136" s="104">
        <v>7.8125E-3</v>
      </c>
      <c r="AT136" s="104">
        <v>0.5859375</v>
      </c>
      <c r="AU136" s="104">
        <v>0</v>
      </c>
      <c r="BG136" s="104">
        <v>7.8125E-3</v>
      </c>
      <c r="BH136" s="104">
        <v>0.5859375</v>
      </c>
      <c r="BI136" s="104">
        <v>0</v>
      </c>
      <c r="BU136" s="104">
        <v>7.8125E-3</v>
      </c>
      <c r="BV136" s="104">
        <v>0.5859375</v>
      </c>
      <c r="BW136" s="104">
        <v>0</v>
      </c>
    </row>
    <row r="137" spans="31:75">
      <c r="AE137" s="104">
        <v>3.90625E-3</v>
      </c>
      <c r="AF137" s="104">
        <v>0.58984375</v>
      </c>
      <c r="AG137" s="104">
        <v>0</v>
      </c>
      <c r="AS137" s="104">
        <v>3.90625E-3</v>
      </c>
      <c r="AT137" s="104">
        <v>0.58984375</v>
      </c>
      <c r="AU137" s="104">
        <v>0</v>
      </c>
      <c r="BG137" s="104">
        <v>3.90625E-3</v>
      </c>
      <c r="BH137" s="104">
        <v>0.58984375</v>
      </c>
      <c r="BI137" s="104">
        <v>0</v>
      </c>
      <c r="BU137" s="104">
        <v>3.90625E-3</v>
      </c>
      <c r="BV137" s="104">
        <v>0.58984375</v>
      </c>
      <c r="BW137" s="104">
        <v>0</v>
      </c>
    </row>
    <row r="138" spans="31:75">
      <c r="AE138" s="104">
        <v>1.953125E-3</v>
      </c>
      <c r="AF138" s="104">
        <v>0.591796875</v>
      </c>
      <c r="AG138" s="104">
        <v>0</v>
      </c>
      <c r="AS138" s="104">
        <v>1.953125E-3</v>
      </c>
      <c r="AT138" s="104">
        <v>0.591796875</v>
      </c>
      <c r="AU138" s="104">
        <v>0</v>
      </c>
      <c r="BG138" s="104">
        <v>1.953125E-3</v>
      </c>
      <c r="BH138" s="104">
        <v>0.591796875</v>
      </c>
      <c r="BI138" s="104">
        <v>0</v>
      </c>
      <c r="BU138" s="104">
        <v>1.953125E-3</v>
      </c>
      <c r="BV138" s="104">
        <v>0.591796875</v>
      </c>
      <c r="BW138" s="104">
        <v>0</v>
      </c>
    </row>
    <row r="139" spans="31:75">
      <c r="AE139" s="104">
        <v>3.90625E-3</v>
      </c>
      <c r="AF139" s="104">
        <v>0.595703125</v>
      </c>
      <c r="AG139" s="104">
        <v>0</v>
      </c>
      <c r="AS139" s="104">
        <v>3.90625E-3</v>
      </c>
      <c r="AT139" s="104">
        <v>0.595703125</v>
      </c>
      <c r="AU139" s="104">
        <v>0</v>
      </c>
      <c r="BG139" s="104">
        <v>3.90625E-3</v>
      </c>
      <c r="BH139" s="104">
        <v>0.595703125</v>
      </c>
      <c r="BI139" s="104">
        <v>0</v>
      </c>
      <c r="BU139" s="104">
        <v>3.90625E-3</v>
      </c>
      <c r="BV139" s="104">
        <v>0.595703125</v>
      </c>
      <c r="BW139" s="104">
        <v>0</v>
      </c>
    </row>
    <row r="140" spans="31:75">
      <c r="AE140" s="104">
        <v>1.953125E-3</v>
      </c>
      <c r="AF140" s="104">
        <v>0.59765625</v>
      </c>
      <c r="AG140" s="104">
        <v>0</v>
      </c>
      <c r="AS140" s="104">
        <v>1.953125E-3</v>
      </c>
      <c r="AT140" s="104">
        <v>0.59765625</v>
      </c>
      <c r="AU140" s="104">
        <v>0</v>
      </c>
      <c r="BG140" s="104">
        <v>1.953125E-3</v>
      </c>
      <c r="BH140" s="104">
        <v>0.59765625</v>
      </c>
      <c r="BI140" s="104">
        <v>0</v>
      </c>
      <c r="BU140" s="104">
        <v>1.953125E-3</v>
      </c>
      <c r="BV140" s="104">
        <v>0.59765625</v>
      </c>
      <c r="BW140" s="104">
        <v>0</v>
      </c>
    </row>
    <row r="141" spans="31:75">
      <c r="AE141" s="104">
        <v>3.90625E-3</v>
      </c>
      <c r="AF141" s="104">
        <v>0.6015625</v>
      </c>
      <c r="AG141" s="104">
        <v>0</v>
      </c>
      <c r="AS141" s="104">
        <v>3.90625E-3</v>
      </c>
      <c r="AT141" s="104">
        <v>0.6015625</v>
      </c>
      <c r="AU141" s="104">
        <v>0</v>
      </c>
      <c r="BG141" s="104">
        <v>3.90625E-3</v>
      </c>
      <c r="BH141" s="104">
        <v>0.6015625</v>
      </c>
      <c r="BI141" s="104">
        <v>0</v>
      </c>
      <c r="BU141" s="104">
        <v>3.90625E-3</v>
      </c>
      <c r="BV141" s="104">
        <v>0.6015625</v>
      </c>
      <c r="BW141" s="104">
        <v>0</v>
      </c>
    </row>
    <row r="142" spans="31:75">
      <c r="AE142" s="104">
        <v>1.953125E-3</v>
      </c>
      <c r="AF142" s="104">
        <v>0.603515625</v>
      </c>
      <c r="AG142" s="104">
        <v>0</v>
      </c>
      <c r="AS142" s="104">
        <v>1.953125E-3</v>
      </c>
      <c r="AT142" s="104">
        <v>0.603515625</v>
      </c>
      <c r="AU142" s="104">
        <v>0</v>
      </c>
      <c r="BG142" s="104">
        <v>1.953125E-3</v>
      </c>
      <c r="BH142" s="104">
        <v>0.603515625</v>
      </c>
      <c r="BI142" s="104">
        <v>0</v>
      </c>
      <c r="BU142" s="104">
        <v>1.953125E-3</v>
      </c>
      <c r="BV142" s="104">
        <v>0.603515625</v>
      </c>
      <c r="BW142" s="104">
        <v>0</v>
      </c>
    </row>
    <row r="143" spans="31:75">
      <c r="AE143" s="104">
        <v>9.765625E-4</v>
      </c>
      <c r="AF143" s="104">
        <v>0.6044921875</v>
      </c>
      <c r="AG143" s="104">
        <v>0</v>
      </c>
      <c r="AS143" s="104">
        <v>9.765625E-4</v>
      </c>
      <c r="AT143" s="104">
        <v>0.6044921875</v>
      </c>
      <c r="AU143" s="104">
        <v>0</v>
      </c>
      <c r="BG143" s="104">
        <v>9.765625E-4</v>
      </c>
      <c r="BH143" s="104">
        <v>0.6044921875</v>
      </c>
      <c r="BI143" s="104">
        <v>0</v>
      </c>
      <c r="BU143" s="104">
        <v>9.765625E-4</v>
      </c>
      <c r="BV143" s="104">
        <v>0.6044921875</v>
      </c>
      <c r="BW143" s="104">
        <v>0</v>
      </c>
    </row>
    <row r="144" spans="31:75">
      <c r="AE144" s="104">
        <v>1.953125E-3</v>
      </c>
      <c r="AF144" s="104">
        <v>0.6064453125</v>
      </c>
      <c r="AG144" s="104">
        <v>0</v>
      </c>
      <c r="AS144" s="104">
        <v>1.953125E-3</v>
      </c>
      <c r="AT144" s="104">
        <v>0.6064453125</v>
      </c>
      <c r="AU144" s="104">
        <v>0</v>
      </c>
      <c r="BG144" s="104">
        <v>1.953125E-3</v>
      </c>
      <c r="BH144" s="104">
        <v>0.6064453125</v>
      </c>
      <c r="BI144" s="104">
        <v>0</v>
      </c>
      <c r="BU144" s="104">
        <v>1.953125E-3</v>
      </c>
      <c r="BV144" s="104">
        <v>0.6064453125</v>
      </c>
      <c r="BW144" s="104">
        <v>0</v>
      </c>
    </row>
    <row r="145" spans="31:75">
      <c r="AE145" s="104">
        <v>9.765625E-4</v>
      </c>
      <c r="AF145" s="104">
        <v>0.607421875</v>
      </c>
      <c r="AG145" s="104">
        <v>0</v>
      </c>
      <c r="AS145" s="104">
        <v>9.765625E-4</v>
      </c>
      <c r="AT145" s="104">
        <v>0.607421875</v>
      </c>
      <c r="AU145" s="104">
        <v>0</v>
      </c>
      <c r="BG145" s="104">
        <v>9.765625E-4</v>
      </c>
      <c r="BH145" s="104">
        <v>0.607421875</v>
      </c>
      <c r="BI145" s="104">
        <v>0</v>
      </c>
      <c r="BU145" s="104">
        <v>9.765625E-4</v>
      </c>
      <c r="BV145" s="104">
        <v>0.607421875</v>
      </c>
      <c r="BW145" s="104">
        <v>0</v>
      </c>
    </row>
    <row r="146" spans="31:75">
      <c r="AE146" s="104">
        <v>1.953125E-3</v>
      </c>
      <c r="AF146" s="104">
        <v>0.609375</v>
      </c>
      <c r="AG146" s="104">
        <v>0</v>
      </c>
      <c r="AS146" s="104">
        <v>1.953125E-3</v>
      </c>
      <c r="AT146" s="104">
        <v>0.609375</v>
      </c>
      <c r="AU146" s="104">
        <v>0</v>
      </c>
      <c r="BG146" s="104">
        <v>1.953125E-3</v>
      </c>
      <c r="BH146" s="104">
        <v>0.609375</v>
      </c>
      <c r="BI146" s="104">
        <v>0</v>
      </c>
      <c r="BU146" s="104">
        <v>1.953125E-3</v>
      </c>
      <c r="BV146" s="104">
        <v>0.609375</v>
      </c>
      <c r="BW146" s="104">
        <v>0</v>
      </c>
    </row>
    <row r="147" spans="31:75">
      <c r="AE147" s="104">
        <v>3.90625E-3</v>
      </c>
      <c r="AF147" s="104">
        <v>0.61328125</v>
      </c>
      <c r="AG147" s="104">
        <v>0</v>
      </c>
      <c r="AS147" s="104">
        <v>3.90625E-3</v>
      </c>
      <c r="AT147" s="104">
        <v>0.61328125</v>
      </c>
      <c r="AU147" s="104">
        <v>0</v>
      </c>
      <c r="BG147" s="104">
        <v>3.90625E-3</v>
      </c>
      <c r="BH147" s="104">
        <v>0.61328125</v>
      </c>
      <c r="BI147" s="104">
        <v>0</v>
      </c>
      <c r="BU147" s="104">
        <v>3.90625E-3</v>
      </c>
      <c r="BV147" s="104">
        <v>0.61328125</v>
      </c>
      <c r="BW147" s="104">
        <v>0</v>
      </c>
    </row>
    <row r="148" spans="31:75">
      <c r="AE148" s="104">
        <v>1.953125E-3</v>
      </c>
      <c r="AF148" s="104">
        <v>0.615234375</v>
      </c>
      <c r="AG148" s="104">
        <v>0</v>
      </c>
      <c r="AS148" s="104">
        <v>1.953125E-3</v>
      </c>
      <c r="AT148" s="104">
        <v>0.615234375</v>
      </c>
      <c r="AU148" s="104">
        <v>0</v>
      </c>
      <c r="BG148" s="104">
        <v>1.953125E-3</v>
      </c>
      <c r="BH148" s="104">
        <v>0.615234375</v>
      </c>
      <c r="BI148" s="104">
        <v>0</v>
      </c>
      <c r="BU148" s="104">
        <v>1.953125E-3</v>
      </c>
      <c r="BV148" s="104">
        <v>0.615234375</v>
      </c>
      <c r="BW148" s="104">
        <v>0</v>
      </c>
    </row>
    <row r="149" spans="31:75">
      <c r="AE149" s="104">
        <v>3.90625E-3</v>
      </c>
      <c r="AF149" s="104">
        <v>0.619140625</v>
      </c>
      <c r="AG149" s="104">
        <v>0</v>
      </c>
      <c r="AS149" s="104">
        <v>3.90625E-3</v>
      </c>
      <c r="AT149" s="104">
        <v>0.619140625</v>
      </c>
      <c r="AU149" s="104">
        <v>0</v>
      </c>
      <c r="BG149" s="104">
        <v>3.90625E-3</v>
      </c>
      <c r="BH149" s="104">
        <v>0.619140625</v>
      </c>
      <c r="BI149" s="104">
        <v>0</v>
      </c>
      <c r="BU149" s="104">
        <v>3.90625E-3</v>
      </c>
      <c r="BV149" s="104">
        <v>0.619140625</v>
      </c>
      <c r="BW149" s="104">
        <v>0</v>
      </c>
    </row>
    <row r="150" spans="31:75">
      <c r="AE150" s="104">
        <v>1.953125E-3</v>
      </c>
      <c r="AF150" s="104">
        <v>0.62109375</v>
      </c>
      <c r="AG150" s="104">
        <v>0</v>
      </c>
      <c r="AS150" s="104">
        <v>1.953125E-3</v>
      </c>
      <c r="AT150" s="104">
        <v>0.62109375</v>
      </c>
      <c r="AU150" s="104">
        <v>0</v>
      </c>
      <c r="BG150" s="104">
        <v>1.953125E-3</v>
      </c>
      <c r="BH150" s="104">
        <v>0.62109375</v>
      </c>
      <c r="BI150" s="104">
        <v>0</v>
      </c>
      <c r="BU150" s="104">
        <v>1.953125E-3</v>
      </c>
      <c r="BV150" s="104">
        <v>0.62109375</v>
      </c>
      <c r="BW150" s="104">
        <v>0</v>
      </c>
    </row>
    <row r="151" spans="31:75">
      <c r="AE151" s="104">
        <v>3.90625E-3</v>
      </c>
      <c r="AF151" s="104">
        <v>0.625</v>
      </c>
      <c r="AG151" s="104">
        <v>0</v>
      </c>
      <c r="AS151" s="104">
        <v>3.90625E-3</v>
      </c>
      <c r="AT151" s="104">
        <v>0.625</v>
      </c>
      <c r="AU151" s="104">
        <v>0</v>
      </c>
      <c r="BG151" s="104">
        <v>3.90625E-3</v>
      </c>
      <c r="BH151" s="104">
        <v>0.625</v>
      </c>
      <c r="BI151" s="104">
        <v>0</v>
      </c>
      <c r="BU151" s="104">
        <v>3.90625E-3</v>
      </c>
      <c r="BV151" s="104">
        <v>0.625</v>
      </c>
      <c r="BW151" s="104">
        <v>0</v>
      </c>
    </row>
    <row r="152" spans="31:75">
      <c r="AE152" s="104">
        <v>1.953125E-3</v>
      </c>
      <c r="AF152" s="104">
        <v>0.626953125</v>
      </c>
      <c r="AG152" s="104">
        <v>0</v>
      </c>
      <c r="AS152" s="104">
        <v>1.953125E-3</v>
      </c>
      <c r="AT152" s="104">
        <v>0.626953125</v>
      </c>
      <c r="AU152" s="104">
        <v>0</v>
      </c>
      <c r="BG152" s="104">
        <v>1.953125E-3</v>
      </c>
      <c r="BH152" s="104">
        <v>0.626953125</v>
      </c>
      <c r="BI152" s="104">
        <v>0</v>
      </c>
      <c r="BU152" s="104">
        <v>1.953125E-3</v>
      </c>
      <c r="BV152" s="104">
        <v>0.626953125</v>
      </c>
      <c r="BW152" s="104">
        <v>0</v>
      </c>
    </row>
    <row r="153" spans="31:75">
      <c r="AE153" s="104">
        <v>3.90625E-3</v>
      </c>
      <c r="AF153" s="104">
        <v>0.630859375</v>
      </c>
      <c r="AG153" s="104">
        <v>0</v>
      </c>
      <c r="AS153" s="104">
        <v>3.90625E-3</v>
      </c>
      <c r="AT153" s="104">
        <v>0.630859375</v>
      </c>
      <c r="AU153" s="104">
        <v>0</v>
      </c>
      <c r="BG153" s="104">
        <v>3.90625E-3</v>
      </c>
      <c r="BH153" s="104">
        <v>0.630859375</v>
      </c>
      <c r="BI153" s="104">
        <v>0</v>
      </c>
      <c r="BU153" s="104">
        <v>3.90625E-3</v>
      </c>
      <c r="BV153" s="104">
        <v>0.630859375</v>
      </c>
      <c r="BW153" s="104">
        <v>0</v>
      </c>
    </row>
    <row r="154" spans="31:75">
      <c r="AE154" s="104">
        <v>1.953125E-3</v>
      </c>
      <c r="AF154" s="104">
        <v>0.6328125</v>
      </c>
      <c r="AG154" s="104">
        <v>0</v>
      </c>
      <c r="AS154" s="104">
        <v>1.953125E-3</v>
      </c>
      <c r="AT154" s="104">
        <v>0.6328125</v>
      </c>
      <c r="AU154" s="104">
        <v>0</v>
      </c>
      <c r="BG154" s="104">
        <v>1.953125E-3</v>
      </c>
      <c r="BH154" s="104">
        <v>0.6328125</v>
      </c>
      <c r="BI154" s="104">
        <v>0</v>
      </c>
      <c r="BU154" s="104">
        <v>1.953125E-3</v>
      </c>
      <c r="BV154" s="104">
        <v>0.6328125</v>
      </c>
      <c r="BW154" s="104">
        <v>0</v>
      </c>
    </row>
    <row r="155" spans="31:75">
      <c r="AE155" s="104">
        <v>3.90625E-3</v>
      </c>
      <c r="AF155" s="104">
        <v>0.63671875</v>
      </c>
      <c r="AG155" s="104">
        <v>0</v>
      </c>
      <c r="AS155" s="104">
        <v>3.90625E-3</v>
      </c>
      <c r="AT155" s="104">
        <v>0.63671875</v>
      </c>
      <c r="AU155" s="104">
        <v>0</v>
      </c>
      <c r="BG155" s="104">
        <v>3.90625E-3</v>
      </c>
      <c r="BH155" s="104">
        <v>0.63671875</v>
      </c>
      <c r="BI155" s="104">
        <v>0</v>
      </c>
      <c r="BU155" s="104">
        <v>3.90625E-3</v>
      </c>
      <c r="BV155" s="104">
        <v>0.63671875</v>
      </c>
      <c r="BW155" s="104">
        <v>0</v>
      </c>
    </row>
    <row r="156" spans="31:75">
      <c r="AE156" s="104">
        <v>7.8125E-3</v>
      </c>
      <c r="AF156" s="104">
        <v>0.64453125</v>
      </c>
      <c r="AG156" s="104">
        <v>0</v>
      </c>
      <c r="AS156" s="104">
        <v>7.8125E-3</v>
      </c>
      <c r="AT156" s="104">
        <v>0.64453125</v>
      </c>
      <c r="AU156" s="104">
        <v>0</v>
      </c>
      <c r="BG156" s="104">
        <v>7.8125E-3</v>
      </c>
      <c r="BH156" s="104">
        <v>0.64453125</v>
      </c>
      <c r="BI156" s="104">
        <v>0</v>
      </c>
      <c r="BU156" s="104">
        <v>7.8125E-3</v>
      </c>
      <c r="BV156" s="104">
        <v>0.64453125</v>
      </c>
      <c r="BW156" s="104">
        <v>0</v>
      </c>
    </row>
    <row r="157" spans="31:75">
      <c r="AE157" s="104">
        <v>3.90625E-3</v>
      </c>
      <c r="AF157" s="104">
        <v>0.6484375</v>
      </c>
      <c r="AG157" s="104">
        <v>0</v>
      </c>
      <c r="AS157" s="104">
        <v>3.90625E-3</v>
      </c>
      <c r="AT157" s="104">
        <v>0.6484375</v>
      </c>
      <c r="AU157" s="104">
        <v>0</v>
      </c>
      <c r="BG157" s="104">
        <v>3.90625E-3</v>
      </c>
      <c r="BH157" s="104">
        <v>0.6484375</v>
      </c>
      <c r="BI157" s="104">
        <v>0</v>
      </c>
      <c r="BU157" s="104">
        <v>3.90625E-3</v>
      </c>
      <c r="BV157" s="104">
        <v>0.6484375</v>
      </c>
      <c r="BW157" s="104">
        <v>0</v>
      </c>
    </row>
    <row r="158" spans="31:75">
      <c r="AE158" s="104">
        <v>1.953125E-3</v>
      </c>
      <c r="AF158" s="104">
        <v>0.650390625</v>
      </c>
      <c r="AG158" s="104">
        <v>0</v>
      </c>
      <c r="AS158" s="104">
        <v>1.953125E-3</v>
      </c>
      <c r="AT158" s="104">
        <v>0.650390625</v>
      </c>
      <c r="AU158" s="104">
        <v>0</v>
      </c>
      <c r="BG158" s="104">
        <v>1.953125E-3</v>
      </c>
      <c r="BH158" s="104">
        <v>0.650390625</v>
      </c>
      <c r="BI158" s="104">
        <v>0</v>
      </c>
      <c r="BU158" s="104">
        <v>1.953125E-3</v>
      </c>
      <c r="BV158" s="104">
        <v>0.650390625</v>
      </c>
      <c r="BW158" s="104">
        <v>0</v>
      </c>
    </row>
    <row r="159" spans="31:75">
      <c r="AE159" s="104">
        <v>9.765625E-4</v>
      </c>
      <c r="AF159" s="104">
        <v>0.6513671875</v>
      </c>
      <c r="AG159" s="104">
        <v>0</v>
      </c>
      <c r="AS159" s="104">
        <v>9.765625E-4</v>
      </c>
      <c r="AT159" s="104">
        <v>0.6513671875</v>
      </c>
      <c r="AU159" s="104">
        <v>0</v>
      </c>
      <c r="BG159" s="104">
        <v>9.765625E-4</v>
      </c>
      <c r="BH159" s="104">
        <v>0.6513671875</v>
      </c>
      <c r="BI159" s="104">
        <v>0</v>
      </c>
      <c r="BU159" s="104">
        <v>9.765625E-4</v>
      </c>
      <c r="BV159" s="104">
        <v>0.6513671875</v>
      </c>
      <c r="BW159" s="104">
        <v>0</v>
      </c>
    </row>
    <row r="160" spans="31:75">
      <c r="AE160" s="104">
        <v>1.953125E-3</v>
      </c>
      <c r="AF160" s="104">
        <v>0.6533203125</v>
      </c>
      <c r="AG160" s="104">
        <v>0</v>
      </c>
      <c r="AS160" s="104">
        <v>1.953125E-3</v>
      </c>
      <c r="AT160" s="104">
        <v>0.6533203125</v>
      </c>
      <c r="AU160" s="104">
        <v>0</v>
      </c>
      <c r="BG160" s="104">
        <v>1.953125E-3</v>
      </c>
      <c r="BH160" s="104">
        <v>0.6533203125</v>
      </c>
      <c r="BI160" s="104">
        <v>0</v>
      </c>
      <c r="BU160" s="104">
        <v>1.953125E-3</v>
      </c>
      <c r="BV160" s="104">
        <v>0.6533203125</v>
      </c>
      <c r="BW160" s="104">
        <v>0</v>
      </c>
    </row>
    <row r="161" spans="31:75">
      <c r="AE161" s="104">
        <v>3.90625E-3</v>
      </c>
      <c r="AF161" s="104">
        <v>0.6572265625</v>
      </c>
      <c r="AG161" s="104">
        <v>0</v>
      </c>
      <c r="AS161" s="104">
        <v>3.90625E-3</v>
      </c>
      <c r="AT161" s="104">
        <v>0.6572265625</v>
      </c>
      <c r="AU161" s="104">
        <v>0</v>
      </c>
      <c r="BG161" s="104">
        <v>3.90625E-3</v>
      </c>
      <c r="BH161" s="104">
        <v>0.6572265625</v>
      </c>
      <c r="BI161" s="104">
        <v>0</v>
      </c>
      <c r="BU161" s="104">
        <v>3.90625E-3</v>
      </c>
      <c r="BV161" s="104">
        <v>0.6572265625</v>
      </c>
      <c r="BW161" s="104">
        <v>0</v>
      </c>
    </row>
    <row r="162" spans="31:75">
      <c r="AE162" s="104">
        <v>7.8125E-3</v>
      </c>
      <c r="AF162" s="104">
        <v>0.6650390625</v>
      </c>
      <c r="AG162" s="104">
        <v>0</v>
      </c>
      <c r="AS162" s="104">
        <v>7.8125E-3</v>
      </c>
      <c r="AT162" s="104">
        <v>0.6650390625</v>
      </c>
      <c r="AU162" s="104">
        <v>0</v>
      </c>
      <c r="BG162" s="104">
        <v>7.8125E-3</v>
      </c>
      <c r="BH162" s="104">
        <v>0.6650390625</v>
      </c>
      <c r="BI162" s="104">
        <v>0</v>
      </c>
      <c r="BU162" s="104">
        <v>7.8125E-3</v>
      </c>
      <c r="BV162" s="104">
        <v>0.6650390625</v>
      </c>
      <c r="BW162" s="104">
        <v>0</v>
      </c>
    </row>
    <row r="163" spans="31:75">
      <c r="AE163" s="104">
        <v>3.90625E-3</v>
      </c>
      <c r="AF163" s="104">
        <v>0.6689453125</v>
      </c>
      <c r="AG163" s="104">
        <v>0</v>
      </c>
      <c r="AS163" s="104">
        <v>3.90625E-3</v>
      </c>
      <c r="AT163" s="104">
        <v>0.6689453125</v>
      </c>
      <c r="AU163" s="104">
        <v>0</v>
      </c>
      <c r="BG163" s="104">
        <v>3.90625E-3</v>
      </c>
      <c r="BH163" s="104">
        <v>0.6689453125</v>
      </c>
      <c r="BI163" s="104">
        <v>0</v>
      </c>
      <c r="BU163" s="104">
        <v>3.90625E-3</v>
      </c>
      <c r="BV163" s="104">
        <v>0.6689453125</v>
      </c>
      <c r="BW163" s="104">
        <v>0</v>
      </c>
    </row>
    <row r="164" spans="31:75">
      <c r="AE164" s="104">
        <v>1.953125E-3</v>
      </c>
      <c r="AF164" s="104">
        <v>0.6708984375</v>
      </c>
      <c r="AG164" s="104">
        <v>0</v>
      </c>
      <c r="AS164" s="104">
        <v>1.953125E-3</v>
      </c>
      <c r="AT164" s="104">
        <v>0.6708984375</v>
      </c>
      <c r="AU164" s="104">
        <v>0</v>
      </c>
      <c r="BG164" s="104">
        <v>1.953125E-3</v>
      </c>
      <c r="BH164" s="104">
        <v>0.6708984375</v>
      </c>
      <c r="BI164" s="104">
        <v>0</v>
      </c>
      <c r="BU164" s="104">
        <v>1.953125E-3</v>
      </c>
      <c r="BV164" s="104">
        <v>0.6708984375</v>
      </c>
      <c r="BW164" s="104">
        <v>0</v>
      </c>
    </row>
    <row r="165" spans="31:75">
      <c r="AE165" s="104">
        <v>9.765625E-4</v>
      </c>
      <c r="AF165" s="104">
        <v>0.671875</v>
      </c>
      <c r="AG165" s="104">
        <v>0</v>
      </c>
      <c r="AS165" s="104">
        <v>9.765625E-4</v>
      </c>
      <c r="AT165" s="104">
        <v>0.671875</v>
      </c>
      <c r="AU165" s="104">
        <v>0</v>
      </c>
      <c r="BG165" s="104">
        <v>9.765625E-4</v>
      </c>
      <c r="BH165" s="104">
        <v>0.671875</v>
      </c>
      <c r="BI165" s="104">
        <v>0</v>
      </c>
      <c r="BU165" s="104">
        <v>9.765625E-4</v>
      </c>
      <c r="BV165" s="104">
        <v>0.671875</v>
      </c>
      <c r="BW165" s="104">
        <v>0</v>
      </c>
    </row>
    <row r="166" spans="31:75">
      <c r="AE166" s="104">
        <v>1.953125E-3</v>
      </c>
      <c r="AF166" s="104">
        <v>0.673828125</v>
      </c>
      <c r="AG166" s="104">
        <v>0</v>
      </c>
      <c r="AS166" s="104">
        <v>1.953125E-3</v>
      </c>
      <c r="AT166" s="104">
        <v>0.673828125</v>
      </c>
      <c r="AU166" s="104">
        <v>0</v>
      </c>
      <c r="BG166" s="104">
        <v>1.953125E-3</v>
      </c>
      <c r="BH166" s="104">
        <v>0.673828125</v>
      </c>
      <c r="BI166" s="104">
        <v>0</v>
      </c>
      <c r="BU166" s="104">
        <v>1.953125E-3</v>
      </c>
      <c r="BV166" s="104">
        <v>0.673828125</v>
      </c>
      <c r="BW166" s="104">
        <v>0</v>
      </c>
    </row>
    <row r="167" spans="31:75">
      <c r="AE167" s="104">
        <v>9.765625E-4</v>
      </c>
      <c r="AF167" s="104">
        <v>0.6748046875</v>
      </c>
      <c r="AG167" s="104">
        <v>0</v>
      </c>
      <c r="AS167" s="104">
        <v>9.765625E-4</v>
      </c>
      <c r="AT167" s="104">
        <v>0.6748046875</v>
      </c>
      <c r="AU167" s="104">
        <v>0</v>
      </c>
      <c r="BG167" s="104">
        <v>9.765625E-4</v>
      </c>
      <c r="BH167" s="104">
        <v>0.6748046875</v>
      </c>
      <c r="BI167" s="104">
        <v>0</v>
      </c>
      <c r="BU167" s="104">
        <v>9.765625E-4</v>
      </c>
      <c r="BV167" s="104">
        <v>0.6748046875</v>
      </c>
      <c r="BW167" s="104">
        <v>0</v>
      </c>
    </row>
    <row r="168" spans="31:75">
      <c r="AE168" s="104">
        <v>1.953125E-3</v>
      </c>
      <c r="AF168" s="104">
        <v>0.6767578125</v>
      </c>
      <c r="AG168" s="104">
        <v>0</v>
      </c>
      <c r="AS168" s="104">
        <v>1.953125E-3</v>
      </c>
      <c r="AT168" s="104">
        <v>0.6767578125</v>
      </c>
      <c r="AU168" s="104">
        <v>0</v>
      </c>
      <c r="BG168" s="104">
        <v>1.953125E-3</v>
      </c>
      <c r="BH168" s="104">
        <v>0.6767578125</v>
      </c>
      <c r="BI168" s="104">
        <v>0</v>
      </c>
      <c r="BU168" s="104">
        <v>1.953125E-3</v>
      </c>
      <c r="BV168" s="104">
        <v>0.6767578125</v>
      </c>
      <c r="BW168" s="104">
        <v>0</v>
      </c>
    </row>
    <row r="169" spans="31:75">
      <c r="AE169" s="104">
        <v>9.765625E-4</v>
      </c>
      <c r="AF169" s="104">
        <v>0.677734375</v>
      </c>
      <c r="AG169" s="104">
        <v>0</v>
      </c>
      <c r="AS169" s="104">
        <v>9.765625E-4</v>
      </c>
      <c r="AT169" s="104">
        <v>0.677734375</v>
      </c>
      <c r="AU169" s="104">
        <v>0</v>
      </c>
      <c r="BG169" s="104">
        <v>9.765625E-4</v>
      </c>
      <c r="BH169" s="104">
        <v>0.677734375</v>
      </c>
      <c r="BI169" s="104">
        <v>0</v>
      </c>
      <c r="BU169" s="104">
        <v>9.765625E-4</v>
      </c>
      <c r="BV169" s="104">
        <v>0.677734375</v>
      </c>
      <c r="BW169" s="104">
        <v>0</v>
      </c>
    </row>
    <row r="170" spans="31:75">
      <c r="AE170" s="104">
        <v>1.953125E-3</v>
      </c>
      <c r="AF170" s="104">
        <v>0.6796875</v>
      </c>
      <c r="AG170" s="104">
        <v>0</v>
      </c>
      <c r="AS170" s="104">
        <v>1.953125E-3</v>
      </c>
      <c r="AT170" s="104">
        <v>0.6796875</v>
      </c>
      <c r="AU170" s="104">
        <v>0</v>
      </c>
      <c r="BG170" s="104">
        <v>1.953125E-3</v>
      </c>
      <c r="BH170" s="104">
        <v>0.6796875</v>
      </c>
      <c r="BI170" s="104">
        <v>0</v>
      </c>
      <c r="BU170" s="104">
        <v>1.953125E-3</v>
      </c>
      <c r="BV170" s="104">
        <v>0.6796875</v>
      </c>
      <c r="BW170" s="104">
        <v>0</v>
      </c>
    </row>
    <row r="171" spans="31:75">
      <c r="AE171" s="104">
        <v>3.90625E-3</v>
      </c>
      <c r="AF171" s="104">
        <v>0.68359375</v>
      </c>
      <c r="AG171" s="104">
        <v>0</v>
      </c>
      <c r="AS171" s="104">
        <v>3.90625E-3</v>
      </c>
      <c r="AT171" s="104">
        <v>0.68359375</v>
      </c>
      <c r="AU171" s="104">
        <v>0</v>
      </c>
      <c r="BG171" s="104">
        <v>3.90625E-3</v>
      </c>
      <c r="BH171" s="104">
        <v>0.68359375</v>
      </c>
      <c r="BI171" s="104">
        <v>0</v>
      </c>
      <c r="BU171" s="104">
        <v>3.90625E-3</v>
      </c>
      <c r="BV171" s="104">
        <v>0.68359375</v>
      </c>
      <c r="BW171" s="104">
        <v>0</v>
      </c>
    </row>
    <row r="172" spans="31:75">
      <c r="AE172" s="104">
        <v>1.953125E-3</v>
      </c>
      <c r="AF172" s="104">
        <v>0.685546875</v>
      </c>
      <c r="AG172" s="104">
        <v>0</v>
      </c>
      <c r="AS172" s="104">
        <v>1.953125E-3</v>
      </c>
      <c r="AT172" s="104">
        <v>0.685546875</v>
      </c>
      <c r="AU172" s="104">
        <v>0</v>
      </c>
      <c r="BG172" s="104">
        <v>1.953125E-3</v>
      </c>
      <c r="BH172" s="104">
        <v>0.685546875</v>
      </c>
      <c r="BI172" s="104">
        <v>0</v>
      </c>
      <c r="BU172" s="104">
        <v>1.953125E-3</v>
      </c>
      <c r="BV172" s="104">
        <v>0.685546875</v>
      </c>
      <c r="BW172" s="104">
        <v>0</v>
      </c>
    </row>
    <row r="173" spans="31:75">
      <c r="AE173" s="104">
        <v>9.765625E-4</v>
      </c>
      <c r="AF173" s="104">
        <v>0.6865234375</v>
      </c>
      <c r="AG173" s="104">
        <v>0</v>
      </c>
      <c r="AS173" s="104">
        <v>9.765625E-4</v>
      </c>
      <c r="AT173" s="104">
        <v>0.6865234375</v>
      </c>
      <c r="AU173" s="104">
        <v>0</v>
      </c>
      <c r="BG173" s="104">
        <v>9.765625E-4</v>
      </c>
      <c r="BH173" s="104">
        <v>0.6865234375</v>
      </c>
      <c r="BI173" s="104">
        <v>0</v>
      </c>
      <c r="BU173" s="104">
        <v>9.765625E-4</v>
      </c>
      <c r="BV173" s="104">
        <v>0.6865234375</v>
      </c>
      <c r="BW173" s="104">
        <v>0</v>
      </c>
    </row>
    <row r="174" spans="31:75">
      <c r="AE174" s="104">
        <v>1.953125E-3</v>
      </c>
      <c r="AF174" s="104">
        <v>0.6884765625</v>
      </c>
      <c r="AG174" s="104">
        <v>0</v>
      </c>
      <c r="AS174" s="104">
        <v>1.953125E-3</v>
      </c>
      <c r="AT174" s="104">
        <v>0.6884765625</v>
      </c>
      <c r="AU174" s="104">
        <v>0</v>
      </c>
      <c r="BG174" s="104">
        <v>1.953125E-3</v>
      </c>
      <c r="BH174" s="104">
        <v>0.6884765625</v>
      </c>
      <c r="BI174" s="104">
        <v>0</v>
      </c>
      <c r="BU174" s="104">
        <v>1.953125E-3</v>
      </c>
      <c r="BV174" s="104">
        <v>0.6884765625</v>
      </c>
      <c r="BW174" s="104">
        <v>0</v>
      </c>
    </row>
    <row r="175" spans="31:75">
      <c r="AE175" s="104">
        <v>9.765625E-4</v>
      </c>
      <c r="AF175" s="104">
        <v>0.689453125</v>
      </c>
      <c r="AG175" s="104">
        <v>0</v>
      </c>
      <c r="AS175" s="104">
        <v>9.765625E-4</v>
      </c>
      <c r="AT175" s="104">
        <v>0.689453125</v>
      </c>
      <c r="AU175" s="104">
        <v>0</v>
      </c>
      <c r="BG175" s="104">
        <v>9.765625E-4</v>
      </c>
      <c r="BH175" s="104">
        <v>0.689453125</v>
      </c>
      <c r="BI175" s="104">
        <v>0</v>
      </c>
      <c r="BU175" s="104">
        <v>9.765625E-4</v>
      </c>
      <c r="BV175" s="104">
        <v>0.689453125</v>
      </c>
      <c r="BW175" s="104">
        <v>0</v>
      </c>
    </row>
    <row r="176" spans="31:75">
      <c r="AE176" s="104">
        <v>1.953125E-3</v>
      </c>
      <c r="AF176" s="104">
        <v>0.69140625</v>
      </c>
      <c r="AG176" s="104">
        <v>0</v>
      </c>
      <c r="AS176" s="104">
        <v>1.953125E-3</v>
      </c>
      <c r="AT176" s="104">
        <v>0.69140625</v>
      </c>
      <c r="AU176" s="104">
        <v>0</v>
      </c>
      <c r="BG176" s="104">
        <v>1.953125E-3</v>
      </c>
      <c r="BH176" s="104">
        <v>0.69140625</v>
      </c>
      <c r="BI176" s="104">
        <v>0</v>
      </c>
      <c r="BU176" s="104">
        <v>1.953125E-3</v>
      </c>
      <c r="BV176" s="104">
        <v>0.69140625</v>
      </c>
      <c r="BW176" s="104">
        <v>0</v>
      </c>
    </row>
    <row r="177" spans="31:75">
      <c r="AE177" s="104">
        <v>3.90625E-3</v>
      </c>
      <c r="AF177" s="104">
        <v>0.6953125</v>
      </c>
      <c r="AG177" s="104">
        <v>0</v>
      </c>
      <c r="AS177" s="104">
        <v>3.90625E-3</v>
      </c>
      <c r="AT177" s="104">
        <v>0.6953125</v>
      </c>
      <c r="AU177" s="104">
        <v>0</v>
      </c>
      <c r="BG177" s="104">
        <v>3.90625E-3</v>
      </c>
      <c r="BH177" s="104">
        <v>0.6953125</v>
      </c>
      <c r="BI177" s="104">
        <v>0</v>
      </c>
      <c r="BU177" s="104">
        <v>3.90625E-3</v>
      </c>
      <c r="BV177" s="104">
        <v>0.6953125</v>
      </c>
      <c r="BW177" s="104">
        <v>0</v>
      </c>
    </row>
    <row r="178" spans="31:75">
      <c r="AE178" s="104">
        <v>1.953125E-3</v>
      </c>
      <c r="AF178" s="104">
        <v>0.697265625</v>
      </c>
      <c r="AG178" s="104">
        <v>0</v>
      </c>
      <c r="AS178" s="104">
        <v>1.953125E-3</v>
      </c>
      <c r="AT178" s="104">
        <v>0.697265625</v>
      </c>
      <c r="AU178" s="104">
        <v>0</v>
      </c>
      <c r="BG178" s="104">
        <v>1.953125E-3</v>
      </c>
      <c r="BH178" s="104">
        <v>0.697265625</v>
      </c>
      <c r="BI178" s="104">
        <v>0</v>
      </c>
      <c r="BU178" s="104">
        <v>1.953125E-3</v>
      </c>
      <c r="BV178" s="104">
        <v>0.697265625</v>
      </c>
      <c r="BW178" s="104">
        <v>0</v>
      </c>
    </row>
    <row r="179" spans="31:75">
      <c r="AE179" s="104">
        <v>3.90625E-3</v>
      </c>
      <c r="AF179" s="104">
        <v>0.701171875</v>
      </c>
      <c r="AG179" s="104">
        <v>0</v>
      </c>
      <c r="AS179" s="104">
        <v>3.90625E-3</v>
      </c>
      <c r="AT179" s="104">
        <v>0.701171875</v>
      </c>
      <c r="AU179" s="104">
        <v>0</v>
      </c>
      <c r="BG179" s="104">
        <v>3.90625E-3</v>
      </c>
      <c r="BH179" s="104">
        <v>0.701171875</v>
      </c>
      <c r="BI179" s="104">
        <v>0</v>
      </c>
      <c r="BU179" s="104">
        <v>3.90625E-3</v>
      </c>
      <c r="BV179" s="104">
        <v>0.701171875</v>
      </c>
      <c r="BW179" s="104">
        <v>0</v>
      </c>
    </row>
    <row r="180" spans="31:75">
      <c r="AE180" s="104">
        <v>1.953125E-3</v>
      </c>
      <c r="AF180" s="104">
        <v>0.703125</v>
      </c>
      <c r="AG180" s="104">
        <v>0</v>
      </c>
      <c r="AS180" s="104">
        <v>1.953125E-3</v>
      </c>
      <c r="AT180" s="104">
        <v>0.703125</v>
      </c>
      <c r="AU180" s="104">
        <v>0</v>
      </c>
      <c r="BG180" s="104">
        <v>1.953125E-3</v>
      </c>
      <c r="BH180" s="104">
        <v>0.703125</v>
      </c>
      <c r="BI180" s="104">
        <v>0</v>
      </c>
      <c r="BU180" s="104">
        <v>1.953125E-3</v>
      </c>
      <c r="BV180" s="104">
        <v>0.703125</v>
      </c>
      <c r="BW180" s="104">
        <v>0</v>
      </c>
    </row>
    <row r="181" spans="31:75">
      <c r="AE181" s="104">
        <v>3.90625E-3</v>
      </c>
      <c r="AF181" s="104">
        <v>0.70703125</v>
      </c>
      <c r="AG181" s="104">
        <v>0</v>
      </c>
      <c r="AS181" s="104">
        <v>3.90625E-3</v>
      </c>
      <c r="AT181" s="104">
        <v>0.70703125</v>
      </c>
      <c r="AU181" s="104">
        <v>0</v>
      </c>
      <c r="BG181" s="104">
        <v>3.90625E-3</v>
      </c>
      <c r="BH181" s="104">
        <v>0.70703125</v>
      </c>
      <c r="BI181" s="104">
        <v>0</v>
      </c>
      <c r="BU181" s="104">
        <v>3.90625E-3</v>
      </c>
      <c r="BV181" s="104">
        <v>0.70703125</v>
      </c>
      <c r="BW181" s="104">
        <v>0</v>
      </c>
    </row>
    <row r="182" spans="31:75">
      <c r="AE182" s="104">
        <v>1.953125E-3</v>
      </c>
      <c r="AF182" s="104">
        <v>0.708984375</v>
      </c>
      <c r="AG182" s="104">
        <v>0</v>
      </c>
      <c r="AS182" s="104">
        <v>1.953125E-3</v>
      </c>
      <c r="AT182" s="104">
        <v>0.708984375</v>
      </c>
      <c r="AU182" s="104">
        <v>0</v>
      </c>
      <c r="BG182" s="104">
        <v>1.953125E-3</v>
      </c>
      <c r="BH182" s="104">
        <v>0.708984375</v>
      </c>
      <c r="BI182" s="104">
        <v>0</v>
      </c>
      <c r="BU182" s="104">
        <v>1.953125E-3</v>
      </c>
      <c r="BV182" s="104">
        <v>0.708984375</v>
      </c>
      <c r="BW182" s="104">
        <v>0</v>
      </c>
    </row>
    <row r="183" spans="31:75">
      <c r="AE183" s="104">
        <v>9.765625E-4</v>
      </c>
      <c r="AF183" s="104">
        <v>0.7099609375</v>
      </c>
      <c r="AG183" s="104">
        <v>0</v>
      </c>
      <c r="AS183" s="104">
        <v>9.765625E-4</v>
      </c>
      <c r="AT183" s="104">
        <v>0.7099609375</v>
      </c>
      <c r="AU183" s="104">
        <v>0</v>
      </c>
      <c r="BG183" s="104">
        <v>9.765625E-4</v>
      </c>
      <c r="BH183" s="104">
        <v>0.7099609375</v>
      </c>
      <c r="BI183" s="104">
        <v>0</v>
      </c>
      <c r="BU183" s="104">
        <v>9.765625E-4</v>
      </c>
      <c r="BV183" s="104">
        <v>0.7099609375</v>
      </c>
      <c r="BW183" s="104">
        <v>0</v>
      </c>
    </row>
    <row r="184" spans="31:75">
      <c r="AE184" s="104">
        <v>1.953125E-3</v>
      </c>
      <c r="AF184" s="104">
        <v>0.7119140625</v>
      </c>
      <c r="AG184" s="104">
        <v>0</v>
      </c>
      <c r="AS184" s="104">
        <v>1.953125E-3</v>
      </c>
      <c r="AT184" s="104">
        <v>0.7119140625</v>
      </c>
      <c r="AU184" s="104">
        <v>0</v>
      </c>
      <c r="BG184" s="104">
        <v>1.953125E-3</v>
      </c>
      <c r="BH184" s="104">
        <v>0.7119140625</v>
      </c>
      <c r="BI184" s="104">
        <v>0</v>
      </c>
      <c r="BU184" s="104">
        <v>1.953125E-3</v>
      </c>
      <c r="BV184" s="104">
        <v>0.7119140625</v>
      </c>
      <c r="BW184" s="104">
        <v>0</v>
      </c>
    </row>
    <row r="185" spans="31:75">
      <c r="AE185" s="104">
        <v>9.765625E-4</v>
      </c>
      <c r="AF185" s="104">
        <v>0.712890625</v>
      </c>
      <c r="AG185" s="104">
        <v>0</v>
      </c>
      <c r="AS185" s="104">
        <v>9.765625E-4</v>
      </c>
      <c r="AT185" s="104">
        <v>0.712890625</v>
      </c>
      <c r="AU185" s="104">
        <v>0</v>
      </c>
      <c r="BG185" s="104">
        <v>9.765625E-4</v>
      </c>
      <c r="BH185" s="104">
        <v>0.712890625</v>
      </c>
      <c r="BI185" s="104">
        <v>0</v>
      </c>
      <c r="BU185" s="104">
        <v>9.765625E-4</v>
      </c>
      <c r="BV185" s="104">
        <v>0.712890625</v>
      </c>
      <c r="BW185" s="104">
        <v>0</v>
      </c>
    </row>
    <row r="186" spans="31:75">
      <c r="AE186" s="104">
        <v>1.953125E-3</v>
      </c>
      <c r="AF186" s="104">
        <v>0.71484375</v>
      </c>
      <c r="AG186" s="104">
        <v>0</v>
      </c>
      <c r="AS186" s="104">
        <v>1.953125E-3</v>
      </c>
      <c r="AT186" s="104">
        <v>0.71484375</v>
      </c>
      <c r="AU186" s="104">
        <v>0</v>
      </c>
      <c r="BG186" s="104">
        <v>1.953125E-3</v>
      </c>
      <c r="BH186" s="104">
        <v>0.71484375</v>
      </c>
      <c r="BI186" s="104">
        <v>0</v>
      </c>
      <c r="BU186" s="104">
        <v>1.953125E-3</v>
      </c>
      <c r="BV186" s="104">
        <v>0.71484375</v>
      </c>
      <c r="BW186" s="104">
        <v>0</v>
      </c>
    </row>
    <row r="187" spans="31:75">
      <c r="AE187" s="104">
        <v>9.765625E-4</v>
      </c>
      <c r="AF187" s="104">
        <v>0.7158203125</v>
      </c>
      <c r="AG187" s="104">
        <v>0</v>
      </c>
      <c r="AS187" s="104">
        <v>9.765625E-4</v>
      </c>
      <c r="AT187" s="104">
        <v>0.7158203125</v>
      </c>
      <c r="AU187" s="104">
        <v>0</v>
      </c>
      <c r="BG187" s="104">
        <v>9.765625E-4</v>
      </c>
      <c r="BH187" s="104">
        <v>0.7158203125</v>
      </c>
      <c r="BI187" s="104">
        <v>0</v>
      </c>
      <c r="BU187" s="104">
        <v>9.765625E-4</v>
      </c>
      <c r="BV187" s="104">
        <v>0.7158203125</v>
      </c>
      <c r="BW187" s="104">
        <v>0</v>
      </c>
    </row>
    <row r="188" spans="31:75">
      <c r="AE188" s="104">
        <v>1.953125E-3</v>
      </c>
      <c r="AF188" s="104">
        <v>0.7177734375</v>
      </c>
      <c r="AG188" s="104">
        <v>0</v>
      </c>
      <c r="AS188" s="104">
        <v>1.953125E-3</v>
      </c>
      <c r="AT188" s="104">
        <v>0.7177734375</v>
      </c>
      <c r="AU188" s="104">
        <v>0</v>
      </c>
      <c r="BG188" s="104">
        <v>1.953125E-3</v>
      </c>
      <c r="BH188" s="104">
        <v>0.7177734375</v>
      </c>
      <c r="BI188" s="104">
        <v>0</v>
      </c>
      <c r="BU188" s="104">
        <v>1.953125E-3</v>
      </c>
      <c r="BV188" s="104">
        <v>0.7177734375</v>
      </c>
      <c r="BW188" s="104">
        <v>0</v>
      </c>
    </row>
    <row r="189" spans="31:75">
      <c r="AE189" s="104">
        <v>3.90625E-3</v>
      </c>
      <c r="AF189" s="104">
        <v>0.7216796875</v>
      </c>
      <c r="AG189" s="104">
        <v>0</v>
      </c>
      <c r="AS189" s="104">
        <v>3.90625E-3</v>
      </c>
      <c r="AT189" s="104">
        <v>0.7216796875</v>
      </c>
      <c r="AU189" s="104">
        <v>0</v>
      </c>
      <c r="BG189" s="104">
        <v>3.90625E-3</v>
      </c>
      <c r="BH189" s="104">
        <v>0.7216796875</v>
      </c>
      <c r="BI189" s="104">
        <v>0</v>
      </c>
      <c r="BU189" s="104">
        <v>3.90625E-3</v>
      </c>
      <c r="BV189" s="104">
        <v>0.7216796875</v>
      </c>
      <c r="BW189" s="104">
        <v>0</v>
      </c>
    </row>
    <row r="190" spans="31:75">
      <c r="AE190" s="104">
        <v>1.953125E-3</v>
      </c>
      <c r="AF190" s="104">
        <v>0.7236328125</v>
      </c>
      <c r="AG190" s="104">
        <v>0</v>
      </c>
      <c r="AS190" s="104">
        <v>1.953125E-3</v>
      </c>
      <c r="AT190" s="104">
        <v>0.7236328125</v>
      </c>
      <c r="AU190" s="104">
        <v>0</v>
      </c>
      <c r="BG190" s="104">
        <v>1.953125E-3</v>
      </c>
      <c r="BH190" s="104">
        <v>0.7236328125</v>
      </c>
      <c r="BI190" s="104">
        <v>0</v>
      </c>
      <c r="BU190" s="104">
        <v>1.953125E-3</v>
      </c>
      <c r="BV190" s="104">
        <v>0.7236328125</v>
      </c>
      <c r="BW190" s="104">
        <v>0</v>
      </c>
    </row>
    <row r="191" spans="31:75">
      <c r="AE191" s="104">
        <v>3.90625E-3</v>
      </c>
      <c r="AF191" s="104">
        <v>0.7275390625</v>
      </c>
      <c r="AG191" s="104">
        <v>0</v>
      </c>
      <c r="AS191" s="104">
        <v>3.90625E-3</v>
      </c>
      <c r="AT191" s="104">
        <v>0.7275390625</v>
      </c>
      <c r="AU191" s="104">
        <v>0</v>
      </c>
      <c r="BG191" s="104">
        <v>3.90625E-3</v>
      </c>
      <c r="BH191" s="104">
        <v>0.7275390625</v>
      </c>
      <c r="BI191" s="104">
        <v>0</v>
      </c>
      <c r="BU191" s="104">
        <v>3.90625E-3</v>
      </c>
      <c r="BV191" s="104">
        <v>0.7275390625</v>
      </c>
      <c r="BW191" s="104">
        <v>0</v>
      </c>
    </row>
    <row r="192" spans="31:75">
      <c r="AE192" s="104">
        <v>1.953125E-3</v>
      </c>
      <c r="AF192" s="104">
        <v>0.7294921875</v>
      </c>
      <c r="AG192" s="104">
        <v>0</v>
      </c>
      <c r="AS192" s="104">
        <v>1.953125E-3</v>
      </c>
      <c r="AT192" s="104">
        <v>0.7294921875</v>
      </c>
      <c r="AU192" s="104">
        <v>0</v>
      </c>
      <c r="BG192" s="104">
        <v>1.953125E-3</v>
      </c>
      <c r="BH192" s="104">
        <v>0.7294921875</v>
      </c>
      <c r="BI192" s="104">
        <v>0</v>
      </c>
      <c r="BU192" s="104">
        <v>1.953125E-3</v>
      </c>
      <c r="BV192" s="104">
        <v>0.7294921875</v>
      </c>
      <c r="BW192" s="104">
        <v>0</v>
      </c>
    </row>
    <row r="193" spans="31:75">
      <c r="AE193" s="104">
        <v>3.90625E-3</v>
      </c>
      <c r="AF193" s="104">
        <v>0.7333984375</v>
      </c>
      <c r="AG193" s="104">
        <v>0</v>
      </c>
      <c r="AS193" s="104">
        <v>3.90625E-3</v>
      </c>
      <c r="AT193" s="104">
        <v>0.7333984375</v>
      </c>
      <c r="AU193" s="104">
        <v>0</v>
      </c>
      <c r="BG193" s="104">
        <v>3.90625E-3</v>
      </c>
      <c r="BH193" s="104">
        <v>0.7333984375</v>
      </c>
      <c r="BI193" s="104">
        <v>0</v>
      </c>
      <c r="BU193" s="104">
        <v>3.90625E-3</v>
      </c>
      <c r="BV193" s="104">
        <v>0.7333984375</v>
      </c>
      <c r="BW193" s="104">
        <v>0</v>
      </c>
    </row>
    <row r="194" spans="31:75">
      <c r="AE194" s="104">
        <v>7.8125E-3</v>
      </c>
      <c r="AF194" s="104">
        <v>0.7412109375</v>
      </c>
      <c r="AG194" s="104">
        <v>0</v>
      </c>
      <c r="AS194" s="104">
        <v>7.8125E-3</v>
      </c>
      <c r="AT194" s="104">
        <v>0.7412109375</v>
      </c>
      <c r="AU194" s="104">
        <v>0</v>
      </c>
      <c r="BG194" s="104">
        <v>7.8125E-3</v>
      </c>
      <c r="BH194" s="104">
        <v>0.7412109375</v>
      </c>
      <c r="BI194" s="104">
        <v>0</v>
      </c>
      <c r="BU194" s="104">
        <v>7.8125E-3</v>
      </c>
      <c r="BV194" s="104">
        <v>0.7412109375</v>
      </c>
      <c r="BW194" s="104">
        <v>0</v>
      </c>
    </row>
    <row r="195" spans="31:75">
      <c r="AE195" s="104">
        <v>3.90625E-3</v>
      </c>
      <c r="AF195" s="104">
        <v>0.7451171875</v>
      </c>
      <c r="AG195" s="104">
        <v>0</v>
      </c>
      <c r="AS195" s="104">
        <v>3.90625E-3</v>
      </c>
      <c r="AT195" s="104">
        <v>0.7451171875</v>
      </c>
      <c r="AU195" s="104">
        <v>0</v>
      </c>
      <c r="BG195" s="104">
        <v>3.90625E-3</v>
      </c>
      <c r="BH195" s="104">
        <v>0.7451171875</v>
      </c>
      <c r="BI195" s="104">
        <v>0</v>
      </c>
      <c r="BU195" s="104">
        <v>3.90625E-3</v>
      </c>
      <c r="BV195" s="104">
        <v>0.7451171875</v>
      </c>
      <c r="BW195" s="104">
        <v>0</v>
      </c>
    </row>
    <row r="196" spans="31:75">
      <c r="AE196" s="104">
        <v>7.8125E-3</v>
      </c>
      <c r="AF196" s="104">
        <v>0.7529296875</v>
      </c>
      <c r="AG196" s="104">
        <v>0</v>
      </c>
      <c r="AS196" s="104">
        <v>7.8125E-3</v>
      </c>
      <c r="AT196" s="104">
        <v>0.7529296875</v>
      </c>
      <c r="AU196" s="104">
        <v>0</v>
      </c>
      <c r="BG196" s="104">
        <v>7.8125E-3</v>
      </c>
      <c r="BH196" s="104">
        <v>0.7529296875</v>
      </c>
      <c r="BI196" s="104">
        <v>0</v>
      </c>
      <c r="BU196" s="104">
        <v>7.8125E-3</v>
      </c>
      <c r="BV196" s="104">
        <v>0.7529296875</v>
      </c>
      <c r="BW196" s="104">
        <v>0</v>
      </c>
    </row>
    <row r="197" spans="31:75">
      <c r="AE197" s="104">
        <v>3.90625E-3</v>
      </c>
      <c r="AF197" s="104">
        <v>0.7568359375</v>
      </c>
      <c r="AG197" s="104">
        <v>0</v>
      </c>
      <c r="AS197" s="104">
        <v>3.90625E-3</v>
      </c>
      <c r="AT197" s="104">
        <v>0.7568359375</v>
      </c>
      <c r="AU197" s="104">
        <v>0</v>
      </c>
      <c r="BG197" s="104">
        <v>3.90625E-3</v>
      </c>
      <c r="BH197" s="104">
        <v>0.7568359375</v>
      </c>
      <c r="BI197" s="104">
        <v>0</v>
      </c>
      <c r="BU197" s="104">
        <v>3.90625E-3</v>
      </c>
      <c r="BV197" s="104">
        <v>0.7568359375</v>
      </c>
      <c r="BW197" s="104">
        <v>0</v>
      </c>
    </row>
    <row r="198" spans="31:75">
      <c r="AE198" s="104">
        <v>7.8125E-3</v>
      </c>
      <c r="AF198" s="104">
        <v>0.7646484375</v>
      </c>
      <c r="AG198" s="104">
        <v>0</v>
      </c>
      <c r="AS198" s="104">
        <v>7.8125E-3</v>
      </c>
      <c r="AT198" s="104">
        <v>0.7646484375</v>
      </c>
      <c r="AU198" s="104">
        <v>0</v>
      </c>
      <c r="BG198" s="104">
        <v>7.8125E-3</v>
      </c>
      <c r="BH198" s="104">
        <v>0.7646484375</v>
      </c>
      <c r="BI198" s="104">
        <v>0</v>
      </c>
      <c r="BU198" s="104">
        <v>7.8125E-3</v>
      </c>
      <c r="BV198" s="104">
        <v>0.7646484375</v>
      </c>
      <c r="BW198" s="104">
        <v>0</v>
      </c>
    </row>
    <row r="199" spans="31:75">
      <c r="AE199" s="104">
        <v>1.5625E-2</v>
      </c>
      <c r="AF199" s="104">
        <v>0.7802734375</v>
      </c>
      <c r="AG199" s="104">
        <v>0</v>
      </c>
      <c r="AS199" s="104">
        <v>1.5625E-2</v>
      </c>
      <c r="AT199" s="104">
        <v>0.7802734375</v>
      </c>
      <c r="AU199" s="104">
        <v>0</v>
      </c>
      <c r="BG199" s="104">
        <v>1.5625E-2</v>
      </c>
      <c r="BH199" s="104">
        <v>0.7802734375</v>
      </c>
      <c r="BI199" s="104">
        <v>0</v>
      </c>
      <c r="BU199" s="104">
        <v>1.5625E-2</v>
      </c>
      <c r="BV199" s="104">
        <v>0.7802734375</v>
      </c>
      <c r="BW199" s="104">
        <v>0</v>
      </c>
    </row>
    <row r="200" spans="31:75">
      <c r="AE200" s="104">
        <v>7.8125E-3</v>
      </c>
      <c r="AF200" s="104">
        <v>0.7880859375</v>
      </c>
      <c r="AG200" s="104">
        <v>0</v>
      </c>
      <c r="AS200" s="104">
        <v>7.8125E-3</v>
      </c>
      <c r="AT200" s="104">
        <v>0.7880859375</v>
      </c>
      <c r="AU200" s="104">
        <v>0</v>
      </c>
      <c r="BG200" s="104">
        <v>7.8125E-3</v>
      </c>
      <c r="BH200" s="104">
        <v>0.7880859375</v>
      </c>
      <c r="BI200" s="104">
        <v>0</v>
      </c>
      <c r="BU200" s="104">
        <v>7.8125E-3</v>
      </c>
      <c r="BV200" s="104">
        <v>0.7880859375</v>
      </c>
      <c r="BW200" s="104">
        <v>0</v>
      </c>
    </row>
    <row r="201" spans="31:75">
      <c r="AE201" s="104">
        <v>3.90625E-3</v>
      </c>
      <c r="AF201" s="104">
        <v>0.7919921875</v>
      </c>
      <c r="AG201" s="104">
        <v>0</v>
      </c>
      <c r="AS201" s="104">
        <v>3.90625E-3</v>
      </c>
      <c r="AT201" s="104">
        <v>0.7919921875</v>
      </c>
      <c r="AU201" s="104">
        <v>0</v>
      </c>
      <c r="BG201" s="104">
        <v>3.90625E-3</v>
      </c>
      <c r="BH201" s="104">
        <v>0.7919921875</v>
      </c>
      <c r="BI201" s="104">
        <v>0</v>
      </c>
      <c r="BU201" s="104">
        <v>3.90625E-3</v>
      </c>
      <c r="BV201" s="104">
        <v>0.7919921875</v>
      </c>
      <c r="BW201" s="104">
        <v>0</v>
      </c>
    </row>
    <row r="202" spans="31:75">
      <c r="AE202" s="104">
        <v>7.8125E-3</v>
      </c>
      <c r="AF202" s="104">
        <v>0.7998046875</v>
      </c>
      <c r="AG202" s="104">
        <v>0</v>
      </c>
      <c r="AS202" s="104">
        <v>7.8125E-3</v>
      </c>
      <c r="AT202" s="104">
        <v>0.7998046875</v>
      </c>
      <c r="AU202" s="104">
        <v>0</v>
      </c>
      <c r="BG202" s="104">
        <v>7.8125E-3</v>
      </c>
      <c r="BH202" s="104">
        <v>0.7998046875</v>
      </c>
      <c r="BI202" s="104">
        <v>0</v>
      </c>
      <c r="BU202" s="104">
        <v>7.8125E-3</v>
      </c>
      <c r="BV202" s="104">
        <v>0.7998046875</v>
      </c>
      <c r="BW202" s="104">
        <v>0</v>
      </c>
    </row>
    <row r="203" spans="31:75">
      <c r="AE203" s="104">
        <v>3.90625E-3</v>
      </c>
      <c r="AF203" s="104">
        <v>0.8037109375</v>
      </c>
      <c r="AG203" s="104">
        <v>0</v>
      </c>
      <c r="AS203" s="104">
        <v>3.90625E-3</v>
      </c>
      <c r="AT203" s="104">
        <v>0.8037109375</v>
      </c>
      <c r="AU203" s="104">
        <v>0</v>
      </c>
      <c r="BG203" s="104">
        <v>3.90625E-3</v>
      </c>
      <c r="BH203" s="104">
        <v>0.8037109375</v>
      </c>
      <c r="BI203" s="104">
        <v>0</v>
      </c>
      <c r="BU203" s="104">
        <v>3.90625E-3</v>
      </c>
      <c r="BV203" s="104">
        <v>0.8037109375</v>
      </c>
      <c r="BW203" s="104">
        <v>0</v>
      </c>
    </row>
    <row r="204" spans="31:75">
      <c r="AE204" s="104">
        <v>7.8125E-3</v>
      </c>
      <c r="AF204" s="104">
        <v>0.8115234375</v>
      </c>
      <c r="AG204" s="104">
        <v>0</v>
      </c>
      <c r="AS204" s="104">
        <v>7.8125E-3</v>
      </c>
      <c r="AT204" s="104">
        <v>0.8115234375</v>
      </c>
      <c r="AU204" s="104">
        <v>0</v>
      </c>
      <c r="BG204" s="104">
        <v>7.8125E-3</v>
      </c>
      <c r="BH204" s="104">
        <v>0.8115234375</v>
      </c>
      <c r="BI204" s="104">
        <v>0</v>
      </c>
      <c r="BU204" s="104">
        <v>7.8125E-3</v>
      </c>
      <c r="BV204" s="104">
        <v>0.8115234375</v>
      </c>
      <c r="BW204" s="104">
        <v>0</v>
      </c>
    </row>
    <row r="205" spans="31:75">
      <c r="AE205" s="104">
        <v>3.90625E-3</v>
      </c>
      <c r="AF205" s="104">
        <v>0.8154296875</v>
      </c>
      <c r="AG205" s="104">
        <v>0</v>
      </c>
      <c r="AS205" s="104">
        <v>3.90625E-3</v>
      </c>
      <c r="AT205" s="104">
        <v>0.8154296875</v>
      </c>
      <c r="AU205" s="104">
        <v>0</v>
      </c>
      <c r="BG205" s="104">
        <v>3.90625E-3</v>
      </c>
      <c r="BH205" s="104">
        <v>0.8154296875</v>
      </c>
      <c r="BI205" s="104">
        <v>0</v>
      </c>
      <c r="BU205" s="104">
        <v>3.90625E-3</v>
      </c>
      <c r="BV205" s="104">
        <v>0.8154296875</v>
      </c>
      <c r="BW205" s="104">
        <v>0</v>
      </c>
    </row>
    <row r="206" spans="31:75">
      <c r="AE206" s="104">
        <v>7.8125E-3</v>
      </c>
      <c r="AF206" s="104">
        <v>0.8232421875</v>
      </c>
      <c r="AG206" s="104">
        <v>0</v>
      </c>
      <c r="AS206" s="104">
        <v>7.8125E-3</v>
      </c>
      <c r="AT206" s="104">
        <v>0.8232421875</v>
      </c>
      <c r="AU206" s="104">
        <v>0</v>
      </c>
      <c r="BG206" s="104">
        <v>7.8125E-3</v>
      </c>
      <c r="BH206" s="104">
        <v>0.8232421875</v>
      </c>
      <c r="BI206" s="104">
        <v>0</v>
      </c>
      <c r="BU206" s="104">
        <v>7.8125E-3</v>
      </c>
      <c r="BV206" s="104">
        <v>0.8232421875</v>
      </c>
      <c r="BW206" s="104">
        <v>0</v>
      </c>
    </row>
    <row r="207" spans="31:75">
      <c r="AE207" s="104">
        <v>1.5625E-2</v>
      </c>
      <c r="AF207" s="104">
        <v>0.8388671875</v>
      </c>
      <c r="AG207" s="104">
        <v>0</v>
      </c>
      <c r="AS207" s="104">
        <v>1.5625E-2</v>
      </c>
      <c r="AT207" s="104">
        <v>0.8388671875</v>
      </c>
      <c r="AU207" s="104">
        <v>0</v>
      </c>
      <c r="BG207" s="104">
        <v>1.5625E-2</v>
      </c>
      <c r="BH207" s="104">
        <v>0.8388671875</v>
      </c>
      <c r="BI207" s="104">
        <v>0</v>
      </c>
      <c r="BU207" s="104">
        <v>1.5625E-2</v>
      </c>
      <c r="BV207" s="104">
        <v>0.8388671875</v>
      </c>
      <c r="BW207" s="104">
        <v>0</v>
      </c>
    </row>
    <row r="208" spans="31:75">
      <c r="AE208" s="104">
        <v>7.8125E-3</v>
      </c>
      <c r="AF208" s="104">
        <v>0.8466796875</v>
      </c>
      <c r="AG208" s="104">
        <v>0</v>
      </c>
      <c r="AS208" s="104">
        <v>7.8125E-3</v>
      </c>
      <c r="AT208" s="104">
        <v>0.8466796875</v>
      </c>
      <c r="AU208" s="104">
        <v>0</v>
      </c>
      <c r="BG208" s="104">
        <v>7.8125E-3</v>
      </c>
      <c r="BH208" s="104">
        <v>0.8466796875</v>
      </c>
      <c r="BI208" s="104">
        <v>0</v>
      </c>
      <c r="BU208" s="104">
        <v>7.8125E-3</v>
      </c>
      <c r="BV208" s="104">
        <v>0.8466796875</v>
      </c>
      <c r="BW208" s="104">
        <v>0</v>
      </c>
    </row>
    <row r="209" spans="31:75">
      <c r="AE209" s="104">
        <v>1.5625E-2</v>
      </c>
      <c r="AF209" s="104">
        <v>0.8623046875</v>
      </c>
      <c r="AG209" s="104">
        <v>0</v>
      </c>
      <c r="AS209" s="104">
        <v>1.5625E-2</v>
      </c>
      <c r="AT209" s="104">
        <v>0.8623046875</v>
      </c>
      <c r="AU209" s="104">
        <v>0</v>
      </c>
      <c r="BG209" s="104">
        <v>1.5625E-2</v>
      </c>
      <c r="BH209" s="104">
        <v>0.8623046875</v>
      </c>
      <c r="BI209" s="104">
        <v>0</v>
      </c>
      <c r="BU209" s="104">
        <v>1.5625E-2</v>
      </c>
      <c r="BV209" s="104">
        <v>0.8623046875</v>
      </c>
      <c r="BW209" s="104">
        <v>0</v>
      </c>
    </row>
    <row r="210" spans="31:75">
      <c r="AE210" s="104">
        <v>7.8125E-3</v>
      </c>
      <c r="AF210" s="104">
        <v>0.8701171875</v>
      </c>
      <c r="AG210" s="104">
        <v>0</v>
      </c>
      <c r="AS210" s="104">
        <v>7.8125E-3</v>
      </c>
      <c r="AT210" s="104">
        <v>0.8701171875</v>
      </c>
      <c r="AU210" s="104">
        <v>0</v>
      </c>
      <c r="BG210" s="104">
        <v>7.8125E-3</v>
      </c>
      <c r="BH210" s="104">
        <v>0.8701171875</v>
      </c>
      <c r="BI210" s="104">
        <v>0</v>
      </c>
      <c r="BU210" s="104">
        <v>7.8125E-3</v>
      </c>
      <c r="BV210" s="104">
        <v>0.8701171875</v>
      </c>
      <c r="BW210" s="104">
        <v>0</v>
      </c>
    </row>
    <row r="211" spans="31:75">
      <c r="AE211" s="104">
        <v>3.90625E-3</v>
      </c>
      <c r="AF211" s="104">
        <v>0.8740234375</v>
      </c>
      <c r="AG211" s="104">
        <v>0</v>
      </c>
      <c r="AS211" s="104">
        <v>3.90625E-3</v>
      </c>
      <c r="AT211" s="104">
        <v>0.8740234375</v>
      </c>
      <c r="AU211" s="104">
        <v>0</v>
      </c>
      <c r="BG211" s="104">
        <v>3.90625E-3</v>
      </c>
      <c r="BH211" s="104">
        <v>0.8740234375</v>
      </c>
      <c r="BI211" s="104">
        <v>0</v>
      </c>
      <c r="BU211" s="104">
        <v>3.90625E-3</v>
      </c>
      <c r="BV211" s="104">
        <v>0.8740234375</v>
      </c>
      <c r="BW211" s="104">
        <v>0</v>
      </c>
    </row>
    <row r="212" spans="31:75">
      <c r="AE212" s="104">
        <v>1.953125E-3</v>
      </c>
      <c r="AF212" s="104">
        <v>0.8759765625</v>
      </c>
      <c r="AG212" s="104">
        <v>0</v>
      </c>
      <c r="AS212" s="104">
        <v>1.953125E-3</v>
      </c>
      <c r="AT212" s="104">
        <v>0.8759765625</v>
      </c>
      <c r="AU212" s="104">
        <v>0</v>
      </c>
      <c r="BG212" s="104">
        <v>1.953125E-3</v>
      </c>
      <c r="BH212" s="104">
        <v>0.8759765625</v>
      </c>
      <c r="BI212" s="104">
        <v>0</v>
      </c>
      <c r="BU212" s="104">
        <v>1.953125E-3</v>
      </c>
      <c r="BV212" s="104">
        <v>0.8759765625</v>
      </c>
      <c r="BW212" s="104">
        <v>0</v>
      </c>
    </row>
    <row r="213" spans="31:75">
      <c r="AE213" s="104">
        <v>3.90625E-3</v>
      </c>
      <c r="AF213" s="104">
        <v>0.8798828125</v>
      </c>
      <c r="AG213" s="104">
        <v>0</v>
      </c>
      <c r="AS213" s="104">
        <v>3.90625E-3</v>
      </c>
      <c r="AT213" s="104">
        <v>0.8798828125</v>
      </c>
      <c r="AU213" s="104">
        <v>0</v>
      </c>
      <c r="BG213" s="104">
        <v>3.90625E-3</v>
      </c>
      <c r="BH213" s="104">
        <v>0.8798828125</v>
      </c>
      <c r="BI213" s="104">
        <v>0</v>
      </c>
      <c r="BU213" s="104">
        <v>3.90625E-3</v>
      </c>
      <c r="BV213" s="104">
        <v>0.8798828125</v>
      </c>
      <c r="BW213" s="104">
        <v>0</v>
      </c>
    </row>
    <row r="214" spans="31:75">
      <c r="AE214" s="104">
        <v>7.8125E-3</v>
      </c>
      <c r="AF214" s="104">
        <v>0.8876953125</v>
      </c>
      <c r="AG214" s="104">
        <v>0</v>
      </c>
      <c r="AS214" s="104">
        <v>7.8125E-3</v>
      </c>
      <c r="AT214" s="104">
        <v>0.8876953125</v>
      </c>
      <c r="AU214" s="104">
        <v>0</v>
      </c>
      <c r="BG214" s="104">
        <v>7.8125E-3</v>
      </c>
      <c r="BH214" s="104">
        <v>0.8876953125</v>
      </c>
      <c r="BI214" s="104">
        <v>0</v>
      </c>
      <c r="BU214" s="104">
        <v>7.8125E-3</v>
      </c>
      <c r="BV214" s="104">
        <v>0.8876953125</v>
      </c>
      <c r="BW214" s="104">
        <v>0</v>
      </c>
    </row>
    <row r="215" spans="31:75">
      <c r="AE215" s="104">
        <v>1.5625E-2</v>
      </c>
      <c r="AF215" s="104">
        <v>0.9033203125</v>
      </c>
      <c r="AG215" s="104">
        <v>0</v>
      </c>
      <c r="AS215" s="104">
        <v>1.5625E-2</v>
      </c>
      <c r="AT215" s="104">
        <v>0.9033203125</v>
      </c>
      <c r="AU215" s="104">
        <v>0</v>
      </c>
      <c r="BG215" s="104">
        <v>1.5625E-2</v>
      </c>
      <c r="BH215" s="104">
        <v>0.9033203125</v>
      </c>
      <c r="BI215" s="104">
        <v>0</v>
      </c>
      <c r="BU215" s="104">
        <v>1.5625E-2</v>
      </c>
      <c r="BV215" s="104">
        <v>0.9033203125</v>
      </c>
      <c r="BW215" s="104">
        <v>0</v>
      </c>
    </row>
    <row r="216" spans="31:75">
      <c r="AE216" s="104">
        <v>7.8125E-3</v>
      </c>
      <c r="AF216" s="104">
        <v>0.9111328125</v>
      </c>
      <c r="AG216" s="104">
        <v>0</v>
      </c>
      <c r="AS216" s="104">
        <v>7.8125E-3</v>
      </c>
      <c r="AT216" s="104">
        <v>0.9111328125</v>
      </c>
      <c r="AU216" s="104">
        <v>0</v>
      </c>
      <c r="BG216" s="104">
        <v>7.8125E-3</v>
      </c>
      <c r="BH216" s="104">
        <v>0.9111328125</v>
      </c>
      <c r="BI216" s="104">
        <v>0</v>
      </c>
      <c r="BU216" s="104">
        <v>7.8125E-3</v>
      </c>
      <c r="BV216" s="104">
        <v>0.9111328125</v>
      </c>
      <c r="BW216" s="104">
        <v>0</v>
      </c>
    </row>
    <row r="217" spans="31:75">
      <c r="AE217" s="104">
        <v>3.90625E-3</v>
      </c>
      <c r="AF217" s="104">
        <v>0.9150390625</v>
      </c>
      <c r="AG217" s="104">
        <v>0</v>
      </c>
      <c r="AS217" s="104">
        <v>3.90625E-3</v>
      </c>
      <c r="AT217" s="104">
        <v>0.9150390625</v>
      </c>
      <c r="AU217" s="104">
        <v>0</v>
      </c>
      <c r="BG217" s="104">
        <v>3.90625E-3</v>
      </c>
      <c r="BH217" s="104">
        <v>0.9150390625</v>
      </c>
      <c r="BI217" s="104">
        <v>0</v>
      </c>
      <c r="BU217" s="104">
        <v>3.90625E-3</v>
      </c>
      <c r="BV217" s="104">
        <v>0.9150390625</v>
      </c>
      <c r="BW217" s="104">
        <v>0</v>
      </c>
    </row>
    <row r="218" spans="31:75">
      <c r="AE218" s="104">
        <v>1.953125E-3</v>
      </c>
      <c r="AF218" s="104">
        <v>0.9169921875</v>
      </c>
      <c r="AG218" s="104">
        <v>0</v>
      </c>
      <c r="AS218" s="104">
        <v>1.953125E-3</v>
      </c>
      <c r="AT218" s="104">
        <v>0.9169921875</v>
      </c>
      <c r="AU218" s="104">
        <v>0</v>
      </c>
      <c r="BG218" s="104">
        <v>1.953125E-3</v>
      </c>
      <c r="BH218" s="104">
        <v>0.9169921875</v>
      </c>
      <c r="BI218" s="104">
        <v>0</v>
      </c>
      <c r="BU218" s="104">
        <v>1.953125E-3</v>
      </c>
      <c r="BV218" s="104">
        <v>0.9169921875</v>
      </c>
      <c r="BW218" s="104">
        <v>0</v>
      </c>
    </row>
    <row r="219" spans="31:75">
      <c r="AE219" s="104">
        <v>3.90625E-3</v>
      </c>
      <c r="AF219" s="104">
        <v>0.9208984375</v>
      </c>
      <c r="AG219" s="104">
        <v>0</v>
      </c>
      <c r="AS219" s="104">
        <v>3.90625E-3</v>
      </c>
      <c r="AT219" s="104">
        <v>0.9208984375</v>
      </c>
      <c r="AU219" s="104">
        <v>0</v>
      </c>
      <c r="BG219" s="104">
        <v>3.90625E-3</v>
      </c>
      <c r="BH219" s="104">
        <v>0.9208984375</v>
      </c>
      <c r="BI219" s="104">
        <v>0</v>
      </c>
      <c r="BU219" s="104">
        <v>3.90625E-3</v>
      </c>
      <c r="BV219" s="104">
        <v>0.9208984375</v>
      </c>
      <c r="BW219" s="104">
        <v>0</v>
      </c>
    </row>
    <row r="220" spans="31:75">
      <c r="AE220" s="104">
        <v>1.953125E-3</v>
      </c>
      <c r="AF220" s="104">
        <v>0.9228515625</v>
      </c>
      <c r="AG220" s="104">
        <v>0</v>
      </c>
      <c r="AS220" s="104">
        <v>1.953125E-3</v>
      </c>
      <c r="AT220" s="104">
        <v>0.9228515625</v>
      </c>
      <c r="AU220" s="104">
        <v>0</v>
      </c>
      <c r="BG220" s="104">
        <v>1.953125E-3</v>
      </c>
      <c r="BH220" s="104">
        <v>0.9228515625</v>
      </c>
      <c r="BI220" s="104">
        <v>0</v>
      </c>
      <c r="BU220" s="104">
        <v>1.953125E-3</v>
      </c>
      <c r="BV220" s="104">
        <v>0.9228515625</v>
      </c>
      <c r="BW220" s="104">
        <v>0</v>
      </c>
    </row>
    <row r="221" spans="31:75">
      <c r="AE221" s="104">
        <v>9.765625E-4</v>
      </c>
      <c r="AF221" s="104">
        <v>0.923828125</v>
      </c>
      <c r="AG221" s="104">
        <v>0</v>
      </c>
      <c r="AS221" s="104">
        <v>9.765625E-4</v>
      </c>
      <c r="AT221" s="104">
        <v>0.923828125</v>
      </c>
      <c r="AU221" s="104">
        <v>0</v>
      </c>
      <c r="BG221" s="104">
        <v>9.765625E-4</v>
      </c>
      <c r="BH221" s="104">
        <v>0.923828125</v>
      </c>
      <c r="BI221" s="104">
        <v>0</v>
      </c>
      <c r="BU221" s="104">
        <v>9.765625E-4</v>
      </c>
      <c r="BV221" s="104">
        <v>0.923828125</v>
      </c>
      <c r="BW221" s="104">
        <v>0</v>
      </c>
    </row>
    <row r="222" spans="31:75">
      <c r="AE222" s="104">
        <v>1.953125E-3</v>
      </c>
      <c r="AF222" s="104">
        <v>0.92578125</v>
      </c>
      <c r="AG222" s="104">
        <v>0</v>
      </c>
      <c r="AS222" s="104">
        <v>1.953125E-3</v>
      </c>
      <c r="AT222" s="104">
        <v>0.92578125</v>
      </c>
      <c r="AU222" s="104">
        <v>0</v>
      </c>
      <c r="BG222" s="104">
        <v>1.953125E-3</v>
      </c>
      <c r="BH222" s="104">
        <v>0.92578125</v>
      </c>
      <c r="BI222" s="104">
        <v>0</v>
      </c>
      <c r="BU222" s="104">
        <v>1.953125E-3</v>
      </c>
      <c r="BV222" s="104">
        <v>0.92578125</v>
      </c>
      <c r="BW222" s="104">
        <v>0</v>
      </c>
    </row>
    <row r="223" spans="31:75">
      <c r="AE223" s="104">
        <v>9.765625E-4</v>
      </c>
      <c r="AF223" s="104">
        <v>0.9267578125</v>
      </c>
      <c r="AG223" s="104">
        <v>0</v>
      </c>
      <c r="AS223" s="104">
        <v>9.765625E-4</v>
      </c>
      <c r="AT223" s="104">
        <v>0.9267578125</v>
      </c>
      <c r="AU223" s="104">
        <v>0</v>
      </c>
      <c r="BG223" s="104">
        <v>9.765625E-4</v>
      </c>
      <c r="BH223" s="104">
        <v>0.9267578125</v>
      </c>
      <c r="BI223" s="104">
        <v>0</v>
      </c>
      <c r="BU223" s="104">
        <v>9.765625E-4</v>
      </c>
      <c r="BV223" s="104">
        <v>0.9267578125</v>
      </c>
      <c r="BW223" s="104">
        <v>0</v>
      </c>
    </row>
    <row r="224" spans="31:75">
      <c r="AE224" s="104">
        <v>1.953125E-3</v>
      </c>
      <c r="AF224" s="104">
        <v>0.9287109375</v>
      </c>
      <c r="AG224" s="104">
        <v>0</v>
      </c>
      <c r="AS224" s="104">
        <v>1.953125E-3</v>
      </c>
      <c r="AT224" s="104">
        <v>0.9287109375</v>
      </c>
      <c r="AU224" s="104">
        <v>0</v>
      </c>
      <c r="BG224" s="104">
        <v>1.953125E-3</v>
      </c>
      <c r="BH224" s="104">
        <v>0.9287109375</v>
      </c>
      <c r="BI224" s="104">
        <v>0</v>
      </c>
      <c r="BU224" s="104">
        <v>1.953125E-3</v>
      </c>
      <c r="BV224" s="104">
        <v>0.9287109375</v>
      </c>
      <c r="BW224" s="104">
        <v>0</v>
      </c>
    </row>
    <row r="225" spans="31:75">
      <c r="AE225" s="104">
        <v>3.90625E-3</v>
      </c>
      <c r="AF225" s="104">
        <v>0.9326171875</v>
      </c>
      <c r="AG225" s="104">
        <v>0</v>
      </c>
      <c r="AS225" s="104">
        <v>3.90625E-3</v>
      </c>
      <c r="AT225" s="104">
        <v>0.9326171875</v>
      </c>
      <c r="AU225" s="104">
        <v>0</v>
      </c>
      <c r="BG225" s="104">
        <v>3.90625E-3</v>
      </c>
      <c r="BH225" s="104">
        <v>0.9326171875</v>
      </c>
      <c r="BI225" s="104">
        <v>0</v>
      </c>
      <c r="BU225" s="104">
        <v>3.90625E-3</v>
      </c>
      <c r="BV225" s="104">
        <v>0.9326171875</v>
      </c>
      <c r="BW225" s="104">
        <v>0</v>
      </c>
    </row>
    <row r="226" spans="31:75">
      <c r="AE226" s="104">
        <v>1.953125E-3</v>
      </c>
      <c r="AF226" s="104">
        <v>0.9345703125</v>
      </c>
      <c r="AG226" s="104">
        <v>0</v>
      </c>
      <c r="AS226" s="104">
        <v>1.953125E-3</v>
      </c>
      <c r="AT226" s="104">
        <v>0.9345703125</v>
      </c>
      <c r="AU226" s="104">
        <v>0</v>
      </c>
      <c r="BG226" s="104">
        <v>1.953125E-3</v>
      </c>
      <c r="BH226" s="104">
        <v>0.9345703125</v>
      </c>
      <c r="BI226" s="104">
        <v>0</v>
      </c>
      <c r="BU226" s="104">
        <v>1.953125E-3</v>
      </c>
      <c r="BV226" s="104">
        <v>0.9345703125</v>
      </c>
      <c r="BW226" s="104">
        <v>0</v>
      </c>
    </row>
    <row r="227" spans="31:75">
      <c r="AE227" s="104">
        <v>9.765625E-4</v>
      </c>
      <c r="AF227" s="104">
        <v>0.935546875</v>
      </c>
      <c r="AG227" s="104">
        <v>0</v>
      </c>
      <c r="AS227" s="104">
        <v>9.765625E-4</v>
      </c>
      <c r="AT227" s="104">
        <v>0.935546875</v>
      </c>
      <c r="AU227" s="104">
        <v>0</v>
      </c>
      <c r="BG227" s="104">
        <v>9.765625E-4</v>
      </c>
      <c r="BH227" s="104">
        <v>0.935546875</v>
      </c>
      <c r="BI227" s="104">
        <v>0</v>
      </c>
      <c r="BU227" s="104">
        <v>9.765625E-4</v>
      </c>
      <c r="BV227" s="104">
        <v>0.935546875</v>
      </c>
      <c r="BW227" s="104">
        <v>0</v>
      </c>
    </row>
    <row r="228" spans="31:75">
      <c r="AE228" s="104">
        <v>1.953125E-3</v>
      </c>
      <c r="AF228" s="104">
        <v>0.9375</v>
      </c>
      <c r="AG228" s="104">
        <v>0</v>
      </c>
      <c r="AS228" s="104">
        <v>1.953125E-3</v>
      </c>
      <c r="AT228" s="104">
        <v>0.9375</v>
      </c>
      <c r="AU228" s="104">
        <v>0</v>
      </c>
      <c r="BG228" s="104">
        <v>1.953125E-3</v>
      </c>
      <c r="BH228" s="104">
        <v>0.9375</v>
      </c>
      <c r="BI228" s="104">
        <v>0</v>
      </c>
      <c r="BU228" s="104">
        <v>1.953125E-3</v>
      </c>
      <c r="BV228" s="104">
        <v>0.9375</v>
      </c>
      <c r="BW228" s="104">
        <v>0</v>
      </c>
    </row>
    <row r="229" spans="31:75">
      <c r="AE229" s="104">
        <v>3.90625E-3</v>
      </c>
      <c r="AF229" s="104">
        <v>0.94140625</v>
      </c>
      <c r="AG229" s="104">
        <v>0</v>
      </c>
      <c r="AS229" s="104">
        <v>3.90625E-3</v>
      </c>
      <c r="AT229" s="104">
        <v>0.94140625</v>
      </c>
      <c r="AU229" s="104">
        <v>0</v>
      </c>
      <c r="BG229" s="104">
        <v>3.90625E-3</v>
      </c>
      <c r="BH229" s="104">
        <v>0.94140625</v>
      </c>
      <c r="BI229" s="104">
        <v>0</v>
      </c>
      <c r="BU229" s="104">
        <v>3.90625E-3</v>
      </c>
      <c r="BV229" s="104">
        <v>0.94140625</v>
      </c>
      <c r="BW229" s="104">
        <v>0</v>
      </c>
    </row>
    <row r="230" spans="31:75">
      <c r="AE230" s="104">
        <v>7.8125E-3</v>
      </c>
      <c r="AF230" s="104">
        <v>0.94921875</v>
      </c>
      <c r="AG230" s="104">
        <v>0</v>
      </c>
      <c r="AS230" s="104">
        <v>7.8125E-3</v>
      </c>
      <c r="AT230" s="104">
        <v>0.94921875</v>
      </c>
      <c r="AU230" s="104">
        <v>0</v>
      </c>
      <c r="BG230" s="104">
        <v>7.8125E-3</v>
      </c>
      <c r="BH230" s="104">
        <v>0.94921875</v>
      </c>
      <c r="BI230" s="104">
        <v>0</v>
      </c>
      <c r="BU230" s="104">
        <v>7.8125E-3</v>
      </c>
      <c r="BV230" s="104">
        <v>0.94921875</v>
      </c>
      <c r="BW230" s="104">
        <v>0</v>
      </c>
    </row>
    <row r="231" spans="31:75">
      <c r="AE231" s="104">
        <v>3.90625E-3</v>
      </c>
      <c r="AF231" s="104">
        <v>0.953125</v>
      </c>
      <c r="AG231" s="104">
        <v>0</v>
      </c>
      <c r="AS231" s="104">
        <v>3.90625E-3</v>
      </c>
      <c r="AT231" s="104">
        <v>0.953125</v>
      </c>
      <c r="AU231" s="104">
        <v>0</v>
      </c>
      <c r="BG231" s="104">
        <v>3.90625E-3</v>
      </c>
      <c r="BH231" s="104">
        <v>0.953125</v>
      </c>
      <c r="BI231" s="104">
        <v>0</v>
      </c>
      <c r="BU231" s="104">
        <v>3.90625E-3</v>
      </c>
      <c r="BV231" s="104">
        <v>0.953125</v>
      </c>
      <c r="BW231" s="104">
        <v>0</v>
      </c>
    </row>
    <row r="232" spans="31:75">
      <c r="AE232" s="104">
        <v>1.953125E-3</v>
      </c>
      <c r="AF232" s="104">
        <v>0.955078125</v>
      </c>
      <c r="AG232" s="104">
        <v>0</v>
      </c>
      <c r="AS232" s="104">
        <v>1.953125E-3</v>
      </c>
      <c r="AT232" s="104">
        <v>0.955078125</v>
      </c>
      <c r="AU232" s="104">
        <v>0</v>
      </c>
      <c r="BG232" s="104">
        <v>1.953125E-3</v>
      </c>
      <c r="BH232" s="104">
        <v>0.955078125</v>
      </c>
      <c r="BI232" s="104">
        <v>0</v>
      </c>
      <c r="BU232" s="104">
        <v>1.953125E-3</v>
      </c>
      <c r="BV232" s="104">
        <v>0.955078125</v>
      </c>
      <c r="BW232" s="104">
        <v>0</v>
      </c>
    </row>
    <row r="233" spans="31:75">
      <c r="AE233" s="104">
        <v>3.90625E-3</v>
      </c>
      <c r="AF233" s="104">
        <v>0.958984375</v>
      </c>
      <c r="AG233" s="104">
        <v>0</v>
      </c>
      <c r="AS233" s="104">
        <v>3.90625E-3</v>
      </c>
      <c r="AT233" s="104">
        <v>0.958984375</v>
      </c>
      <c r="AU233" s="104">
        <v>0</v>
      </c>
      <c r="BG233" s="104">
        <v>3.90625E-3</v>
      </c>
      <c r="BH233" s="104">
        <v>0.958984375</v>
      </c>
      <c r="BI233" s="104">
        <v>0</v>
      </c>
      <c r="BU233" s="104">
        <v>3.90625E-3</v>
      </c>
      <c r="BV233" s="104">
        <v>0.958984375</v>
      </c>
      <c r="BW233" s="104">
        <v>0</v>
      </c>
    </row>
    <row r="234" spans="31:75">
      <c r="AE234" s="104">
        <v>7.8125E-3</v>
      </c>
      <c r="AF234" s="104">
        <v>0.966796875</v>
      </c>
      <c r="AG234" s="104">
        <v>0</v>
      </c>
      <c r="AS234" s="104">
        <v>7.8125E-3</v>
      </c>
      <c r="AT234" s="104">
        <v>0.966796875</v>
      </c>
      <c r="AU234" s="104">
        <v>0</v>
      </c>
      <c r="BG234" s="104">
        <v>7.8125E-3</v>
      </c>
      <c r="BH234" s="104">
        <v>0.966796875</v>
      </c>
      <c r="BI234" s="104">
        <v>0</v>
      </c>
      <c r="BU234" s="104">
        <v>7.8125E-3</v>
      </c>
      <c r="BV234" s="104">
        <v>0.966796875</v>
      </c>
      <c r="BW234" s="104">
        <v>0</v>
      </c>
    </row>
    <row r="235" spans="31:75">
      <c r="AE235" s="104">
        <v>3.90625E-3</v>
      </c>
      <c r="AF235" s="104">
        <v>0.970703125</v>
      </c>
      <c r="AG235" s="104">
        <v>0</v>
      </c>
      <c r="AS235" s="104">
        <v>3.90625E-3</v>
      </c>
      <c r="AT235" s="104">
        <v>0.970703125</v>
      </c>
      <c r="AU235" s="104">
        <v>0</v>
      </c>
      <c r="BG235" s="104">
        <v>3.90625E-3</v>
      </c>
      <c r="BH235" s="104">
        <v>0.970703125</v>
      </c>
      <c r="BI235" s="104">
        <v>0</v>
      </c>
      <c r="BU235" s="104">
        <v>3.90625E-3</v>
      </c>
      <c r="BV235" s="104">
        <v>0.970703125</v>
      </c>
      <c r="BW235" s="104">
        <v>0</v>
      </c>
    </row>
    <row r="236" spans="31:75">
      <c r="AE236" s="104">
        <v>1.953125E-3</v>
      </c>
      <c r="AF236" s="104">
        <v>0.97265625</v>
      </c>
      <c r="AG236" s="104">
        <v>0</v>
      </c>
      <c r="AS236" s="104">
        <v>1.953125E-3</v>
      </c>
      <c r="AT236" s="104">
        <v>0.97265625</v>
      </c>
      <c r="AU236" s="104">
        <v>0</v>
      </c>
      <c r="BG236" s="104">
        <v>1.953125E-3</v>
      </c>
      <c r="BH236" s="104">
        <v>0.97265625</v>
      </c>
      <c r="BI236" s="104">
        <v>0</v>
      </c>
      <c r="BU236" s="104">
        <v>1.953125E-3</v>
      </c>
      <c r="BV236" s="104">
        <v>0.97265625</v>
      </c>
      <c r="BW236" s="104">
        <v>0</v>
      </c>
    </row>
    <row r="237" spans="31:75">
      <c r="AE237" s="104">
        <v>3.90625E-3</v>
      </c>
      <c r="AF237" s="104">
        <v>0.9765625</v>
      </c>
      <c r="AG237" s="104">
        <v>0</v>
      </c>
      <c r="AS237" s="104">
        <v>3.90625E-3</v>
      </c>
      <c r="AT237" s="104">
        <v>0.9765625</v>
      </c>
      <c r="AU237" s="104">
        <v>0</v>
      </c>
      <c r="BG237" s="104">
        <v>3.90625E-3</v>
      </c>
      <c r="BH237" s="104">
        <v>0.9765625</v>
      </c>
      <c r="BI237" s="104">
        <v>0</v>
      </c>
      <c r="BU237" s="104">
        <v>3.90625E-3</v>
      </c>
      <c r="BV237" s="104">
        <v>0.9765625</v>
      </c>
      <c r="BW237" s="104">
        <v>0</v>
      </c>
    </row>
    <row r="238" spans="31:75">
      <c r="AE238" s="104">
        <v>1.953125E-3</v>
      </c>
      <c r="AF238" s="104">
        <v>0.978515625</v>
      </c>
      <c r="AG238" s="104">
        <v>0</v>
      </c>
      <c r="AS238" s="104">
        <v>1.953125E-3</v>
      </c>
      <c r="AT238" s="104">
        <v>0.978515625</v>
      </c>
      <c r="AU238" s="104">
        <v>0</v>
      </c>
      <c r="BG238" s="104">
        <v>1.953125E-3</v>
      </c>
      <c r="BH238" s="104">
        <v>0.978515625</v>
      </c>
      <c r="BI238" s="104">
        <v>0</v>
      </c>
      <c r="BU238" s="104">
        <v>1.953125E-3</v>
      </c>
      <c r="BV238" s="104">
        <v>0.978515625</v>
      </c>
      <c r="BW238" s="104">
        <v>0</v>
      </c>
    </row>
    <row r="239" spans="31:75">
      <c r="AE239" s="104">
        <v>3.90625E-3</v>
      </c>
      <c r="AF239" s="104">
        <v>0.982421875</v>
      </c>
      <c r="AG239" s="104">
        <v>0</v>
      </c>
      <c r="AS239" s="104">
        <v>3.90625E-3</v>
      </c>
      <c r="AT239" s="104">
        <v>0.982421875</v>
      </c>
      <c r="AU239" s="104">
        <v>0</v>
      </c>
      <c r="BG239" s="104">
        <v>3.90625E-3</v>
      </c>
      <c r="BH239" s="104">
        <v>0.982421875</v>
      </c>
      <c r="BI239" s="104">
        <v>0</v>
      </c>
      <c r="BU239" s="104">
        <v>3.90625E-3</v>
      </c>
      <c r="BV239" s="104">
        <v>0.982421875</v>
      </c>
      <c r="BW239" s="104">
        <v>0</v>
      </c>
    </row>
    <row r="240" spans="31:75">
      <c r="AE240" s="104">
        <v>1.953125E-3</v>
      </c>
      <c r="AF240" s="104">
        <v>0.984375</v>
      </c>
      <c r="AG240" s="104">
        <v>0</v>
      </c>
      <c r="AS240" s="104">
        <v>1.953125E-3</v>
      </c>
      <c r="AT240" s="104">
        <v>0.984375</v>
      </c>
      <c r="AU240" s="104">
        <v>0</v>
      </c>
      <c r="BG240" s="104">
        <v>1.953125E-3</v>
      </c>
      <c r="BH240" s="104">
        <v>0.984375</v>
      </c>
      <c r="BI240" s="104">
        <v>0</v>
      </c>
      <c r="BU240" s="104">
        <v>1.953125E-3</v>
      </c>
      <c r="BV240" s="104">
        <v>0.984375</v>
      </c>
      <c r="BW240" s="104">
        <v>0</v>
      </c>
    </row>
    <row r="241" spans="31:75">
      <c r="AE241" s="104">
        <v>9.765625E-4</v>
      </c>
      <c r="AF241" s="104">
        <v>0.9853515625</v>
      </c>
      <c r="AG241" s="104">
        <v>0</v>
      </c>
      <c r="AS241" s="104">
        <v>9.765625E-4</v>
      </c>
      <c r="AT241" s="104">
        <v>0.9853515625</v>
      </c>
      <c r="AU241" s="104">
        <v>0</v>
      </c>
      <c r="BG241" s="104">
        <v>9.765625E-4</v>
      </c>
      <c r="BH241" s="104">
        <v>0.9853515625</v>
      </c>
      <c r="BI241" s="104">
        <v>0</v>
      </c>
      <c r="BU241" s="104">
        <v>9.765625E-4</v>
      </c>
      <c r="BV241" s="104">
        <v>0.9853515625</v>
      </c>
      <c r="BW241" s="104">
        <v>0</v>
      </c>
    </row>
    <row r="242" spans="31:75">
      <c r="AE242" s="104">
        <v>1.953125E-3</v>
      </c>
      <c r="AF242" s="104">
        <v>0.9873046875</v>
      </c>
      <c r="AG242" s="104">
        <v>0</v>
      </c>
      <c r="AS242" s="104">
        <v>1.953125E-3</v>
      </c>
      <c r="AT242" s="104">
        <v>0.9873046875</v>
      </c>
      <c r="AU242" s="104">
        <v>0</v>
      </c>
      <c r="BG242" s="104">
        <v>1.953125E-3</v>
      </c>
      <c r="BH242" s="104">
        <v>0.9873046875</v>
      </c>
      <c r="BI242" s="104">
        <v>0</v>
      </c>
      <c r="BU242" s="104">
        <v>1.953125E-3</v>
      </c>
      <c r="BV242" s="104">
        <v>0.9873046875</v>
      </c>
      <c r="BW242" s="104">
        <v>0</v>
      </c>
    </row>
    <row r="243" spans="31:75">
      <c r="AE243" s="104">
        <v>3.90625E-3</v>
      </c>
      <c r="AF243" s="104">
        <v>0.9912109375</v>
      </c>
      <c r="AG243" s="104">
        <v>0</v>
      </c>
      <c r="AS243" s="104">
        <v>3.90625E-3</v>
      </c>
      <c r="AT243" s="104">
        <v>0.9912109375</v>
      </c>
      <c r="AU243" s="104">
        <v>0</v>
      </c>
      <c r="BG243" s="104">
        <v>3.90625E-3</v>
      </c>
      <c r="BH243" s="104">
        <v>0.9912109375</v>
      </c>
      <c r="BI243" s="104">
        <v>0</v>
      </c>
      <c r="BU243" s="104">
        <v>3.90625E-3</v>
      </c>
      <c r="BV243" s="104">
        <v>0.9912109375</v>
      </c>
      <c r="BW243" s="104">
        <v>0</v>
      </c>
    </row>
    <row r="244" spans="31:75">
      <c r="AE244" s="104">
        <v>1.953125E-3</v>
      </c>
      <c r="AF244" s="104">
        <v>0.9931640625</v>
      </c>
      <c r="AG244" s="104">
        <v>0</v>
      </c>
      <c r="AS244" s="104">
        <v>1.953125E-3</v>
      </c>
      <c r="AT244" s="104">
        <v>0.9931640625</v>
      </c>
      <c r="AU244" s="104">
        <v>0</v>
      </c>
      <c r="BG244" s="104">
        <v>1.953125E-3</v>
      </c>
      <c r="BH244" s="104">
        <v>0.9931640625</v>
      </c>
      <c r="BI244" s="104">
        <v>0</v>
      </c>
      <c r="BU244" s="104">
        <v>1.953125E-3</v>
      </c>
      <c r="BV244" s="104">
        <v>0.9931640625</v>
      </c>
      <c r="BW244" s="104">
        <v>0</v>
      </c>
    </row>
    <row r="245" spans="31:75">
      <c r="AE245" s="104">
        <v>3.90625E-3</v>
      </c>
      <c r="AF245" s="104">
        <v>0.9970703125</v>
      </c>
      <c r="AG245" s="104">
        <v>0</v>
      </c>
      <c r="AS245" s="104">
        <v>3.90625E-3</v>
      </c>
      <c r="AT245" s="104">
        <v>0.9970703125</v>
      </c>
      <c r="AU245" s="104">
        <v>0</v>
      </c>
      <c r="BG245" s="104">
        <v>3.90625E-3</v>
      </c>
      <c r="BH245" s="104">
        <v>0.9970703125</v>
      </c>
      <c r="BI245" s="104">
        <v>0</v>
      </c>
      <c r="BU245" s="104">
        <v>3.90625E-3</v>
      </c>
      <c r="BV245" s="104">
        <v>0.9970703125</v>
      </c>
      <c r="BW245" s="104">
        <v>0</v>
      </c>
    </row>
    <row r="246" spans="31:75">
      <c r="AE246" s="104">
        <v>1.953125E-3</v>
      </c>
      <c r="AF246" s="104">
        <v>0.9990234375</v>
      </c>
      <c r="AG246" s="104">
        <v>0</v>
      </c>
      <c r="AS246" s="104">
        <v>1.953125E-3</v>
      </c>
      <c r="AT246" s="104">
        <v>0.9990234375</v>
      </c>
      <c r="AU246" s="104">
        <v>0</v>
      </c>
      <c r="BG246" s="104">
        <v>1.953125E-3</v>
      </c>
      <c r="BH246" s="104">
        <v>0.9990234375</v>
      </c>
      <c r="BI246" s="104">
        <v>0</v>
      </c>
      <c r="BU246" s="104">
        <v>1.953125E-3</v>
      </c>
      <c r="BV246" s="104">
        <v>0.9990234375</v>
      </c>
      <c r="BW246" s="104">
        <v>0</v>
      </c>
    </row>
    <row r="247" spans="31:75">
      <c r="AE247" s="104">
        <v>9.765625E-4</v>
      </c>
      <c r="AF247" s="104">
        <v>1</v>
      </c>
      <c r="AG247" s="104">
        <v>0</v>
      </c>
      <c r="AS247" s="104">
        <v>9.765625E-4</v>
      </c>
      <c r="AT247" s="104">
        <v>1</v>
      </c>
      <c r="AU247" s="104">
        <v>0</v>
      </c>
      <c r="BG247" s="104">
        <v>9.765625E-4</v>
      </c>
      <c r="BH247" s="104">
        <v>1</v>
      </c>
      <c r="BI247" s="104">
        <v>0</v>
      </c>
      <c r="BU247" s="104">
        <v>9.765625E-4</v>
      </c>
      <c r="BV247" s="104">
        <v>1</v>
      </c>
      <c r="BW247" s="104">
        <v>0</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UpdateTornado">
                <anchor moveWithCells="1" sizeWithCells="1">
                  <from>
                    <xdr:col>0</xdr:col>
                    <xdr:colOff>942975</xdr:colOff>
                    <xdr:row>2</xdr:row>
                    <xdr:rowOff>28575</xdr:rowOff>
                  </from>
                  <to>
                    <xdr:col>2</xdr:col>
                    <xdr:colOff>1304925</xdr:colOff>
                    <xdr:row>4</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R65"/>
  <sheetViews>
    <sheetView workbookViewId="0">
      <selection activeCell="A8" sqref="A8"/>
    </sheetView>
  </sheetViews>
  <sheetFormatPr defaultColWidth="10.7109375" defaultRowHeight="12.75"/>
  <cols>
    <col min="1" max="13" width="10.7109375" style="102"/>
    <col min="14" max="14" width="27.85546875" style="102" customWidth="1"/>
    <col min="15" max="15" width="12.140625" style="102" bestFit="1" customWidth="1"/>
    <col min="16" max="16384" width="10.7109375" style="102"/>
  </cols>
  <sheetData>
    <row r="1" spans="1:12" ht="15.75">
      <c r="A1" s="180" t="s">
        <v>39</v>
      </c>
      <c r="B1" s="181"/>
      <c r="C1" s="181"/>
      <c r="D1" s="181"/>
      <c r="E1" s="181"/>
      <c r="F1" s="182"/>
      <c r="G1" s="181"/>
      <c r="H1" s="183"/>
      <c r="I1" s="116"/>
      <c r="J1" s="184"/>
      <c r="K1" s="184"/>
    </row>
    <row r="2" spans="1:12" ht="13.5" thickBot="1">
      <c r="A2" s="106"/>
      <c r="B2" s="185" t="s">
        <v>8</v>
      </c>
      <c r="C2" s="146"/>
      <c r="D2" s="146"/>
      <c r="E2" s="146"/>
      <c r="F2" s="186" t="s">
        <v>9</v>
      </c>
      <c r="G2" s="187" t="s">
        <v>74</v>
      </c>
      <c r="H2" s="187" t="s">
        <v>82</v>
      </c>
      <c r="I2" s="187" t="s">
        <v>83</v>
      </c>
      <c r="J2" s="188" t="s">
        <v>84</v>
      </c>
      <c r="K2" s="189"/>
    </row>
    <row r="3" spans="1:12" ht="13.5" thickTop="1">
      <c r="A3" s="133"/>
      <c r="B3" s="190" t="s">
        <v>152</v>
      </c>
      <c r="C3" s="176"/>
      <c r="D3" s="176" t="s">
        <v>49</v>
      </c>
      <c r="E3" s="114"/>
      <c r="F3" s="191">
        <f>Model!F5</f>
        <v>0</v>
      </c>
      <c r="G3" s="192">
        <v>0</v>
      </c>
      <c r="H3" s="193">
        <v>0</v>
      </c>
      <c r="I3" s="193">
        <v>0</v>
      </c>
      <c r="J3" s="194">
        <v>0</v>
      </c>
      <c r="K3" s="195"/>
    </row>
    <row r="4" spans="1:12">
      <c r="A4" s="133"/>
      <c r="B4" s="196" t="s">
        <v>72</v>
      </c>
      <c r="C4" s="133"/>
      <c r="D4" s="133" t="s">
        <v>2</v>
      </c>
      <c r="F4" s="197">
        <f>Model!F6</f>
        <v>0</v>
      </c>
      <c r="G4" s="198">
        <v>0</v>
      </c>
      <c r="H4" s="199">
        <v>0</v>
      </c>
      <c r="I4" s="199">
        <v>0</v>
      </c>
      <c r="J4" s="200">
        <v>0</v>
      </c>
      <c r="K4" s="195"/>
    </row>
    <row r="5" spans="1:12">
      <c r="A5" s="133"/>
      <c r="B5" s="196" t="s">
        <v>73</v>
      </c>
      <c r="C5" s="133"/>
      <c r="D5" s="116" t="s">
        <v>18</v>
      </c>
      <c r="F5" s="201">
        <f>Model!F7</f>
        <v>0</v>
      </c>
      <c r="G5" s="202">
        <v>0</v>
      </c>
      <c r="H5" s="188">
        <v>0</v>
      </c>
      <c r="I5" s="188">
        <v>0</v>
      </c>
      <c r="J5" s="203">
        <v>0</v>
      </c>
      <c r="K5" s="195"/>
    </row>
    <row r="6" spans="1:12" ht="13.5" thickBot="1">
      <c r="A6" s="204"/>
      <c r="B6" s="205" t="s">
        <v>120</v>
      </c>
      <c r="C6" s="206"/>
      <c r="D6" s="207" t="s">
        <v>2</v>
      </c>
      <c r="E6" s="208"/>
      <c r="F6" s="209">
        <f>J30</f>
        <v>0</v>
      </c>
      <c r="G6" s="210">
        <v>0</v>
      </c>
      <c r="H6" s="211">
        <v>0</v>
      </c>
      <c r="I6" s="212">
        <v>0</v>
      </c>
      <c r="J6" s="213">
        <v>0</v>
      </c>
      <c r="K6" s="195"/>
    </row>
    <row r="7" spans="1:12" ht="13.5" thickTop="1">
      <c r="A7" s="204"/>
      <c r="B7" s="214"/>
      <c r="C7" s="133"/>
      <c r="D7" s="133"/>
      <c r="F7" s="215"/>
      <c r="I7" s="116"/>
      <c r="J7" s="195"/>
      <c r="K7" s="195"/>
    </row>
    <row r="12" spans="1:12">
      <c r="B12" s="133"/>
      <c r="C12" s="184"/>
      <c r="D12" s="184"/>
      <c r="E12" s="224"/>
      <c r="F12" s="224"/>
      <c r="G12" s="106"/>
      <c r="H12" s="106"/>
      <c r="L12" s="225"/>
    </row>
    <row r="13" spans="1:12">
      <c r="B13" s="133"/>
      <c r="C13" s="184"/>
      <c r="D13" s="184"/>
      <c r="E13" s="224"/>
      <c r="F13" s="226"/>
      <c r="H13" s="214" t="s">
        <v>48</v>
      </c>
      <c r="I13" s="214"/>
      <c r="J13" s="214" t="s">
        <v>43</v>
      </c>
    </row>
    <row r="14" spans="1:12">
      <c r="B14" s="227" t="s">
        <v>153</v>
      </c>
      <c r="C14" s="184"/>
      <c r="D14" s="184"/>
      <c r="E14" s="224"/>
      <c r="F14" s="214" t="s">
        <v>47</v>
      </c>
      <c r="G14" s="226" t="s">
        <v>46</v>
      </c>
      <c r="H14" s="214" t="s">
        <v>9</v>
      </c>
      <c r="I14" s="214" t="s">
        <v>62</v>
      </c>
      <c r="J14" s="214" t="s">
        <v>62</v>
      </c>
      <c r="L14" s="106"/>
    </row>
    <row r="15" spans="1:12">
      <c r="B15" s="184"/>
      <c r="C15" s="184"/>
      <c r="D15" s="184"/>
      <c r="E15" s="224"/>
      <c r="G15" s="224"/>
      <c r="L15" s="228"/>
    </row>
    <row r="16" spans="1:12">
      <c r="B16" s="133"/>
      <c r="C16" s="184"/>
      <c r="D16" s="184"/>
      <c r="E16" s="61" t="s">
        <v>213</v>
      </c>
      <c r="F16" s="230">
        <f>E17*D19*C21*B23</f>
        <v>6.4524128256000009E-3</v>
      </c>
      <c r="G16" s="224">
        <f>SweetspotTAM*LeaderMktShare</f>
        <v>0</v>
      </c>
      <c r="H16" s="224">
        <f>G16*SalesMult</f>
        <v>0</v>
      </c>
      <c r="I16" s="228">
        <f>H16*OwnershipAtExit/Investment</f>
        <v>0</v>
      </c>
      <c r="J16" s="231">
        <f>F16*I16</f>
        <v>0</v>
      </c>
    </row>
    <row r="17" spans="2:18">
      <c r="B17" s="184"/>
      <c r="C17" s="184"/>
      <c r="D17" s="184"/>
      <c r="E17" s="103">
        <f>LeaderChance</f>
        <v>0.1</v>
      </c>
      <c r="F17" s="140"/>
      <c r="G17" s="224"/>
      <c r="H17" s="224"/>
      <c r="I17" s="228"/>
    </row>
    <row r="18" spans="2:18">
      <c r="B18" s="184"/>
      <c r="C18" s="184"/>
      <c r="D18" s="232" t="s">
        <v>6</v>
      </c>
      <c r="E18" s="233" t="s">
        <v>214</v>
      </c>
      <c r="F18" s="230">
        <f>B23*C21*D19*E19</f>
        <v>1.9357238476800005E-2</v>
      </c>
      <c r="G18" s="224">
        <f>SweetspotTAM*ChallengerMktShare</f>
        <v>0</v>
      </c>
      <c r="H18" s="224">
        <f>G18*SalesMult</f>
        <v>0</v>
      </c>
      <c r="I18" s="228">
        <f>H18*OwnershipAtExit/Investment</f>
        <v>0</v>
      </c>
      <c r="J18" s="231">
        <f>F18*I18</f>
        <v>0</v>
      </c>
    </row>
    <row r="19" spans="2:18" ht="13.5" thickBot="1">
      <c r="B19" s="184"/>
      <c r="C19" s="184"/>
      <c r="D19" s="234">
        <f>MainstreamSuccess</f>
        <v>0.24009999999999992</v>
      </c>
      <c r="E19" s="103">
        <f>ChallengerChance</f>
        <v>0.3</v>
      </c>
      <c r="F19" s="140"/>
      <c r="G19" s="224"/>
      <c r="H19" s="224"/>
      <c r="I19" s="228"/>
      <c r="J19" s="146"/>
      <c r="P19" s="299" t="s">
        <v>174</v>
      </c>
    </row>
    <row r="20" spans="2:18" ht="13.5" thickBot="1">
      <c r="B20" s="184"/>
      <c r="C20" s="232" t="s">
        <v>0</v>
      </c>
      <c r="D20" s="235"/>
      <c r="E20" s="233" t="s">
        <v>215</v>
      </c>
      <c r="F20" s="230">
        <f>B23*C21*D19*E21</f>
        <v>3.8714476953600009E-2</v>
      </c>
      <c r="G20" s="224">
        <f>SweetspotTAM*FollowerMktShare</f>
        <v>0</v>
      </c>
      <c r="H20" s="224">
        <f>G20*SalesMult</f>
        <v>0</v>
      </c>
      <c r="I20" s="228">
        <f>H20*OwnershipAtExit/Investment</f>
        <v>0</v>
      </c>
      <c r="J20" s="231">
        <f>F20*I20</f>
        <v>0</v>
      </c>
      <c r="P20" s="236" t="s">
        <v>129</v>
      </c>
      <c r="Q20" s="237" t="s">
        <v>130</v>
      </c>
      <c r="R20" s="238" t="s">
        <v>131</v>
      </c>
    </row>
    <row r="21" spans="2:18">
      <c r="B21" s="184"/>
      <c r="C21" s="234">
        <f>CrossChasm</f>
        <v>0.40960000000000013</v>
      </c>
      <c r="D21" s="235"/>
      <c r="E21" s="102">
        <f>1-E19-E17</f>
        <v>0.6</v>
      </c>
      <c r="F21" s="140"/>
      <c r="G21" s="224"/>
      <c r="H21" s="224"/>
      <c r="J21" s="146"/>
      <c r="P21" s="239" t="s">
        <v>137</v>
      </c>
      <c r="Q21" s="240" t="e">
        <f>tam_sweetSpot</f>
        <v>#NAME?</v>
      </c>
      <c r="R21" s="241">
        <v>1</v>
      </c>
    </row>
    <row r="22" spans="2:18" ht="13.5" thickBot="1">
      <c r="B22" s="242" t="s">
        <v>4</v>
      </c>
      <c r="C22" s="235"/>
      <c r="D22" s="243" t="s">
        <v>5</v>
      </c>
      <c r="E22" s="229"/>
      <c r="F22" s="140">
        <f>B23*C21*D23</f>
        <v>0.20421443174400011</v>
      </c>
      <c r="G22" s="224">
        <f>NicheTAM*NicheMarketShare</f>
        <v>0</v>
      </c>
      <c r="H22" s="224">
        <f>G22*SalesMult*NicheMultDisc</f>
        <v>0</v>
      </c>
      <c r="I22" s="228">
        <f>H22*NicheOwnershipAtExit/Investment</f>
        <v>0</v>
      </c>
      <c r="J22" s="231">
        <f>F22*I22</f>
        <v>0</v>
      </c>
      <c r="P22" s="130" t="s">
        <v>162</v>
      </c>
      <c r="Q22" s="244" t="e">
        <f>tam_total-tam_sweetSpot</f>
        <v>#NAME?</v>
      </c>
      <c r="R22" s="245">
        <v>0</v>
      </c>
    </row>
    <row r="23" spans="2:18">
      <c r="B23" s="246">
        <f>EarlySuccess</f>
        <v>0.65610000000000013</v>
      </c>
      <c r="C23" s="247"/>
      <c r="D23" s="248">
        <f>1-MainstreamSuccess</f>
        <v>0.75990000000000002</v>
      </c>
      <c r="E23" s="224"/>
      <c r="F23" s="140"/>
      <c r="G23" s="224"/>
      <c r="H23" s="224"/>
      <c r="J23" s="146"/>
    </row>
    <row r="24" spans="2:18">
      <c r="B24" s="235"/>
      <c r="C24" s="243" t="s">
        <v>45</v>
      </c>
      <c r="D24" s="232"/>
      <c r="E24" s="229"/>
      <c r="F24" s="140">
        <f>B23*C25</f>
        <v>0.38736143999999995</v>
      </c>
      <c r="G24" s="224">
        <v>0</v>
      </c>
      <c r="H24" s="224">
        <v>0</v>
      </c>
      <c r="I24" s="102">
        <v>0</v>
      </c>
      <c r="J24" s="231">
        <f>F24*I24</f>
        <v>0</v>
      </c>
    </row>
    <row r="25" spans="2:18">
      <c r="B25" s="235"/>
      <c r="C25" s="248">
        <f>1-CrossChasm</f>
        <v>0.59039999999999981</v>
      </c>
      <c r="D25" s="184"/>
      <c r="E25" s="224"/>
      <c r="F25" s="140"/>
      <c r="G25" s="224"/>
      <c r="H25" s="224"/>
      <c r="J25" s="146"/>
      <c r="P25" s="106" t="s">
        <v>132</v>
      </c>
      <c r="Q25" s="187" t="s">
        <v>18</v>
      </c>
      <c r="R25" s="249" t="e">
        <f>SUMPRODUCT(Q21:Q22,R21:R22)</f>
        <v>#NAME?</v>
      </c>
    </row>
    <row r="26" spans="2:18">
      <c r="B26" s="235"/>
      <c r="C26" s="184"/>
      <c r="D26" s="184"/>
      <c r="E26" s="224"/>
      <c r="F26" s="140"/>
      <c r="G26" s="224"/>
      <c r="H26" s="224"/>
      <c r="J26" s="146"/>
      <c r="R26" s="249"/>
    </row>
    <row r="27" spans="2:18">
      <c r="B27" s="243" t="s">
        <v>3</v>
      </c>
      <c r="C27" s="232"/>
      <c r="D27" s="232"/>
      <c r="E27" s="229"/>
      <c r="F27" s="140">
        <f>B28</f>
        <v>0.34389999999999987</v>
      </c>
      <c r="G27" s="224">
        <v>0</v>
      </c>
      <c r="H27" s="224">
        <v>0</v>
      </c>
      <c r="I27" s="102">
        <v>0</v>
      </c>
      <c r="J27" s="231">
        <f>F27*I27</f>
        <v>0</v>
      </c>
      <c r="P27" s="106" t="s">
        <v>65</v>
      </c>
      <c r="Q27" s="187" t="s">
        <v>18</v>
      </c>
      <c r="R27" s="249" t="e">
        <f>SUM(Q21:Q22)</f>
        <v>#NAME?</v>
      </c>
    </row>
    <row r="28" spans="2:18">
      <c r="B28" s="248">
        <f>1-EarlySuccess</f>
        <v>0.34389999999999987</v>
      </c>
      <c r="C28" s="184"/>
      <c r="D28" s="184"/>
      <c r="E28" s="224"/>
      <c r="F28" s="224"/>
      <c r="J28" s="146"/>
    </row>
    <row r="29" spans="2:18">
      <c r="B29" s="184"/>
      <c r="C29" s="184"/>
      <c r="D29" s="184"/>
      <c r="E29" s="224"/>
      <c r="F29" s="250">
        <f>SUM(F16:F27)</f>
        <v>1</v>
      </c>
      <c r="G29" s="251"/>
      <c r="H29" s="251"/>
      <c r="I29" s="251"/>
      <c r="J29" s="252">
        <f t="array" ref="J29">SUM(F16:F27*I16:I27)</f>
        <v>0</v>
      </c>
    </row>
    <row r="30" spans="2:18">
      <c r="B30" s="184"/>
      <c r="C30" s="184"/>
      <c r="D30" s="184"/>
      <c r="E30" s="224"/>
      <c r="F30" s="102" t="s">
        <v>119</v>
      </c>
      <c r="G30" s="146"/>
      <c r="J30" s="231">
        <f>IF(SUM(F16:F22)=0,0,J29/SUM(F16:F22))</f>
        <v>0</v>
      </c>
    </row>
    <row r="31" spans="2:18">
      <c r="B31" s="184"/>
      <c r="C31" s="184"/>
      <c r="D31" s="184"/>
      <c r="E31" s="224"/>
      <c r="F31" s="102" t="s">
        <v>124</v>
      </c>
      <c r="J31" s="253">
        <f>IF(SUM(F16:F20)=0,0,SUM(J16:J20)/SUM(F16:F20))</f>
        <v>0</v>
      </c>
    </row>
    <row r="32" spans="2:18">
      <c r="B32" s="184"/>
      <c r="C32" s="184"/>
      <c r="D32" s="184"/>
      <c r="E32" s="224"/>
      <c r="F32" s="102" t="s">
        <v>125</v>
      </c>
      <c r="I32" s="225"/>
      <c r="J32" s="254">
        <f>SUM(F16:F22)</f>
        <v>0.26873856000000013</v>
      </c>
    </row>
    <row r="33" spans="2:17">
      <c r="B33" s="184"/>
      <c r="C33" s="184"/>
      <c r="D33" s="184"/>
      <c r="E33" s="224"/>
      <c r="F33" s="102" t="s">
        <v>126</v>
      </c>
      <c r="I33" s="225"/>
      <c r="J33" s="254">
        <f>SUM(F16:F20)</f>
        <v>6.4524128256000013E-2</v>
      </c>
    </row>
    <row r="34" spans="2:17">
      <c r="B34" s="184"/>
      <c r="C34" s="184"/>
      <c r="D34" s="184"/>
      <c r="E34" s="224"/>
      <c r="F34" s="106" t="s">
        <v>127</v>
      </c>
      <c r="J34" s="255">
        <f>pFailCrossChasm</f>
        <v>0.38736143999999995</v>
      </c>
    </row>
    <row r="35" spans="2:17">
      <c r="B35" s="184"/>
      <c r="C35" s="184"/>
      <c r="D35" s="184"/>
      <c r="E35" s="224"/>
      <c r="F35" s="106" t="s">
        <v>128</v>
      </c>
      <c r="G35" s="106"/>
      <c r="H35" s="106"/>
      <c r="I35" s="106"/>
      <c r="J35" s="140">
        <f>pFailEarlyStage</f>
        <v>0.34389999999999987</v>
      </c>
    </row>
    <row r="36" spans="2:17">
      <c r="B36" s="184"/>
      <c r="C36" s="184"/>
      <c r="D36" s="184"/>
      <c r="E36" s="224"/>
      <c r="G36" s="146"/>
      <c r="J36" s="231"/>
      <c r="P36" s="299" t="s">
        <v>174</v>
      </c>
    </row>
    <row r="37" spans="2:17">
      <c r="B37" s="184"/>
      <c r="C37" s="184"/>
      <c r="D37" s="184"/>
      <c r="E37" s="224"/>
      <c r="G37" s="146"/>
      <c r="J37" s="231"/>
      <c r="P37" s="256" t="s">
        <v>133</v>
      </c>
      <c r="Q37" s="257">
        <f>0</f>
        <v>0</v>
      </c>
    </row>
    <row r="38" spans="2:17">
      <c r="B38" s="116"/>
      <c r="C38" s="195"/>
      <c r="D38" s="195"/>
      <c r="E38" s="195"/>
      <c r="F38" s="106"/>
      <c r="G38" s="106"/>
      <c r="H38" s="106"/>
      <c r="I38" s="106"/>
      <c r="P38" s="117" t="s">
        <v>134</v>
      </c>
      <c r="Q38" s="258">
        <f>EarlySuccess*(1-CrossChasm)</f>
        <v>0.38736143999999995</v>
      </c>
    </row>
    <row r="39" spans="2:17">
      <c r="B39" s="133"/>
      <c r="C39" s="184"/>
      <c r="D39" s="184"/>
      <c r="E39" s="224"/>
      <c r="F39" s="226"/>
      <c r="H39" s="214" t="s">
        <v>48</v>
      </c>
      <c r="I39" s="214"/>
      <c r="J39" s="214" t="s">
        <v>43</v>
      </c>
      <c r="P39" s="117" t="s">
        <v>135</v>
      </c>
      <c r="Q39" s="259">
        <f>0</f>
        <v>0</v>
      </c>
    </row>
    <row r="40" spans="2:17">
      <c r="B40" s="227" t="s">
        <v>66</v>
      </c>
      <c r="C40" s="184"/>
      <c r="D40" s="184"/>
      <c r="E40" s="224"/>
      <c r="F40" s="214" t="s">
        <v>47</v>
      </c>
      <c r="G40" s="226" t="s">
        <v>46</v>
      </c>
      <c r="H40" s="214" t="s">
        <v>9</v>
      </c>
      <c r="I40" s="214" t="s">
        <v>62</v>
      </c>
      <c r="J40" s="214" t="s">
        <v>62</v>
      </c>
      <c r="P40" s="260" t="s">
        <v>136</v>
      </c>
      <c r="Q40" s="261">
        <f>1-EarlySuccess</f>
        <v>0.34389999999999987</v>
      </c>
    </row>
    <row r="41" spans="2:17">
      <c r="B41" s="184"/>
      <c r="C41" s="184"/>
      <c r="D41" s="184"/>
      <c r="E41" s="224"/>
      <c r="G41" s="224"/>
    </row>
    <row r="42" spans="2:17">
      <c r="B42" s="133"/>
      <c r="C42" s="184"/>
      <c r="D42" s="184"/>
      <c r="E42" s="229" t="s">
        <v>213</v>
      </c>
      <c r="F42" s="230">
        <f>E43*D45*C47*B49</f>
        <v>6.4524128256000009E-3</v>
      </c>
      <c r="G42" s="224">
        <f>TotalTAM*LeaderMktShare</f>
        <v>0</v>
      </c>
      <c r="H42" s="224">
        <f>G42*SalesMult</f>
        <v>0</v>
      </c>
      <c r="I42" s="228">
        <f>H42*OwnershipAtExit/Investment</f>
        <v>0</v>
      </c>
      <c r="J42" s="231">
        <f>F42*I42</f>
        <v>0</v>
      </c>
    </row>
    <row r="43" spans="2:17">
      <c r="B43" s="184"/>
      <c r="C43" s="184"/>
      <c r="D43" s="184"/>
      <c r="E43" s="103">
        <f>LeaderChance</f>
        <v>0.1</v>
      </c>
      <c r="F43" s="140"/>
      <c r="G43" s="224"/>
      <c r="H43" s="224"/>
      <c r="I43" s="228"/>
    </row>
    <row r="44" spans="2:17">
      <c r="B44" s="184"/>
      <c r="C44" s="184"/>
      <c r="D44" s="232" t="s">
        <v>6</v>
      </c>
      <c r="E44" s="233" t="s">
        <v>214</v>
      </c>
      <c r="F44" s="230">
        <f>B49*C47*D45*E45</f>
        <v>1.9357238476800005E-2</v>
      </c>
      <c r="G44" s="224">
        <f>TotalTAM*ChallengerMktShare</f>
        <v>0</v>
      </c>
      <c r="H44" s="224">
        <f>G44*SalesMult</f>
        <v>0</v>
      </c>
      <c r="I44" s="228">
        <f>H44*OwnershipAtExit/Investment</f>
        <v>0</v>
      </c>
      <c r="J44" s="231">
        <f>F44*I44</f>
        <v>0</v>
      </c>
    </row>
    <row r="45" spans="2:17">
      <c r="B45" s="184"/>
      <c r="C45" s="184"/>
      <c r="D45" s="234">
        <f>MainstreamSuccess</f>
        <v>0.24009999999999992</v>
      </c>
      <c r="E45" s="103">
        <f>ChallengerChance</f>
        <v>0.3</v>
      </c>
      <c r="F45" s="140"/>
      <c r="G45" s="224"/>
      <c r="H45" s="224"/>
      <c r="I45" s="228"/>
      <c r="J45" s="146"/>
    </row>
    <row r="46" spans="2:17">
      <c r="B46" s="184"/>
      <c r="C46" s="232" t="s">
        <v>0</v>
      </c>
      <c r="D46" s="235"/>
      <c r="E46" s="233" t="s">
        <v>215</v>
      </c>
      <c r="F46" s="230">
        <f>B49*C47*D45*E47</f>
        <v>3.8714476953600009E-2</v>
      </c>
      <c r="G46" s="224">
        <f>TotalTAM*FollowerMktShare</f>
        <v>0</v>
      </c>
      <c r="H46" s="224">
        <f>G46*SalesMult</f>
        <v>0</v>
      </c>
      <c r="I46" s="228">
        <f>H46*OwnershipAtExit/Investment</f>
        <v>0</v>
      </c>
      <c r="J46" s="231">
        <f>F46*I46</f>
        <v>0</v>
      </c>
    </row>
    <row r="47" spans="2:17">
      <c r="B47" s="184"/>
      <c r="C47" s="234">
        <f>CrossChasm</f>
        <v>0.40960000000000013</v>
      </c>
      <c r="D47" s="235"/>
      <c r="E47" s="102">
        <f>1-E45-E43</f>
        <v>0.6</v>
      </c>
      <c r="F47" s="140"/>
      <c r="G47" s="224"/>
      <c r="H47" s="224"/>
      <c r="J47" s="146"/>
    </row>
    <row r="48" spans="2:17">
      <c r="B48" s="242" t="s">
        <v>4</v>
      </c>
      <c r="C48" s="235"/>
      <c r="D48" s="243" t="s">
        <v>5</v>
      </c>
      <c r="E48" s="229"/>
      <c r="F48" s="140">
        <f>B49*C47*D49</f>
        <v>0.20421443174400011</v>
      </c>
      <c r="G48" s="224">
        <f>NicheTAM*NicheMarketShare</f>
        <v>0</v>
      </c>
      <c r="H48" s="224">
        <f>G48*SalesMult*NicheMultDisc</f>
        <v>0</v>
      </c>
      <c r="I48" s="228">
        <f>H48*NicheOwnershipAtExit/Investment</f>
        <v>0</v>
      </c>
      <c r="J48" s="231">
        <f>F48*I48</f>
        <v>0</v>
      </c>
    </row>
    <row r="49" spans="2:10">
      <c r="B49" s="246">
        <f>EarlySuccess</f>
        <v>0.65610000000000013</v>
      </c>
      <c r="C49" s="247"/>
      <c r="D49" s="248">
        <f>1-MainstreamSuccess</f>
        <v>0.75990000000000002</v>
      </c>
      <c r="E49" s="224"/>
      <c r="F49" s="140"/>
      <c r="G49" s="224"/>
      <c r="H49" s="224"/>
      <c r="J49" s="146"/>
    </row>
    <row r="50" spans="2:10">
      <c r="B50" s="235"/>
      <c r="C50" s="243" t="s">
        <v>45</v>
      </c>
      <c r="D50" s="232"/>
      <c r="E50" s="229"/>
      <c r="F50" s="140">
        <f>B49*C51</f>
        <v>0.38736143999999995</v>
      </c>
      <c r="G50" s="224">
        <v>0</v>
      </c>
      <c r="H50" s="224">
        <v>0</v>
      </c>
      <c r="I50" s="102">
        <v>0</v>
      </c>
      <c r="J50" s="231">
        <f>F50*I50</f>
        <v>0</v>
      </c>
    </row>
    <row r="51" spans="2:10">
      <c r="B51" s="235"/>
      <c r="C51" s="248">
        <f>1-CrossChasm</f>
        <v>0.59039999999999981</v>
      </c>
      <c r="D51" s="184"/>
      <c r="E51" s="224"/>
      <c r="F51" s="140"/>
      <c r="G51" s="224"/>
      <c r="H51" s="224"/>
      <c r="J51" s="146"/>
    </row>
    <row r="52" spans="2:10">
      <c r="B52" s="235"/>
      <c r="C52" s="184"/>
      <c r="D52" s="184"/>
      <c r="E52" s="224"/>
      <c r="F52" s="140"/>
      <c r="G52" s="224"/>
      <c r="H52" s="224"/>
      <c r="J52" s="146"/>
    </row>
    <row r="53" spans="2:10">
      <c r="B53" s="243" t="s">
        <v>3</v>
      </c>
      <c r="C53" s="232"/>
      <c r="D53" s="232"/>
      <c r="E53" s="229"/>
      <c r="F53" s="140">
        <f>B54</f>
        <v>0.34389999999999987</v>
      </c>
      <c r="G53" s="224">
        <v>0</v>
      </c>
      <c r="H53" s="224">
        <v>0</v>
      </c>
      <c r="I53" s="102">
        <v>0</v>
      </c>
      <c r="J53" s="231">
        <f>F53*I53</f>
        <v>0</v>
      </c>
    </row>
    <row r="54" spans="2:10">
      <c r="B54" s="184">
        <f>1-EarlySuccess</f>
        <v>0.34389999999999987</v>
      </c>
      <c r="C54" s="184"/>
      <c r="D54" s="184"/>
      <c r="E54" s="224"/>
      <c r="F54" s="224"/>
      <c r="J54" s="146"/>
    </row>
    <row r="55" spans="2:10">
      <c r="B55" s="184"/>
      <c r="C55" s="184"/>
      <c r="D55" s="184"/>
      <c r="E55" s="224"/>
      <c r="F55" s="250">
        <f>SUM(F42:F53)</f>
        <v>1</v>
      </c>
      <c r="G55" s="251"/>
      <c r="H55" s="251"/>
      <c r="I55" s="251"/>
      <c r="J55" s="252">
        <f t="array" ref="J55">SUM(F42:F53*I42:I53)</f>
        <v>0</v>
      </c>
    </row>
    <row r="56" spans="2:10">
      <c r="B56" s="116"/>
      <c r="C56" s="116"/>
      <c r="D56" s="106"/>
      <c r="E56" s="106"/>
      <c r="F56" s="102" t="s">
        <v>119</v>
      </c>
      <c r="G56" s="146"/>
      <c r="J56" s="231">
        <f>IF(SUM(F42:F48)=0,0,J55/SUM(F42:F48))</f>
        <v>0</v>
      </c>
    </row>
    <row r="57" spans="2:10">
      <c r="B57" s="133"/>
      <c r="C57" s="116"/>
      <c r="D57" s="106"/>
      <c r="E57" s="106"/>
      <c r="F57" s="102" t="s">
        <v>124</v>
      </c>
      <c r="J57" s="253">
        <f>IF(SUM(F42:F46)=0,0,SUM(J42:J46)/SUM(F42:F46))</f>
        <v>0</v>
      </c>
    </row>
    <row r="58" spans="2:10">
      <c r="B58" s="133"/>
      <c r="C58" s="116"/>
      <c r="D58" s="106"/>
      <c r="E58" s="106"/>
      <c r="F58" s="102" t="s">
        <v>125</v>
      </c>
      <c r="I58" s="225"/>
      <c r="J58" s="254">
        <f>SUM(F42:F48)</f>
        <v>0.26873856000000013</v>
      </c>
    </row>
    <row r="59" spans="2:10">
      <c r="B59" s="133"/>
      <c r="C59" s="116"/>
      <c r="D59" s="106"/>
      <c r="E59" s="106"/>
      <c r="F59" s="102" t="s">
        <v>126</v>
      </c>
      <c r="I59" s="225"/>
      <c r="J59" s="254">
        <f>SUM(F42:F46)</f>
        <v>6.4524128256000013E-2</v>
      </c>
    </row>
    <row r="60" spans="2:10">
      <c r="B60" s="133"/>
      <c r="C60" s="116"/>
      <c r="D60" s="106"/>
      <c r="E60" s="106"/>
      <c r="F60" s="106" t="s">
        <v>127</v>
      </c>
      <c r="J60" s="255">
        <f>pFailCrossChasm</f>
        <v>0.38736143999999995</v>
      </c>
    </row>
    <row r="61" spans="2:10">
      <c r="B61" s="133"/>
      <c r="C61" s="133"/>
      <c r="F61" s="106" t="s">
        <v>128</v>
      </c>
      <c r="G61" s="106"/>
      <c r="H61" s="106"/>
      <c r="I61" s="106"/>
      <c r="J61" s="140">
        <f>pFailEarlyStage</f>
        <v>0.34389999999999987</v>
      </c>
    </row>
    <row r="62" spans="2:10">
      <c r="B62" s="133"/>
      <c r="C62" s="133"/>
    </row>
    <row r="63" spans="2:10">
      <c r="B63" s="133"/>
      <c r="C63" s="133"/>
    </row>
    <row r="64" spans="2:10">
      <c r="B64" s="133"/>
      <c r="C64" s="133"/>
    </row>
    <row r="65" spans="2:3">
      <c r="B65" s="133"/>
      <c r="C65" s="133"/>
    </row>
  </sheetData>
  <conditionalFormatting sqref="B12">
    <cfRule type="expression" dxfId="0" priority="1" stopIfTrue="1">
      <formula>IF($E12=4, TRUE, FALSE)</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EvaluateModel">
                <anchor moveWithCells="1" sizeWithCells="1">
                  <from>
                    <xdr:col>10</xdr:col>
                    <xdr:colOff>723900</xdr:colOff>
                    <xdr:row>2</xdr:row>
                    <xdr:rowOff>0</xdr:rowOff>
                  </from>
                  <to>
                    <xdr:col>13</xdr:col>
                    <xdr:colOff>638175</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G49" sqref="G49"/>
    </sheetView>
  </sheetViews>
  <sheetFormatPr defaultColWidth="10.7109375" defaultRowHeight="12.75"/>
  <cols>
    <col min="1" max="1" width="10.7109375" style="155"/>
    <col min="2" max="3" width="14.7109375" style="155" bestFit="1" customWidth="1"/>
    <col min="4" max="13" width="10.7109375" style="155"/>
    <col min="14" max="14" width="12.5703125" style="155" bestFit="1" customWidth="1"/>
    <col min="15" max="15" width="10.7109375" style="155"/>
    <col min="16" max="16" width="12" style="155" bestFit="1" customWidth="1"/>
    <col min="17" max="18" width="10.7109375" style="155"/>
    <col min="19" max="19" width="13" style="155" bestFit="1" customWidth="1"/>
    <col min="20" max="16384" width="10.7109375" style="155"/>
  </cols>
  <sheetData>
    <row r="2" spans="3:20" ht="18">
      <c r="C2" s="153" t="s">
        <v>122</v>
      </c>
      <c r="D2" s="154">
        <f>SUMPRODUCT(R6:R250,T6:T250)</f>
        <v>0</v>
      </c>
    </row>
    <row r="3" spans="3:20">
      <c r="M3" s="156" t="s">
        <v>120</v>
      </c>
    </row>
    <row r="5" spans="3:20">
      <c r="M5" s="334" t="s">
        <v>88</v>
      </c>
      <c r="N5" s="335"/>
      <c r="O5" s="336"/>
      <c r="P5" s="292"/>
      <c r="R5" s="294" t="s">
        <v>86</v>
      </c>
      <c r="S5" s="295" t="s">
        <v>87</v>
      </c>
      <c r="T5" s="296" t="s">
        <v>9</v>
      </c>
    </row>
    <row r="6" spans="3:20">
      <c r="M6" s="157" t="s">
        <v>86</v>
      </c>
      <c r="N6" s="158" t="s">
        <v>87</v>
      </c>
      <c r="O6" s="159" t="s">
        <v>9</v>
      </c>
      <c r="P6" s="293" t="s">
        <v>123</v>
      </c>
      <c r="R6" s="290">
        <v>0</v>
      </c>
      <c r="S6" s="160">
        <v>0</v>
      </c>
      <c r="T6" s="161">
        <v>0</v>
      </c>
    </row>
    <row r="7" spans="3:20">
      <c r="M7" s="162">
        <f>Tornado!BU5</f>
        <v>9.765625E-4</v>
      </c>
      <c r="N7" s="163">
        <f>Tornado!BV5</f>
        <v>9.765625E-4</v>
      </c>
      <c r="O7" s="164">
        <f>Tornado!BW5</f>
        <v>0</v>
      </c>
      <c r="P7" s="165">
        <f t="shared" ref="P7:P70" si="0">pCrossChasm_total * N7</f>
        <v>2.6244000000000012E-4</v>
      </c>
      <c r="R7" s="290">
        <f>S7-S6</f>
        <v>0.73126143999999993</v>
      </c>
      <c r="S7" s="160">
        <f>1-pCrossChasm_total</f>
        <v>0.73126143999999993</v>
      </c>
      <c r="T7" s="165">
        <v>0</v>
      </c>
    </row>
    <row r="8" spans="3:20">
      <c r="M8" s="160">
        <f>Tornado!BU6</f>
        <v>1.953125E-3</v>
      </c>
      <c r="N8" s="155">
        <f>Tornado!BV6</f>
        <v>2.9296875E-3</v>
      </c>
      <c r="O8" s="165">
        <f>Tornado!BW6</f>
        <v>0</v>
      </c>
      <c r="P8" s="165">
        <f t="shared" si="0"/>
        <v>7.8732000000000042E-4</v>
      </c>
      <c r="R8" s="290">
        <f t="shared" ref="R8:R71" si="1">S8-S7</f>
        <v>2.6243999999997492E-4</v>
      </c>
      <c r="S8" s="160">
        <f>P7+$S$7</f>
        <v>0.7315238799999999</v>
      </c>
      <c r="T8" s="165">
        <f>O7</f>
        <v>0</v>
      </c>
    </row>
    <row r="9" spans="3:20">
      <c r="M9" s="160">
        <f>Tornado!BU7</f>
        <v>3.90625E-3</v>
      </c>
      <c r="N9" s="155">
        <f>Tornado!BV7</f>
        <v>6.8359375E-3</v>
      </c>
      <c r="O9" s="165">
        <f>Tornado!BW7</f>
        <v>0</v>
      </c>
      <c r="P9" s="165">
        <f t="shared" si="0"/>
        <v>1.8370800000000009E-3</v>
      </c>
      <c r="R9" s="290">
        <f t="shared" si="1"/>
        <v>5.2488000000006085E-4</v>
      </c>
      <c r="S9" s="160">
        <f t="shared" ref="S9:S72" si="2">P8+$S$7</f>
        <v>0.73204875999999997</v>
      </c>
      <c r="T9" s="165">
        <f t="shared" ref="T9:T72" si="3">O8</f>
        <v>0</v>
      </c>
    </row>
    <row r="10" spans="3:20">
      <c r="M10" s="160">
        <f>Tornado!BU8</f>
        <v>1.953125E-3</v>
      </c>
      <c r="N10" s="155">
        <f>Tornado!BV8</f>
        <v>8.7890625E-3</v>
      </c>
      <c r="O10" s="165">
        <f>Tornado!BW8</f>
        <v>0</v>
      </c>
      <c r="P10" s="165">
        <f t="shared" si="0"/>
        <v>2.3619600000000011E-3</v>
      </c>
      <c r="R10" s="290">
        <f t="shared" si="1"/>
        <v>1.0497600000000107E-3</v>
      </c>
      <c r="S10" s="160">
        <f t="shared" si="2"/>
        <v>0.73309851999999998</v>
      </c>
      <c r="T10" s="165">
        <f t="shared" si="3"/>
        <v>0</v>
      </c>
    </row>
    <row r="11" spans="3:20">
      <c r="M11" s="160">
        <f>Tornado!BU9</f>
        <v>3.90625E-3</v>
      </c>
      <c r="N11" s="155">
        <f>Tornado!BV9</f>
        <v>1.26953125E-2</v>
      </c>
      <c r="O11" s="165">
        <f>Tornado!BW9</f>
        <v>0</v>
      </c>
      <c r="P11" s="165">
        <f t="shared" si="0"/>
        <v>3.4117200000000018E-3</v>
      </c>
      <c r="R11" s="290">
        <f t="shared" si="1"/>
        <v>5.2487999999994983E-4</v>
      </c>
      <c r="S11" s="160">
        <f t="shared" si="2"/>
        <v>0.73362339999999993</v>
      </c>
      <c r="T11" s="165">
        <f t="shared" si="3"/>
        <v>0</v>
      </c>
    </row>
    <row r="12" spans="3:20">
      <c r="M12" s="160">
        <f>Tornado!BU10</f>
        <v>1.953125E-3</v>
      </c>
      <c r="N12" s="155">
        <f>Tornado!BV10</f>
        <v>1.46484375E-2</v>
      </c>
      <c r="O12" s="165">
        <f>Tornado!BW10</f>
        <v>0</v>
      </c>
      <c r="P12" s="165">
        <f t="shared" si="0"/>
        <v>3.9366000000000019E-3</v>
      </c>
      <c r="R12" s="290">
        <f t="shared" si="1"/>
        <v>1.0497600000000107E-3</v>
      </c>
      <c r="S12" s="160">
        <f t="shared" si="2"/>
        <v>0.73467315999999994</v>
      </c>
      <c r="T12" s="165">
        <f t="shared" si="3"/>
        <v>0</v>
      </c>
    </row>
    <row r="13" spans="3:20">
      <c r="M13" s="160">
        <f>Tornado!BU11</f>
        <v>9.765625E-4</v>
      </c>
      <c r="N13" s="155">
        <f>Tornado!BV11</f>
        <v>1.5625E-2</v>
      </c>
      <c r="O13" s="165">
        <f>Tornado!BW11</f>
        <v>0</v>
      </c>
      <c r="P13" s="165">
        <f t="shared" si="0"/>
        <v>4.199040000000002E-3</v>
      </c>
      <c r="R13" s="290">
        <f t="shared" si="1"/>
        <v>5.2487999999994983E-4</v>
      </c>
      <c r="S13" s="160">
        <f t="shared" si="2"/>
        <v>0.73519803999999989</v>
      </c>
      <c r="T13" s="165">
        <f t="shared" si="3"/>
        <v>0</v>
      </c>
    </row>
    <row r="14" spans="3:20">
      <c r="M14" s="160">
        <f>Tornado!BU12</f>
        <v>1.953125E-3</v>
      </c>
      <c r="N14" s="155">
        <f>Tornado!BV12</f>
        <v>1.7578125E-2</v>
      </c>
      <c r="O14" s="165">
        <f>Tornado!BW12</f>
        <v>0</v>
      </c>
      <c r="P14" s="165">
        <f t="shared" si="0"/>
        <v>4.7239200000000021E-3</v>
      </c>
      <c r="R14" s="290">
        <f t="shared" si="1"/>
        <v>2.6244000000008594E-4</v>
      </c>
      <c r="S14" s="160">
        <f t="shared" si="2"/>
        <v>0.73546047999999997</v>
      </c>
      <c r="T14" s="165">
        <f t="shared" si="3"/>
        <v>0</v>
      </c>
    </row>
    <row r="15" spans="3:20">
      <c r="M15" s="160">
        <f>Tornado!BU13</f>
        <v>3.90625E-3</v>
      </c>
      <c r="N15" s="155">
        <f>Tornado!BV13</f>
        <v>2.1484375E-2</v>
      </c>
      <c r="O15" s="165">
        <f>Tornado!BW13</f>
        <v>0</v>
      </c>
      <c r="P15" s="165">
        <f t="shared" si="0"/>
        <v>5.7736800000000024E-3</v>
      </c>
      <c r="R15" s="290">
        <f t="shared" si="1"/>
        <v>5.2487999999994983E-4</v>
      </c>
      <c r="S15" s="160">
        <f t="shared" si="2"/>
        <v>0.73598535999999992</v>
      </c>
      <c r="T15" s="165">
        <f t="shared" si="3"/>
        <v>0</v>
      </c>
    </row>
    <row r="16" spans="3:20">
      <c r="M16" s="160">
        <f>Tornado!BU14</f>
        <v>1.953125E-3</v>
      </c>
      <c r="N16" s="155">
        <f>Tornado!BV14</f>
        <v>2.34375E-2</v>
      </c>
      <c r="O16" s="165">
        <f>Tornado!BW14</f>
        <v>0</v>
      </c>
      <c r="P16" s="165">
        <f t="shared" si="0"/>
        <v>6.2985600000000034E-3</v>
      </c>
      <c r="R16" s="290">
        <f t="shared" si="1"/>
        <v>1.0497600000000107E-3</v>
      </c>
      <c r="S16" s="160">
        <f t="shared" si="2"/>
        <v>0.73703511999999993</v>
      </c>
      <c r="T16" s="165">
        <f t="shared" si="3"/>
        <v>0</v>
      </c>
    </row>
    <row r="17" spans="13:20">
      <c r="M17" s="160">
        <f>Tornado!BU15</f>
        <v>3.90625E-3</v>
      </c>
      <c r="N17" s="155">
        <f>Tornado!BV15</f>
        <v>2.734375E-2</v>
      </c>
      <c r="O17" s="165">
        <f>Tornado!BW15</f>
        <v>0</v>
      </c>
      <c r="P17" s="165">
        <f t="shared" si="0"/>
        <v>7.3483200000000037E-3</v>
      </c>
      <c r="R17" s="290">
        <f t="shared" si="1"/>
        <v>5.2487999999994983E-4</v>
      </c>
      <c r="S17" s="160">
        <f t="shared" si="2"/>
        <v>0.73755999999999988</v>
      </c>
      <c r="T17" s="165">
        <f t="shared" si="3"/>
        <v>0</v>
      </c>
    </row>
    <row r="18" spans="13:20">
      <c r="M18" s="160">
        <f>Tornado!BU16</f>
        <v>1.953125E-3</v>
      </c>
      <c r="N18" s="155">
        <f>Tornado!BV16</f>
        <v>2.9296875E-2</v>
      </c>
      <c r="O18" s="165">
        <f>Tornado!BW16</f>
        <v>0</v>
      </c>
      <c r="P18" s="165">
        <f t="shared" si="0"/>
        <v>7.8732000000000038E-3</v>
      </c>
      <c r="R18" s="290">
        <f t="shared" si="1"/>
        <v>1.0497600000000107E-3</v>
      </c>
      <c r="S18" s="160">
        <f t="shared" si="2"/>
        <v>0.73860975999999989</v>
      </c>
      <c r="T18" s="165">
        <f t="shared" si="3"/>
        <v>0</v>
      </c>
    </row>
    <row r="19" spans="13:20">
      <c r="M19" s="160">
        <f>Tornado!BU17</f>
        <v>3.90625E-3</v>
      </c>
      <c r="N19" s="155">
        <f>Tornado!BV17</f>
        <v>3.3203125E-2</v>
      </c>
      <c r="O19" s="165">
        <f>Tornado!BW17</f>
        <v>0</v>
      </c>
      <c r="P19" s="165">
        <f t="shared" si="0"/>
        <v>8.9229600000000041E-3</v>
      </c>
      <c r="R19" s="290">
        <f t="shared" si="1"/>
        <v>5.2488000000006085E-4</v>
      </c>
      <c r="S19" s="160">
        <f t="shared" si="2"/>
        <v>0.73913463999999995</v>
      </c>
      <c r="T19" s="165">
        <f t="shared" si="3"/>
        <v>0</v>
      </c>
    </row>
    <row r="20" spans="13:20">
      <c r="M20" s="160">
        <f>Tornado!BU18</f>
        <v>7.8125E-3</v>
      </c>
      <c r="N20" s="155">
        <f>Tornado!BV18</f>
        <v>4.1015625E-2</v>
      </c>
      <c r="O20" s="165">
        <f>Tornado!BW18</f>
        <v>0</v>
      </c>
      <c r="P20" s="165">
        <f t="shared" si="0"/>
        <v>1.1022480000000005E-2</v>
      </c>
      <c r="R20" s="290">
        <f t="shared" si="1"/>
        <v>1.0497600000000107E-3</v>
      </c>
      <c r="S20" s="160">
        <f t="shared" si="2"/>
        <v>0.74018439999999996</v>
      </c>
      <c r="T20" s="165">
        <f t="shared" si="3"/>
        <v>0</v>
      </c>
    </row>
    <row r="21" spans="13:20">
      <c r="M21" s="160">
        <f>Tornado!BU19</f>
        <v>3.90625E-3</v>
      </c>
      <c r="N21" s="155">
        <f>Tornado!BV19</f>
        <v>4.4921875E-2</v>
      </c>
      <c r="O21" s="165">
        <f>Tornado!BW19</f>
        <v>0</v>
      </c>
      <c r="P21" s="165">
        <f t="shared" si="0"/>
        <v>1.2072240000000005E-2</v>
      </c>
      <c r="R21" s="290">
        <f t="shared" si="1"/>
        <v>2.0995200000000214E-3</v>
      </c>
      <c r="S21" s="160">
        <f t="shared" si="2"/>
        <v>0.74228391999999999</v>
      </c>
      <c r="T21" s="165">
        <f t="shared" si="3"/>
        <v>0</v>
      </c>
    </row>
    <row r="22" spans="13:20">
      <c r="M22" s="160">
        <f>Tornado!BU20</f>
        <v>1.953125E-3</v>
      </c>
      <c r="N22" s="155">
        <f>Tornado!BV20</f>
        <v>4.6875E-2</v>
      </c>
      <c r="O22" s="165">
        <f>Tornado!BW20</f>
        <v>0</v>
      </c>
      <c r="P22" s="165">
        <f t="shared" si="0"/>
        <v>1.2597120000000007E-2</v>
      </c>
      <c r="R22" s="290">
        <f t="shared" si="1"/>
        <v>1.0497599999998997E-3</v>
      </c>
      <c r="S22" s="160">
        <f t="shared" si="2"/>
        <v>0.74333367999999989</v>
      </c>
      <c r="T22" s="165">
        <f t="shared" si="3"/>
        <v>0</v>
      </c>
    </row>
    <row r="23" spans="13:20">
      <c r="M23" s="160">
        <f>Tornado!BU21</f>
        <v>3.90625E-3</v>
      </c>
      <c r="N23" s="155">
        <f>Tornado!BV21</f>
        <v>5.078125E-2</v>
      </c>
      <c r="O23" s="165">
        <f>Tornado!BW21</f>
        <v>0</v>
      </c>
      <c r="P23" s="165">
        <f t="shared" si="0"/>
        <v>1.3646880000000007E-2</v>
      </c>
      <c r="R23" s="290">
        <f t="shared" si="1"/>
        <v>5.2488000000006085E-4</v>
      </c>
      <c r="S23" s="160">
        <f t="shared" si="2"/>
        <v>0.74385855999999995</v>
      </c>
      <c r="T23" s="165">
        <f t="shared" si="3"/>
        <v>0</v>
      </c>
    </row>
    <row r="24" spans="13:20">
      <c r="M24" s="160">
        <f>Tornado!BU22</f>
        <v>7.8125E-3</v>
      </c>
      <c r="N24" s="155">
        <f>Tornado!BV22</f>
        <v>5.859375E-2</v>
      </c>
      <c r="O24" s="165">
        <f>Tornado!BW22</f>
        <v>0</v>
      </c>
      <c r="P24" s="165">
        <f t="shared" si="0"/>
        <v>1.5746400000000008E-2</v>
      </c>
      <c r="R24" s="290">
        <f t="shared" si="1"/>
        <v>1.0497600000000107E-3</v>
      </c>
      <c r="S24" s="160">
        <f t="shared" si="2"/>
        <v>0.74490831999999996</v>
      </c>
      <c r="T24" s="165">
        <f t="shared" si="3"/>
        <v>0</v>
      </c>
    </row>
    <row r="25" spans="13:20">
      <c r="M25" s="160">
        <f>Tornado!BU23</f>
        <v>3.90625E-3</v>
      </c>
      <c r="N25" s="155">
        <f>Tornado!BV23</f>
        <v>6.25E-2</v>
      </c>
      <c r="O25" s="165">
        <f>Tornado!BW23</f>
        <v>0</v>
      </c>
      <c r="P25" s="165">
        <f t="shared" si="0"/>
        <v>1.6796160000000008E-2</v>
      </c>
      <c r="R25" s="290">
        <f t="shared" si="1"/>
        <v>2.0995200000000214E-3</v>
      </c>
      <c r="S25" s="160">
        <f t="shared" si="2"/>
        <v>0.74700783999999998</v>
      </c>
      <c r="T25" s="165">
        <f t="shared" si="3"/>
        <v>0</v>
      </c>
    </row>
    <row r="26" spans="13:20">
      <c r="M26" s="160">
        <f>Tornado!BU24</f>
        <v>1.953125E-3</v>
      </c>
      <c r="N26" s="155">
        <f>Tornado!BV24</f>
        <v>6.4453125E-2</v>
      </c>
      <c r="O26" s="165">
        <f>Tornado!BW24</f>
        <v>0</v>
      </c>
      <c r="P26" s="165">
        <f t="shared" si="0"/>
        <v>1.732104000000001E-2</v>
      </c>
      <c r="R26" s="290">
        <f t="shared" si="1"/>
        <v>1.0497600000000107E-3</v>
      </c>
      <c r="S26" s="160">
        <f t="shared" si="2"/>
        <v>0.74805759999999999</v>
      </c>
      <c r="T26" s="165">
        <f t="shared" si="3"/>
        <v>0</v>
      </c>
    </row>
    <row r="27" spans="13:20">
      <c r="M27" s="160">
        <f>Tornado!BU25</f>
        <v>9.765625E-4</v>
      </c>
      <c r="N27" s="155">
        <f>Tornado!BV25</f>
        <v>6.54296875E-2</v>
      </c>
      <c r="O27" s="165">
        <f>Tornado!BW25</f>
        <v>0</v>
      </c>
      <c r="P27" s="165">
        <f t="shared" si="0"/>
        <v>1.7583480000000009E-2</v>
      </c>
      <c r="R27" s="290">
        <f t="shared" si="1"/>
        <v>5.2487999999994983E-4</v>
      </c>
      <c r="S27" s="160">
        <f t="shared" si="2"/>
        <v>0.74858247999999994</v>
      </c>
      <c r="T27" s="165">
        <f t="shared" si="3"/>
        <v>0</v>
      </c>
    </row>
    <row r="28" spans="13:20">
      <c r="M28" s="160">
        <f>Tornado!BU26</f>
        <v>1.953125E-3</v>
      </c>
      <c r="N28" s="155">
        <f>Tornado!BV26</f>
        <v>6.73828125E-2</v>
      </c>
      <c r="O28" s="165">
        <f>Tornado!BW26</f>
        <v>0</v>
      </c>
      <c r="P28" s="165">
        <f t="shared" si="0"/>
        <v>1.8108360000000007E-2</v>
      </c>
      <c r="R28" s="290">
        <f t="shared" si="1"/>
        <v>2.6243999999997492E-4</v>
      </c>
      <c r="S28" s="160">
        <f t="shared" si="2"/>
        <v>0.74884491999999991</v>
      </c>
      <c r="T28" s="165">
        <f t="shared" si="3"/>
        <v>0</v>
      </c>
    </row>
    <row r="29" spans="13:20">
      <c r="M29" s="160">
        <f>Tornado!BU27</f>
        <v>3.90625E-3</v>
      </c>
      <c r="N29" s="155">
        <f>Tornado!BV27</f>
        <v>7.12890625E-2</v>
      </c>
      <c r="O29" s="165">
        <f>Tornado!BW27</f>
        <v>0</v>
      </c>
      <c r="P29" s="165">
        <f t="shared" si="0"/>
        <v>1.9158120000000008E-2</v>
      </c>
      <c r="R29" s="290">
        <f t="shared" si="1"/>
        <v>5.2488000000006085E-4</v>
      </c>
      <c r="S29" s="160">
        <f t="shared" si="2"/>
        <v>0.74936979999999997</v>
      </c>
      <c r="T29" s="165">
        <f t="shared" si="3"/>
        <v>0</v>
      </c>
    </row>
    <row r="30" spans="13:20">
      <c r="M30" s="160">
        <f>Tornado!BU28</f>
        <v>1.953125E-3</v>
      </c>
      <c r="N30" s="155">
        <f>Tornado!BV28</f>
        <v>7.32421875E-2</v>
      </c>
      <c r="O30" s="165">
        <f>Tornado!BW28</f>
        <v>0</v>
      </c>
      <c r="P30" s="165">
        <f t="shared" si="0"/>
        <v>1.968300000000001E-2</v>
      </c>
      <c r="R30" s="290">
        <f t="shared" si="1"/>
        <v>1.0497600000000107E-3</v>
      </c>
      <c r="S30" s="160">
        <f t="shared" si="2"/>
        <v>0.75041955999999999</v>
      </c>
      <c r="T30" s="165">
        <f t="shared" si="3"/>
        <v>0</v>
      </c>
    </row>
    <row r="31" spans="13:20">
      <c r="M31" s="160">
        <f>Tornado!BU29</f>
        <v>9.765625E-4</v>
      </c>
      <c r="N31" s="155">
        <f>Tornado!BV29</f>
        <v>7.421875E-2</v>
      </c>
      <c r="O31" s="165">
        <f>Tornado!BW29</f>
        <v>0</v>
      </c>
      <c r="P31" s="165">
        <f t="shared" si="0"/>
        <v>1.9945440000000009E-2</v>
      </c>
      <c r="R31" s="290">
        <f t="shared" si="1"/>
        <v>5.2487999999994983E-4</v>
      </c>
      <c r="S31" s="160">
        <f t="shared" si="2"/>
        <v>0.75094443999999994</v>
      </c>
      <c r="T31" s="165">
        <f t="shared" si="3"/>
        <v>0</v>
      </c>
    </row>
    <row r="32" spans="13:20">
      <c r="M32" s="160">
        <f>Tornado!BU30</f>
        <v>1.953125E-3</v>
      </c>
      <c r="N32" s="155">
        <f>Tornado!BV30</f>
        <v>7.6171875E-2</v>
      </c>
      <c r="O32" s="165">
        <f>Tornado!BW30</f>
        <v>0</v>
      </c>
      <c r="P32" s="165">
        <f t="shared" si="0"/>
        <v>2.0470320000000011E-2</v>
      </c>
      <c r="R32" s="290">
        <f t="shared" si="1"/>
        <v>2.6243999999997492E-4</v>
      </c>
      <c r="S32" s="160">
        <f t="shared" si="2"/>
        <v>0.75120687999999991</v>
      </c>
      <c r="T32" s="165">
        <f t="shared" si="3"/>
        <v>0</v>
      </c>
    </row>
    <row r="33" spans="13:20">
      <c r="M33" s="160">
        <f>Tornado!BU31</f>
        <v>9.765625E-4</v>
      </c>
      <c r="N33" s="155">
        <f>Tornado!BV31</f>
        <v>7.71484375E-2</v>
      </c>
      <c r="O33" s="165">
        <f>Tornado!BW31</f>
        <v>0</v>
      </c>
      <c r="P33" s="165">
        <f t="shared" si="0"/>
        <v>2.073276000000001E-2</v>
      </c>
      <c r="R33" s="290">
        <f t="shared" si="1"/>
        <v>5.2488000000006085E-4</v>
      </c>
      <c r="S33" s="160">
        <f t="shared" si="2"/>
        <v>0.75173175999999997</v>
      </c>
      <c r="T33" s="165">
        <f t="shared" si="3"/>
        <v>0</v>
      </c>
    </row>
    <row r="34" spans="13:20">
      <c r="M34" s="160">
        <f>Tornado!BU32</f>
        <v>1.953125E-3</v>
      </c>
      <c r="N34" s="155">
        <f>Tornado!BV32</f>
        <v>7.91015625E-2</v>
      </c>
      <c r="O34" s="165">
        <f>Tornado!BW32</f>
        <v>0</v>
      </c>
      <c r="P34" s="165">
        <f t="shared" si="0"/>
        <v>2.1257640000000012E-2</v>
      </c>
      <c r="R34" s="290">
        <f t="shared" si="1"/>
        <v>2.6243999999997492E-4</v>
      </c>
      <c r="S34" s="160">
        <f t="shared" si="2"/>
        <v>0.75199419999999995</v>
      </c>
      <c r="T34" s="165">
        <f t="shared" si="3"/>
        <v>0</v>
      </c>
    </row>
    <row r="35" spans="13:20">
      <c r="M35" s="160">
        <f>Tornado!BU33</f>
        <v>3.90625E-3</v>
      </c>
      <c r="N35" s="155">
        <f>Tornado!BV33</f>
        <v>8.30078125E-2</v>
      </c>
      <c r="O35" s="165">
        <f>Tornado!BW33</f>
        <v>0</v>
      </c>
      <c r="P35" s="165">
        <f t="shared" si="0"/>
        <v>2.2307400000000012E-2</v>
      </c>
      <c r="R35" s="290">
        <f t="shared" si="1"/>
        <v>5.2487999999994983E-4</v>
      </c>
      <c r="S35" s="160">
        <f t="shared" si="2"/>
        <v>0.7525190799999999</v>
      </c>
      <c r="T35" s="165">
        <f t="shared" si="3"/>
        <v>0</v>
      </c>
    </row>
    <row r="36" spans="13:20">
      <c r="M36" s="160">
        <f>Tornado!BU34</f>
        <v>1.953125E-3</v>
      </c>
      <c r="N36" s="155">
        <f>Tornado!BV34</f>
        <v>8.49609375E-2</v>
      </c>
      <c r="O36" s="165">
        <f>Tornado!BW34</f>
        <v>0</v>
      </c>
      <c r="P36" s="165">
        <f t="shared" si="0"/>
        <v>2.283228000000001E-2</v>
      </c>
      <c r="R36" s="290">
        <f t="shared" si="1"/>
        <v>1.0497600000000107E-3</v>
      </c>
      <c r="S36" s="160">
        <f t="shared" si="2"/>
        <v>0.75356883999999991</v>
      </c>
      <c r="T36" s="165">
        <f t="shared" si="3"/>
        <v>0</v>
      </c>
    </row>
    <row r="37" spans="13:20">
      <c r="M37" s="160">
        <f>Tornado!BU35</f>
        <v>3.90625E-3</v>
      </c>
      <c r="N37" s="155">
        <f>Tornado!BV35</f>
        <v>8.88671875E-2</v>
      </c>
      <c r="O37" s="165">
        <f>Tornado!BW35</f>
        <v>0</v>
      </c>
      <c r="P37" s="165">
        <f t="shared" si="0"/>
        <v>2.3882040000000011E-2</v>
      </c>
      <c r="R37" s="290">
        <f t="shared" si="1"/>
        <v>5.2488000000006085E-4</v>
      </c>
      <c r="S37" s="160">
        <f t="shared" si="2"/>
        <v>0.75409371999999997</v>
      </c>
      <c r="T37" s="165">
        <f t="shared" si="3"/>
        <v>0</v>
      </c>
    </row>
    <row r="38" spans="13:20">
      <c r="M38" s="160">
        <f>Tornado!BU36</f>
        <v>7.8125E-3</v>
      </c>
      <c r="N38" s="155">
        <f>Tornado!BV36</f>
        <v>9.66796875E-2</v>
      </c>
      <c r="O38" s="165">
        <f>Tornado!BW36</f>
        <v>0</v>
      </c>
      <c r="P38" s="165">
        <f t="shared" si="0"/>
        <v>2.5981560000000011E-2</v>
      </c>
      <c r="R38" s="290">
        <f t="shared" si="1"/>
        <v>1.0497600000000107E-3</v>
      </c>
      <c r="S38" s="160">
        <f t="shared" si="2"/>
        <v>0.75514347999999998</v>
      </c>
      <c r="T38" s="165">
        <f t="shared" si="3"/>
        <v>0</v>
      </c>
    </row>
    <row r="39" spans="13:20">
      <c r="M39" s="160">
        <f>Tornado!BU37</f>
        <v>1.5625E-2</v>
      </c>
      <c r="N39" s="155">
        <f>Tornado!BV37</f>
        <v>0.1123046875</v>
      </c>
      <c r="O39" s="165">
        <f>Tornado!BW37</f>
        <v>0</v>
      </c>
      <c r="P39" s="165">
        <f t="shared" si="0"/>
        <v>3.0180600000000016E-2</v>
      </c>
      <c r="R39" s="290">
        <f t="shared" si="1"/>
        <v>2.0995199999999103E-3</v>
      </c>
      <c r="S39" s="160">
        <f t="shared" si="2"/>
        <v>0.75724299999999989</v>
      </c>
      <c r="T39" s="165">
        <f t="shared" si="3"/>
        <v>0</v>
      </c>
    </row>
    <row r="40" spans="13:20">
      <c r="M40" s="160">
        <f>Tornado!BU38</f>
        <v>7.8125E-3</v>
      </c>
      <c r="N40" s="155">
        <f>Tornado!BV38</f>
        <v>0.1201171875</v>
      </c>
      <c r="O40" s="165">
        <f>Tornado!BW38</f>
        <v>0</v>
      </c>
      <c r="P40" s="165">
        <f t="shared" si="0"/>
        <v>3.2280120000000016E-2</v>
      </c>
      <c r="R40" s="290">
        <f t="shared" si="1"/>
        <v>4.1990400000000427E-3</v>
      </c>
      <c r="S40" s="160">
        <f t="shared" si="2"/>
        <v>0.76144203999999993</v>
      </c>
      <c r="T40" s="165">
        <f t="shared" si="3"/>
        <v>0</v>
      </c>
    </row>
    <row r="41" spans="13:20">
      <c r="M41" s="160">
        <f>Tornado!BU39</f>
        <v>3.90625E-3</v>
      </c>
      <c r="N41" s="155">
        <f>Tornado!BV39</f>
        <v>0.1240234375</v>
      </c>
      <c r="O41" s="165">
        <f>Tornado!BW39</f>
        <v>0</v>
      </c>
      <c r="P41" s="165">
        <f t="shared" si="0"/>
        <v>3.3329880000000013E-2</v>
      </c>
      <c r="R41" s="290">
        <f t="shared" si="1"/>
        <v>2.0995200000000214E-3</v>
      </c>
      <c r="S41" s="160">
        <f t="shared" si="2"/>
        <v>0.76354155999999995</v>
      </c>
      <c r="T41" s="165">
        <f t="shared" si="3"/>
        <v>0</v>
      </c>
    </row>
    <row r="42" spans="13:20">
      <c r="M42" s="160">
        <f>Tornado!BU40</f>
        <v>1.953125E-3</v>
      </c>
      <c r="N42" s="155">
        <f>Tornado!BV40</f>
        <v>0.1259765625</v>
      </c>
      <c r="O42" s="165">
        <f>Tornado!BW40</f>
        <v>0</v>
      </c>
      <c r="P42" s="165">
        <f t="shared" si="0"/>
        <v>3.3854760000000018E-2</v>
      </c>
      <c r="R42" s="290">
        <f t="shared" si="1"/>
        <v>1.0497600000000107E-3</v>
      </c>
      <c r="S42" s="160">
        <f t="shared" si="2"/>
        <v>0.76459131999999996</v>
      </c>
      <c r="T42" s="165">
        <f t="shared" si="3"/>
        <v>0</v>
      </c>
    </row>
    <row r="43" spans="13:20">
      <c r="M43" s="160">
        <f>Tornado!BU41</f>
        <v>3.90625E-3</v>
      </c>
      <c r="N43" s="155">
        <f>Tornado!BV41</f>
        <v>0.1298828125</v>
      </c>
      <c r="O43" s="165">
        <f>Tornado!BW41</f>
        <v>0</v>
      </c>
      <c r="P43" s="165">
        <f t="shared" si="0"/>
        <v>3.4904520000000015E-2</v>
      </c>
      <c r="R43" s="290">
        <f t="shared" si="1"/>
        <v>5.2487999999994983E-4</v>
      </c>
      <c r="S43" s="160">
        <f t="shared" si="2"/>
        <v>0.76511619999999991</v>
      </c>
      <c r="T43" s="165">
        <f t="shared" si="3"/>
        <v>0</v>
      </c>
    </row>
    <row r="44" spans="13:20">
      <c r="M44" s="160">
        <f>Tornado!BU42</f>
        <v>7.8125E-3</v>
      </c>
      <c r="N44" s="155">
        <f>Tornado!BV42</f>
        <v>0.1376953125</v>
      </c>
      <c r="O44" s="165">
        <f>Tornado!BW42</f>
        <v>0</v>
      </c>
      <c r="P44" s="165">
        <f t="shared" si="0"/>
        <v>3.7004040000000016E-2</v>
      </c>
      <c r="R44" s="290">
        <f t="shared" si="1"/>
        <v>1.0497600000000107E-3</v>
      </c>
      <c r="S44" s="160">
        <f t="shared" si="2"/>
        <v>0.76616595999999992</v>
      </c>
      <c r="T44" s="165">
        <f t="shared" si="3"/>
        <v>0</v>
      </c>
    </row>
    <row r="45" spans="13:20">
      <c r="M45" s="160">
        <f>Tornado!BU43</f>
        <v>1.5625E-2</v>
      </c>
      <c r="N45" s="155">
        <f>Tornado!BV43</f>
        <v>0.1533203125</v>
      </c>
      <c r="O45" s="165">
        <f>Tornado!BW43</f>
        <v>0</v>
      </c>
      <c r="P45" s="165">
        <f t="shared" si="0"/>
        <v>4.1203080000000017E-2</v>
      </c>
      <c r="R45" s="290">
        <f t="shared" si="1"/>
        <v>2.0995200000000214E-3</v>
      </c>
      <c r="S45" s="160">
        <f t="shared" si="2"/>
        <v>0.76826547999999995</v>
      </c>
      <c r="T45" s="165">
        <f t="shared" si="3"/>
        <v>0</v>
      </c>
    </row>
    <row r="46" spans="13:20">
      <c r="M46" s="160">
        <f>Tornado!BU44</f>
        <v>7.8125E-3</v>
      </c>
      <c r="N46" s="155">
        <f>Tornado!BV44</f>
        <v>0.1611328125</v>
      </c>
      <c r="O46" s="165">
        <f>Tornado!BW44</f>
        <v>0</v>
      </c>
      <c r="P46" s="165">
        <f t="shared" si="0"/>
        <v>4.3302600000000017E-2</v>
      </c>
      <c r="R46" s="290">
        <f t="shared" si="1"/>
        <v>4.1990400000000427E-3</v>
      </c>
      <c r="S46" s="160">
        <f t="shared" si="2"/>
        <v>0.77246451999999999</v>
      </c>
      <c r="T46" s="165">
        <f t="shared" si="3"/>
        <v>0</v>
      </c>
    </row>
    <row r="47" spans="13:20">
      <c r="M47" s="160">
        <f>Tornado!BU45</f>
        <v>1.5625E-2</v>
      </c>
      <c r="N47" s="155">
        <f>Tornado!BV45</f>
        <v>0.1767578125</v>
      </c>
      <c r="O47" s="165">
        <f>Tornado!BW45</f>
        <v>0</v>
      </c>
      <c r="P47" s="165">
        <f t="shared" si="0"/>
        <v>4.7501640000000026E-2</v>
      </c>
      <c r="R47" s="290">
        <f t="shared" si="1"/>
        <v>2.0995199999999103E-3</v>
      </c>
      <c r="S47" s="160">
        <f t="shared" si="2"/>
        <v>0.7745640399999999</v>
      </c>
      <c r="T47" s="165">
        <f t="shared" si="3"/>
        <v>0</v>
      </c>
    </row>
    <row r="48" spans="13:20">
      <c r="M48" s="160">
        <f>Tornado!BU46</f>
        <v>7.8125E-3</v>
      </c>
      <c r="N48" s="155">
        <f>Tornado!BV46</f>
        <v>0.1845703125</v>
      </c>
      <c r="O48" s="165">
        <f>Tornado!BW46</f>
        <v>0</v>
      </c>
      <c r="P48" s="165">
        <f t="shared" si="0"/>
        <v>4.9601160000000026E-2</v>
      </c>
      <c r="R48" s="290">
        <f t="shared" si="1"/>
        <v>4.1990400000000427E-3</v>
      </c>
      <c r="S48" s="160">
        <f t="shared" si="2"/>
        <v>0.77876307999999994</v>
      </c>
      <c r="T48" s="165">
        <f t="shared" si="3"/>
        <v>0</v>
      </c>
    </row>
    <row r="49" spans="13:20">
      <c r="M49" s="160">
        <f>Tornado!BU47</f>
        <v>3.90625E-3</v>
      </c>
      <c r="N49" s="155">
        <f>Tornado!BV47</f>
        <v>0.1884765625</v>
      </c>
      <c r="O49" s="165">
        <f>Tornado!BW47</f>
        <v>0</v>
      </c>
      <c r="P49" s="165">
        <f t="shared" si="0"/>
        <v>5.0650920000000023E-2</v>
      </c>
      <c r="R49" s="290">
        <f t="shared" si="1"/>
        <v>2.0995200000000214E-3</v>
      </c>
      <c r="S49" s="160">
        <f t="shared" si="2"/>
        <v>0.78086259999999996</v>
      </c>
      <c r="T49" s="165">
        <f t="shared" si="3"/>
        <v>0</v>
      </c>
    </row>
    <row r="50" spans="13:20">
      <c r="M50" s="160">
        <f>Tornado!BU48</f>
        <v>7.8125E-3</v>
      </c>
      <c r="N50" s="155">
        <f>Tornado!BV48</f>
        <v>0.1962890625</v>
      </c>
      <c r="O50" s="165">
        <f>Tornado!BW48</f>
        <v>0</v>
      </c>
      <c r="P50" s="165">
        <f t="shared" si="0"/>
        <v>5.2750440000000023E-2</v>
      </c>
      <c r="R50" s="290">
        <f t="shared" si="1"/>
        <v>1.0497600000000107E-3</v>
      </c>
      <c r="S50" s="160">
        <f t="shared" si="2"/>
        <v>0.78191235999999997</v>
      </c>
      <c r="T50" s="165">
        <f t="shared" si="3"/>
        <v>0</v>
      </c>
    </row>
    <row r="51" spans="13:20">
      <c r="M51" s="160">
        <f>Tornado!BU49</f>
        <v>3.90625E-3</v>
      </c>
      <c r="N51" s="155">
        <f>Tornado!BV49</f>
        <v>0.2001953125</v>
      </c>
      <c r="O51" s="165">
        <f>Tornado!BW49</f>
        <v>0</v>
      </c>
      <c r="P51" s="165">
        <f t="shared" si="0"/>
        <v>5.3800200000000027E-2</v>
      </c>
      <c r="R51" s="290">
        <f t="shared" si="1"/>
        <v>2.0995200000000214E-3</v>
      </c>
      <c r="S51" s="160">
        <f t="shared" si="2"/>
        <v>0.78401187999999999</v>
      </c>
      <c r="T51" s="165">
        <f t="shared" si="3"/>
        <v>0</v>
      </c>
    </row>
    <row r="52" spans="13:20">
      <c r="M52" s="160">
        <f>Tornado!BU50</f>
        <v>7.8125E-3</v>
      </c>
      <c r="N52" s="155">
        <f>Tornado!BV50</f>
        <v>0.2080078125</v>
      </c>
      <c r="O52" s="165">
        <f>Tornado!BW50</f>
        <v>0</v>
      </c>
      <c r="P52" s="165">
        <f t="shared" si="0"/>
        <v>5.5899720000000028E-2</v>
      </c>
      <c r="R52" s="290">
        <f t="shared" si="1"/>
        <v>1.0497600000000107E-3</v>
      </c>
      <c r="S52" s="160">
        <f t="shared" si="2"/>
        <v>0.78506164000000001</v>
      </c>
      <c r="T52" s="165">
        <f t="shared" si="3"/>
        <v>0</v>
      </c>
    </row>
    <row r="53" spans="13:20">
      <c r="M53" s="160">
        <f>Tornado!BU51</f>
        <v>3.90625E-3</v>
      </c>
      <c r="N53" s="155">
        <f>Tornado!BV51</f>
        <v>0.2119140625</v>
      </c>
      <c r="O53" s="165">
        <f>Tornado!BW51</f>
        <v>0</v>
      </c>
      <c r="P53" s="165">
        <f t="shared" si="0"/>
        <v>5.6949480000000025E-2</v>
      </c>
      <c r="R53" s="290">
        <f t="shared" si="1"/>
        <v>2.0995199999999103E-3</v>
      </c>
      <c r="S53" s="160">
        <f t="shared" si="2"/>
        <v>0.78716115999999992</v>
      </c>
      <c r="T53" s="165">
        <f t="shared" si="3"/>
        <v>0</v>
      </c>
    </row>
    <row r="54" spans="13:20">
      <c r="M54" s="160">
        <f>Tornado!BU52</f>
        <v>7.8125E-3</v>
      </c>
      <c r="N54" s="155">
        <f>Tornado!BV52</f>
        <v>0.2197265625</v>
      </c>
      <c r="O54" s="165">
        <f>Tornado!BW52</f>
        <v>0</v>
      </c>
      <c r="P54" s="165">
        <f t="shared" si="0"/>
        <v>5.9049000000000025E-2</v>
      </c>
      <c r="R54" s="290">
        <f t="shared" si="1"/>
        <v>1.0497600000000107E-3</v>
      </c>
      <c r="S54" s="160">
        <f t="shared" si="2"/>
        <v>0.78821091999999993</v>
      </c>
      <c r="T54" s="165">
        <f t="shared" si="3"/>
        <v>0</v>
      </c>
    </row>
    <row r="55" spans="13:20">
      <c r="M55" s="160">
        <f>Tornado!BU53</f>
        <v>1.5625E-2</v>
      </c>
      <c r="N55" s="155">
        <f>Tornado!BV53</f>
        <v>0.2353515625</v>
      </c>
      <c r="O55" s="165">
        <f>Tornado!BW53</f>
        <v>0</v>
      </c>
      <c r="P55" s="165">
        <f t="shared" si="0"/>
        <v>6.3248040000000033E-2</v>
      </c>
      <c r="R55" s="290">
        <f t="shared" si="1"/>
        <v>2.0995200000000214E-3</v>
      </c>
      <c r="S55" s="160">
        <f t="shared" si="2"/>
        <v>0.79031043999999995</v>
      </c>
      <c r="T55" s="165">
        <f t="shared" si="3"/>
        <v>0</v>
      </c>
    </row>
    <row r="56" spans="13:20">
      <c r="M56" s="160">
        <f>Tornado!BU54</f>
        <v>7.8125E-3</v>
      </c>
      <c r="N56" s="155">
        <f>Tornado!BV54</f>
        <v>0.2431640625</v>
      </c>
      <c r="O56" s="165">
        <f>Tornado!BW54</f>
        <v>0</v>
      </c>
      <c r="P56" s="165">
        <f t="shared" si="0"/>
        <v>6.5347560000000027E-2</v>
      </c>
      <c r="R56" s="290">
        <f t="shared" si="1"/>
        <v>4.1990400000000427E-3</v>
      </c>
      <c r="S56" s="160">
        <f t="shared" si="2"/>
        <v>0.79450947999999999</v>
      </c>
      <c r="T56" s="165">
        <f t="shared" si="3"/>
        <v>0</v>
      </c>
    </row>
    <row r="57" spans="13:20">
      <c r="M57" s="160">
        <f>Tornado!BU55</f>
        <v>3.90625E-3</v>
      </c>
      <c r="N57" s="155">
        <f>Tornado!BV55</f>
        <v>0.2470703125</v>
      </c>
      <c r="O57" s="165">
        <f>Tornado!BW55</f>
        <v>0</v>
      </c>
      <c r="P57" s="165">
        <f t="shared" si="0"/>
        <v>6.6397320000000037E-2</v>
      </c>
      <c r="R57" s="290">
        <f t="shared" si="1"/>
        <v>2.0995199999999103E-3</v>
      </c>
      <c r="S57" s="160">
        <f t="shared" si="2"/>
        <v>0.7966089999999999</v>
      </c>
      <c r="T57" s="165">
        <f t="shared" si="3"/>
        <v>0</v>
      </c>
    </row>
    <row r="58" spans="13:20">
      <c r="M58" s="160">
        <f>Tornado!BU56</f>
        <v>7.8125E-3</v>
      </c>
      <c r="N58" s="155">
        <f>Tornado!BV56</f>
        <v>0.2548828125</v>
      </c>
      <c r="O58" s="165">
        <f>Tornado!BW56</f>
        <v>0</v>
      </c>
      <c r="P58" s="165">
        <f t="shared" si="0"/>
        <v>6.8496840000000031E-2</v>
      </c>
      <c r="R58" s="290">
        <f t="shared" si="1"/>
        <v>1.0497600000001217E-3</v>
      </c>
      <c r="S58" s="160">
        <f t="shared" si="2"/>
        <v>0.79765876000000002</v>
      </c>
      <c r="T58" s="165">
        <f t="shared" si="3"/>
        <v>0</v>
      </c>
    </row>
    <row r="59" spans="13:20">
      <c r="M59" s="160">
        <f>Tornado!BU57</f>
        <v>3.90625E-3</v>
      </c>
      <c r="N59" s="155">
        <f>Tornado!BV57</f>
        <v>0.2587890625</v>
      </c>
      <c r="O59" s="165">
        <f>Tornado!BW57</f>
        <v>0</v>
      </c>
      <c r="P59" s="165">
        <f t="shared" si="0"/>
        <v>6.9546600000000028E-2</v>
      </c>
      <c r="R59" s="290">
        <f t="shared" si="1"/>
        <v>2.0995199999999103E-3</v>
      </c>
      <c r="S59" s="160">
        <f t="shared" si="2"/>
        <v>0.79975827999999993</v>
      </c>
      <c r="T59" s="165">
        <f t="shared" si="3"/>
        <v>0</v>
      </c>
    </row>
    <row r="60" spans="13:20">
      <c r="M60" s="160">
        <f>Tornado!BU58</f>
        <v>7.8125E-3</v>
      </c>
      <c r="N60" s="155">
        <f>Tornado!BV58</f>
        <v>0.2666015625</v>
      </c>
      <c r="O60" s="165">
        <f>Tornado!BW58</f>
        <v>0</v>
      </c>
      <c r="P60" s="165">
        <f t="shared" si="0"/>
        <v>7.1646120000000035E-2</v>
      </c>
      <c r="R60" s="290">
        <f t="shared" si="1"/>
        <v>1.0497600000000107E-3</v>
      </c>
      <c r="S60" s="160">
        <f t="shared" si="2"/>
        <v>0.80080803999999994</v>
      </c>
      <c r="T60" s="165">
        <f t="shared" si="3"/>
        <v>0</v>
      </c>
    </row>
    <row r="61" spans="13:20">
      <c r="M61" s="160">
        <f>Tornado!BU59</f>
        <v>3.90625E-3</v>
      </c>
      <c r="N61" s="155">
        <f>Tornado!BV59</f>
        <v>0.2705078125</v>
      </c>
      <c r="O61" s="165">
        <f>Tornado!BW59</f>
        <v>0</v>
      </c>
      <c r="P61" s="165">
        <f t="shared" si="0"/>
        <v>7.2695880000000032E-2</v>
      </c>
      <c r="R61" s="290">
        <f t="shared" si="1"/>
        <v>2.0995200000000214E-3</v>
      </c>
      <c r="S61" s="160">
        <f t="shared" si="2"/>
        <v>0.80290755999999996</v>
      </c>
      <c r="T61" s="165">
        <f t="shared" si="3"/>
        <v>0</v>
      </c>
    </row>
    <row r="62" spans="13:20">
      <c r="M62" s="160">
        <f>Tornado!BU60</f>
        <v>1.953125E-3</v>
      </c>
      <c r="N62" s="155">
        <f>Tornado!BV60</f>
        <v>0.2724609375</v>
      </c>
      <c r="O62" s="165">
        <f>Tornado!BW60</f>
        <v>0</v>
      </c>
      <c r="P62" s="165">
        <f t="shared" si="0"/>
        <v>7.3220760000000037E-2</v>
      </c>
      <c r="R62" s="290">
        <f t="shared" si="1"/>
        <v>1.0497600000000107E-3</v>
      </c>
      <c r="S62" s="160">
        <f t="shared" si="2"/>
        <v>0.80395731999999998</v>
      </c>
      <c r="T62" s="165">
        <f t="shared" si="3"/>
        <v>0</v>
      </c>
    </row>
    <row r="63" spans="13:20">
      <c r="M63" s="160">
        <f>Tornado!BU61</f>
        <v>3.90625E-3</v>
      </c>
      <c r="N63" s="155">
        <f>Tornado!BV61</f>
        <v>0.2763671875</v>
      </c>
      <c r="O63" s="165">
        <f>Tornado!BW61</f>
        <v>0</v>
      </c>
      <c r="P63" s="165">
        <f t="shared" si="0"/>
        <v>7.4270520000000034E-2</v>
      </c>
      <c r="R63" s="290">
        <f t="shared" si="1"/>
        <v>5.2487999999994983E-4</v>
      </c>
      <c r="S63" s="160">
        <f t="shared" si="2"/>
        <v>0.80448219999999993</v>
      </c>
      <c r="T63" s="165">
        <f t="shared" si="3"/>
        <v>0</v>
      </c>
    </row>
    <row r="64" spans="13:20">
      <c r="M64" s="160">
        <f>Tornado!BU62</f>
        <v>1.953125E-3</v>
      </c>
      <c r="N64" s="155">
        <f>Tornado!BV62</f>
        <v>0.2783203125</v>
      </c>
      <c r="O64" s="165">
        <f>Tornado!BW62</f>
        <v>0</v>
      </c>
      <c r="P64" s="165">
        <f t="shared" si="0"/>
        <v>7.479540000000004E-2</v>
      </c>
      <c r="R64" s="290">
        <f t="shared" si="1"/>
        <v>1.0497600000000107E-3</v>
      </c>
      <c r="S64" s="160">
        <f t="shared" si="2"/>
        <v>0.80553195999999994</v>
      </c>
      <c r="T64" s="165">
        <f t="shared" si="3"/>
        <v>0</v>
      </c>
    </row>
    <row r="65" spans="13:20">
      <c r="M65" s="160">
        <f>Tornado!BU63</f>
        <v>3.90625E-3</v>
      </c>
      <c r="N65" s="155">
        <f>Tornado!BV63</f>
        <v>0.2822265625</v>
      </c>
      <c r="O65" s="165">
        <f>Tornado!BW63</f>
        <v>0</v>
      </c>
      <c r="P65" s="165">
        <f t="shared" si="0"/>
        <v>7.5845160000000036E-2</v>
      </c>
      <c r="R65" s="290">
        <f t="shared" si="1"/>
        <v>5.2488000000006085E-4</v>
      </c>
      <c r="S65" s="160">
        <f t="shared" si="2"/>
        <v>0.80605684</v>
      </c>
      <c r="T65" s="165">
        <f t="shared" si="3"/>
        <v>0</v>
      </c>
    </row>
    <row r="66" spans="13:20">
      <c r="M66" s="160">
        <f>Tornado!BU64</f>
        <v>1.953125E-3</v>
      </c>
      <c r="N66" s="155">
        <f>Tornado!BV64</f>
        <v>0.2841796875</v>
      </c>
      <c r="O66" s="165">
        <f>Tornado!BW64</f>
        <v>0</v>
      </c>
      <c r="P66" s="165">
        <f t="shared" si="0"/>
        <v>7.6370040000000042E-2</v>
      </c>
      <c r="R66" s="290">
        <f t="shared" si="1"/>
        <v>1.0497600000000107E-3</v>
      </c>
      <c r="S66" s="160">
        <f t="shared" si="2"/>
        <v>0.80710660000000001</v>
      </c>
      <c r="T66" s="165">
        <f t="shared" si="3"/>
        <v>0</v>
      </c>
    </row>
    <row r="67" spans="13:20">
      <c r="M67" s="160">
        <f>Tornado!BU65</f>
        <v>9.765625E-4</v>
      </c>
      <c r="N67" s="155">
        <f>Tornado!BV65</f>
        <v>0.28515625</v>
      </c>
      <c r="O67" s="165">
        <f>Tornado!BW65</f>
        <v>0</v>
      </c>
      <c r="P67" s="165">
        <f t="shared" si="0"/>
        <v>7.6632480000000031E-2</v>
      </c>
      <c r="R67" s="290">
        <f t="shared" si="1"/>
        <v>5.2487999999994983E-4</v>
      </c>
      <c r="S67" s="160">
        <f t="shared" si="2"/>
        <v>0.80763147999999996</v>
      </c>
      <c r="T67" s="165">
        <f t="shared" si="3"/>
        <v>0</v>
      </c>
    </row>
    <row r="68" spans="13:20">
      <c r="M68" s="160">
        <f>Tornado!BU66</f>
        <v>1.953125E-3</v>
      </c>
      <c r="N68" s="155">
        <f>Tornado!BV66</f>
        <v>0.287109375</v>
      </c>
      <c r="O68" s="165">
        <f>Tornado!BW66</f>
        <v>0</v>
      </c>
      <c r="P68" s="165">
        <f t="shared" si="0"/>
        <v>7.7157360000000036E-2</v>
      </c>
      <c r="R68" s="290">
        <f t="shared" si="1"/>
        <v>2.6243999999997492E-4</v>
      </c>
      <c r="S68" s="160">
        <f t="shared" si="2"/>
        <v>0.80789391999999993</v>
      </c>
      <c r="T68" s="165">
        <f t="shared" si="3"/>
        <v>0</v>
      </c>
    </row>
    <row r="69" spans="13:20">
      <c r="M69" s="160">
        <f>Tornado!BU67</f>
        <v>9.765625E-4</v>
      </c>
      <c r="N69" s="155">
        <f>Tornado!BV67</f>
        <v>0.2880859375</v>
      </c>
      <c r="O69" s="165">
        <f>Tornado!BW67</f>
        <v>0</v>
      </c>
      <c r="P69" s="165">
        <f t="shared" si="0"/>
        <v>7.7419800000000039E-2</v>
      </c>
      <c r="R69" s="290">
        <f t="shared" si="1"/>
        <v>5.2488000000006085E-4</v>
      </c>
      <c r="S69" s="160">
        <f t="shared" si="2"/>
        <v>0.80841879999999999</v>
      </c>
      <c r="T69" s="165">
        <f t="shared" si="3"/>
        <v>0</v>
      </c>
    </row>
    <row r="70" spans="13:20">
      <c r="M70" s="160">
        <f>Tornado!BU68</f>
        <v>1.953125E-3</v>
      </c>
      <c r="N70" s="155">
        <f>Tornado!BV68</f>
        <v>0.2900390625</v>
      </c>
      <c r="O70" s="165">
        <f>Tornado!BW68</f>
        <v>0</v>
      </c>
      <c r="P70" s="165">
        <f t="shared" si="0"/>
        <v>7.794468000000003E-2</v>
      </c>
      <c r="R70" s="290">
        <f t="shared" si="1"/>
        <v>2.6243999999997492E-4</v>
      </c>
      <c r="S70" s="160">
        <f t="shared" si="2"/>
        <v>0.80868123999999997</v>
      </c>
      <c r="T70" s="165">
        <f t="shared" si="3"/>
        <v>0</v>
      </c>
    </row>
    <row r="71" spans="13:20">
      <c r="M71" s="160">
        <f>Tornado!BU69</f>
        <v>9.765625E-4</v>
      </c>
      <c r="N71" s="155">
        <f>Tornado!BV69</f>
        <v>0.291015625</v>
      </c>
      <c r="O71" s="165">
        <f>Tornado!BW69</f>
        <v>0</v>
      </c>
      <c r="P71" s="165">
        <f t="shared" ref="P71:P134" si="4">pCrossChasm_total * N71</f>
        <v>7.8207120000000033E-2</v>
      </c>
      <c r="R71" s="290">
        <f t="shared" si="1"/>
        <v>5.2487999999994983E-4</v>
      </c>
      <c r="S71" s="160">
        <f t="shared" si="2"/>
        <v>0.80920611999999992</v>
      </c>
      <c r="T71" s="165">
        <f t="shared" si="3"/>
        <v>0</v>
      </c>
    </row>
    <row r="72" spans="13:20">
      <c r="M72" s="160">
        <f>Tornado!BU70</f>
        <v>1.953125E-3</v>
      </c>
      <c r="N72" s="155">
        <f>Tornado!BV70</f>
        <v>0.29296875</v>
      </c>
      <c r="O72" s="165">
        <f>Tornado!BW70</f>
        <v>0</v>
      </c>
      <c r="P72" s="165">
        <f t="shared" si="4"/>
        <v>7.8732000000000038E-2</v>
      </c>
      <c r="R72" s="290">
        <f t="shared" ref="R72:R135" si="5">S72-S71</f>
        <v>2.6244000000008594E-4</v>
      </c>
      <c r="S72" s="160">
        <f t="shared" si="2"/>
        <v>0.80946856</v>
      </c>
      <c r="T72" s="165">
        <f t="shared" si="3"/>
        <v>0</v>
      </c>
    </row>
    <row r="73" spans="13:20">
      <c r="M73" s="160">
        <f>Tornado!BU71</f>
        <v>3.90625E-3</v>
      </c>
      <c r="N73" s="155">
        <f>Tornado!BV71</f>
        <v>0.296875</v>
      </c>
      <c r="O73" s="165">
        <f>Tornado!BW71</f>
        <v>0</v>
      </c>
      <c r="P73" s="165">
        <f t="shared" si="4"/>
        <v>7.9781760000000035E-2</v>
      </c>
      <c r="R73" s="290">
        <f t="shared" si="5"/>
        <v>5.2487999999994983E-4</v>
      </c>
      <c r="S73" s="160">
        <f t="shared" ref="S73:S136" si="6">P72+$S$7</f>
        <v>0.80999343999999995</v>
      </c>
      <c r="T73" s="165">
        <f t="shared" ref="T73:T136" si="7">O72</f>
        <v>0</v>
      </c>
    </row>
    <row r="74" spans="13:20">
      <c r="M74" s="160">
        <f>Tornado!BU72</f>
        <v>1.953125E-3</v>
      </c>
      <c r="N74" s="155">
        <f>Tornado!BV72</f>
        <v>0.298828125</v>
      </c>
      <c r="O74" s="165">
        <f>Tornado!BW72</f>
        <v>0</v>
      </c>
      <c r="P74" s="165">
        <f t="shared" si="4"/>
        <v>8.030664000000004E-2</v>
      </c>
      <c r="R74" s="290">
        <f t="shared" si="5"/>
        <v>1.0497600000000107E-3</v>
      </c>
      <c r="S74" s="160">
        <f t="shared" si="6"/>
        <v>0.81104319999999996</v>
      </c>
      <c r="T74" s="165">
        <f t="shared" si="7"/>
        <v>0</v>
      </c>
    </row>
    <row r="75" spans="13:20">
      <c r="M75" s="160">
        <f>Tornado!BU73</f>
        <v>3.90625E-3</v>
      </c>
      <c r="N75" s="155">
        <f>Tornado!BV73</f>
        <v>0.302734375</v>
      </c>
      <c r="O75" s="165">
        <f>Tornado!BW73</f>
        <v>0</v>
      </c>
      <c r="P75" s="165">
        <f t="shared" si="4"/>
        <v>8.1356400000000037E-2</v>
      </c>
      <c r="R75" s="290">
        <f t="shared" si="5"/>
        <v>5.2488000000006085E-4</v>
      </c>
      <c r="S75" s="160">
        <f t="shared" si="6"/>
        <v>0.81156808000000003</v>
      </c>
      <c r="T75" s="165">
        <f t="shared" si="7"/>
        <v>0</v>
      </c>
    </row>
    <row r="76" spans="13:20">
      <c r="M76" s="160">
        <f>Tornado!BU74</f>
        <v>1.953125E-3</v>
      </c>
      <c r="N76" s="155">
        <f>Tornado!BV74</f>
        <v>0.3046875</v>
      </c>
      <c r="O76" s="165">
        <f>Tornado!BW74</f>
        <v>0</v>
      </c>
      <c r="P76" s="165">
        <f t="shared" si="4"/>
        <v>8.1881280000000042E-2</v>
      </c>
      <c r="R76" s="290">
        <f t="shared" si="5"/>
        <v>1.0497599999998997E-3</v>
      </c>
      <c r="S76" s="160">
        <f t="shared" si="6"/>
        <v>0.81261783999999992</v>
      </c>
      <c r="T76" s="165">
        <f t="shared" si="7"/>
        <v>0</v>
      </c>
    </row>
    <row r="77" spans="13:20">
      <c r="M77" s="160">
        <f>Tornado!BU75</f>
        <v>3.90625E-3</v>
      </c>
      <c r="N77" s="155">
        <f>Tornado!BV75</f>
        <v>0.30859375</v>
      </c>
      <c r="O77" s="165">
        <f>Tornado!BW75</f>
        <v>0</v>
      </c>
      <c r="P77" s="165">
        <f t="shared" si="4"/>
        <v>8.2931040000000039E-2</v>
      </c>
      <c r="R77" s="290">
        <f t="shared" si="5"/>
        <v>5.2488000000006085E-4</v>
      </c>
      <c r="S77" s="160">
        <f t="shared" si="6"/>
        <v>0.81314271999999999</v>
      </c>
      <c r="T77" s="165">
        <f t="shared" si="7"/>
        <v>0</v>
      </c>
    </row>
    <row r="78" spans="13:20">
      <c r="M78" s="160">
        <f>Tornado!BU76</f>
        <v>1.953125E-3</v>
      </c>
      <c r="N78" s="155">
        <f>Tornado!BV76</f>
        <v>0.310546875</v>
      </c>
      <c r="O78" s="165">
        <f>Tornado!BW76</f>
        <v>0</v>
      </c>
      <c r="P78" s="165">
        <f t="shared" si="4"/>
        <v>8.3455920000000045E-2</v>
      </c>
      <c r="R78" s="290">
        <f t="shared" si="5"/>
        <v>1.0497600000000107E-3</v>
      </c>
      <c r="S78" s="160">
        <f t="shared" si="6"/>
        <v>0.81419248</v>
      </c>
      <c r="T78" s="165">
        <f t="shared" si="7"/>
        <v>0</v>
      </c>
    </row>
    <row r="79" spans="13:20">
      <c r="M79" s="160">
        <f>Tornado!BU77</f>
        <v>9.765625E-4</v>
      </c>
      <c r="N79" s="155">
        <f>Tornado!BV77</f>
        <v>0.3115234375</v>
      </c>
      <c r="O79" s="165">
        <f>Tornado!BW77</f>
        <v>0</v>
      </c>
      <c r="P79" s="165">
        <f t="shared" si="4"/>
        <v>8.3718360000000033E-2</v>
      </c>
      <c r="R79" s="290">
        <f t="shared" si="5"/>
        <v>5.2487999999994983E-4</v>
      </c>
      <c r="S79" s="160">
        <f t="shared" si="6"/>
        <v>0.81471735999999995</v>
      </c>
      <c r="T79" s="165">
        <f t="shared" si="7"/>
        <v>0</v>
      </c>
    </row>
    <row r="80" spans="13:20">
      <c r="M80" s="160">
        <f>Tornado!BU78</f>
        <v>1.953125E-3</v>
      </c>
      <c r="N80" s="155">
        <f>Tornado!BV78</f>
        <v>0.3134765625</v>
      </c>
      <c r="O80" s="165">
        <f>Tornado!BW78</f>
        <v>0</v>
      </c>
      <c r="P80" s="165">
        <f t="shared" si="4"/>
        <v>8.4243240000000039E-2</v>
      </c>
      <c r="R80" s="290">
        <f t="shared" si="5"/>
        <v>2.6243999999997492E-4</v>
      </c>
      <c r="S80" s="160">
        <f t="shared" si="6"/>
        <v>0.81497979999999992</v>
      </c>
      <c r="T80" s="165">
        <f t="shared" si="7"/>
        <v>0</v>
      </c>
    </row>
    <row r="81" spans="13:20">
      <c r="M81" s="160">
        <f>Tornado!BU79</f>
        <v>9.765625E-4</v>
      </c>
      <c r="N81" s="155">
        <f>Tornado!BV79</f>
        <v>0.314453125</v>
      </c>
      <c r="O81" s="165">
        <f>Tornado!BW79</f>
        <v>0</v>
      </c>
      <c r="P81" s="165">
        <f t="shared" si="4"/>
        <v>8.4505680000000041E-2</v>
      </c>
      <c r="R81" s="290">
        <f t="shared" si="5"/>
        <v>5.2488000000006085E-4</v>
      </c>
      <c r="S81" s="160">
        <f t="shared" si="6"/>
        <v>0.81550467999999998</v>
      </c>
      <c r="T81" s="165">
        <f t="shared" si="7"/>
        <v>0</v>
      </c>
    </row>
    <row r="82" spans="13:20">
      <c r="M82" s="160">
        <f>Tornado!BU80</f>
        <v>1.953125E-3</v>
      </c>
      <c r="N82" s="155">
        <f>Tornado!BV80</f>
        <v>0.31640625</v>
      </c>
      <c r="O82" s="165">
        <f>Tornado!BW80</f>
        <v>0</v>
      </c>
      <c r="P82" s="165">
        <f t="shared" si="4"/>
        <v>8.5030560000000047E-2</v>
      </c>
      <c r="R82" s="290">
        <f t="shared" si="5"/>
        <v>2.6243999999997492E-4</v>
      </c>
      <c r="S82" s="160">
        <f t="shared" si="6"/>
        <v>0.81576711999999996</v>
      </c>
      <c r="T82" s="165">
        <f t="shared" si="7"/>
        <v>0</v>
      </c>
    </row>
    <row r="83" spans="13:20">
      <c r="M83" s="160">
        <f>Tornado!BU81</f>
        <v>3.90625E-3</v>
      </c>
      <c r="N83" s="155">
        <f>Tornado!BV81</f>
        <v>0.3203125</v>
      </c>
      <c r="O83" s="165">
        <f>Tornado!BW81</f>
        <v>0</v>
      </c>
      <c r="P83" s="165">
        <f t="shared" si="4"/>
        <v>8.6080320000000043E-2</v>
      </c>
      <c r="R83" s="290">
        <f t="shared" si="5"/>
        <v>5.2488000000006085E-4</v>
      </c>
      <c r="S83" s="160">
        <f t="shared" si="6"/>
        <v>0.81629200000000002</v>
      </c>
      <c r="T83" s="165">
        <f t="shared" si="7"/>
        <v>0</v>
      </c>
    </row>
    <row r="84" spans="13:20">
      <c r="M84" s="160">
        <f>Tornado!BU82</f>
        <v>1.953125E-3</v>
      </c>
      <c r="N84" s="155">
        <f>Tornado!BV82</f>
        <v>0.322265625</v>
      </c>
      <c r="O84" s="165">
        <f>Tornado!BW82</f>
        <v>0</v>
      </c>
      <c r="P84" s="165">
        <f t="shared" si="4"/>
        <v>8.6605200000000035E-2</v>
      </c>
      <c r="R84" s="290">
        <f t="shared" si="5"/>
        <v>1.0497599999998997E-3</v>
      </c>
      <c r="S84" s="160">
        <f t="shared" si="6"/>
        <v>0.81734175999999992</v>
      </c>
      <c r="T84" s="165">
        <f t="shared" si="7"/>
        <v>0</v>
      </c>
    </row>
    <row r="85" spans="13:20">
      <c r="M85" s="160">
        <f>Tornado!BU83</f>
        <v>9.765625E-4</v>
      </c>
      <c r="N85" s="155">
        <f>Tornado!BV83</f>
        <v>0.3232421875</v>
      </c>
      <c r="O85" s="165">
        <f>Tornado!BW83</f>
        <v>0</v>
      </c>
      <c r="P85" s="165">
        <f t="shared" si="4"/>
        <v>8.6867640000000038E-2</v>
      </c>
      <c r="R85" s="290">
        <f t="shared" si="5"/>
        <v>5.2488000000006085E-4</v>
      </c>
      <c r="S85" s="160">
        <f t="shared" si="6"/>
        <v>0.81786663999999998</v>
      </c>
      <c r="T85" s="165">
        <f t="shared" si="7"/>
        <v>0</v>
      </c>
    </row>
    <row r="86" spans="13:20">
      <c r="M86" s="160">
        <f>Tornado!BU84</f>
        <v>1.953125E-3</v>
      </c>
      <c r="N86" s="155">
        <f>Tornado!BV84</f>
        <v>0.3251953125</v>
      </c>
      <c r="O86" s="165">
        <f>Tornado!BW84</f>
        <v>0</v>
      </c>
      <c r="P86" s="165">
        <f t="shared" si="4"/>
        <v>8.7392520000000043E-2</v>
      </c>
      <c r="R86" s="290">
        <f t="shared" si="5"/>
        <v>2.6243999999997492E-4</v>
      </c>
      <c r="S86" s="160">
        <f t="shared" si="6"/>
        <v>0.81812907999999995</v>
      </c>
      <c r="T86" s="165">
        <f t="shared" si="7"/>
        <v>0</v>
      </c>
    </row>
    <row r="87" spans="13:20">
      <c r="M87" s="160">
        <f>Tornado!BU85</f>
        <v>9.765625E-4</v>
      </c>
      <c r="N87" s="155">
        <f>Tornado!BV85</f>
        <v>0.326171875</v>
      </c>
      <c r="O87" s="165">
        <f>Tornado!BW85</f>
        <v>0</v>
      </c>
      <c r="P87" s="165">
        <f t="shared" si="4"/>
        <v>8.7654960000000046E-2</v>
      </c>
      <c r="R87" s="290">
        <f t="shared" si="5"/>
        <v>5.2488000000006085E-4</v>
      </c>
      <c r="S87" s="160">
        <f t="shared" si="6"/>
        <v>0.81865396000000001</v>
      </c>
      <c r="T87" s="165">
        <f t="shared" si="7"/>
        <v>0</v>
      </c>
    </row>
    <row r="88" spans="13:20">
      <c r="M88" s="160">
        <f>Tornado!BU86</f>
        <v>1.953125E-3</v>
      </c>
      <c r="N88" s="155">
        <f>Tornado!BV86</f>
        <v>0.328125</v>
      </c>
      <c r="O88" s="165">
        <f>Tornado!BW86</f>
        <v>0</v>
      </c>
      <c r="P88" s="165">
        <f t="shared" si="4"/>
        <v>8.8179840000000037E-2</v>
      </c>
      <c r="R88" s="290">
        <f t="shared" si="5"/>
        <v>2.6243999999997492E-4</v>
      </c>
      <c r="S88" s="160">
        <f t="shared" si="6"/>
        <v>0.81891639999999999</v>
      </c>
      <c r="T88" s="165">
        <f t="shared" si="7"/>
        <v>0</v>
      </c>
    </row>
    <row r="89" spans="13:20">
      <c r="M89" s="160">
        <f>Tornado!BU87</f>
        <v>9.765625E-4</v>
      </c>
      <c r="N89" s="155">
        <f>Tornado!BV87</f>
        <v>0.3291015625</v>
      </c>
      <c r="O89" s="165">
        <f>Tornado!BW87</f>
        <v>0</v>
      </c>
      <c r="P89" s="165">
        <f t="shared" si="4"/>
        <v>8.844228000000004E-2</v>
      </c>
      <c r="R89" s="290">
        <f t="shared" si="5"/>
        <v>5.2487999999994983E-4</v>
      </c>
      <c r="S89" s="160">
        <f t="shared" si="6"/>
        <v>0.81944127999999994</v>
      </c>
      <c r="T89" s="165">
        <f t="shared" si="7"/>
        <v>0</v>
      </c>
    </row>
    <row r="90" spans="13:20">
      <c r="M90" s="160">
        <f>Tornado!BU88</f>
        <v>1.953125E-3</v>
      </c>
      <c r="N90" s="155">
        <f>Tornado!BV88</f>
        <v>0.3310546875</v>
      </c>
      <c r="O90" s="165">
        <f>Tornado!BW88</f>
        <v>0</v>
      </c>
      <c r="P90" s="165">
        <f t="shared" si="4"/>
        <v>8.8967160000000045E-2</v>
      </c>
      <c r="R90" s="290">
        <f t="shared" si="5"/>
        <v>2.6243999999997492E-4</v>
      </c>
      <c r="S90" s="160">
        <f t="shared" si="6"/>
        <v>0.81970371999999991</v>
      </c>
      <c r="T90" s="165">
        <f t="shared" si="7"/>
        <v>0</v>
      </c>
    </row>
    <row r="91" spans="13:20">
      <c r="M91" s="160">
        <f>Tornado!BU89</f>
        <v>3.90625E-3</v>
      </c>
      <c r="N91" s="155">
        <f>Tornado!BV89</f>
        <v>0.3349609375</v>
      </c>
      <c r="O91" s="165">
        <f>Tornado!BW89</f>
        <v>0</v>
      </c>
      <c r="P91" s="165">
        <f t="shared" si="4"/>
        <v>9.0016920000000042E-2</v>
      </c>
      <c r="R91" s="290">
        <f t="shared" si="5"/>
        <v>5.2488000000006085E-4</v>
      </c>
      <c r="S91" s="160">
        <f t="shared" si="6"/>
        <v>0.82022859999999997</v>
      </c>
      <c r="T91" s="165">
        <f t="shared" si="7"/>
        <v>0</v>
      </c>
    </row>
    <row r="92" spans="13:20">
      <c r="M92" s="160">
        <f>Tornado!BU90</f>
        <v>7.8125E-3</v>
      </c>
      <c r="N92" s="155">
        <f>Tornado!BV90</f>
        <v>0.3427734375</v>
      </c>
      <c r="O92" s="165">
        <f>Tornado!BW90</f>
        <v>0</v>
      </c>
      <c r="P92" s="165">
        <f t="shared" si="4"/>
        <v>9.2116440000000049E-2</v>
      </c>
      <c r="R92" s="290">
        <f t="shared" si="5"/>
        <v>1.0497600000000107E-3</v>
      </c>
      <c r="S92" s="160">
        <f t="shared" si="6"/>
        <v>0.82127835999999999</v>
      </c>
      <c r="T92" s="165">
        <f t="shared" si="7"/>
        <v>0</v>
      </c>
    </row>
    <row r="93" spans="13:20">
      <c r="M93" s="160">
        <f>Tornado!BU91</f>
        <v>3.90625E-3</v>
      </c>
      <c r="N93" s="155">
        <f>Tornado!BV91</f>
        <v>0.3466796875</v>
      </c>
      <c r="O93" s="165">
        <f>Tornado!BW91</f>
        <v>0</v>
      </c>
      <c r="P93" s="165">
        <f t="shared" si="4"/>
        <v>9.3166200000000046E-2</v>
      </c>
      <c r="R93" s="290">
        <f t="shared" si="5"/>
        <v>2.0995200000000214E-3</v>
      </c>
      <c r="S93" s="160">
        <f t="shared" si="6"/>
        <v>0.82337788000000001</v>
      </c>
      <c r="T93" s="165">
        <f t="shared" si="7"/>
        <v>0</v>
      </c>
    </row>
    <row r="94" spans="13:20">
      <c r="M94" s="160">
        <f>Tornado!BU92</f>
        <v>1.953125E-3</v>
      </c>
      <c r="N94" s="155">
        <f>Tornado!BV92</f>
        <v>0.3486328125</v>
      </c>
      <c r="O94" s="165">
        <f>Tornado!BW92</f>
        <v>0</v>
      </c>
      <c r="P94" s="165">
        <f t="shared" si="4"/>
        <v>9.3691080000000038E-2</v>
      </c>
      <c r="R94" s="290">
        <f t="shared" si="5"/>
        <v>1.0497600000000107E-3</v>
      </c>
      <c r="S94" s="160">
        <f t="shared" si="6"/>
        <v>0.82442764000000002</v>
      </c>
      <c r="T94" s="165">
        <f t="shared" si="7"/>
        <v>0</v>
      </c>
    </row>
    <row r="95" spans="13:20">
      <c r="M95" s="160">
        <f>Tornado!BU93</f>
        <v>9.765625E-4</v>
      </c>
      <c r="N95" s="155">
        <f>Tornado!BV93</f>
        <v>0.349609375</v>
      </c>
      <c r="O95" s="165">
        <f>Tornado!BW93</f>
        <v>0</v>
      </c>
      <c r="P95" s="165">
        <f t="shared" si="4"/>
        <v>9.395352000000004E-2</v>
      </c>
      <c r="R95" s="290">
        <f t="shared" si="5"/>
        <v>5.2487999999994983E-4</v>
      </c>
      <c r="S95" s="160">
        <f t="shared" si="6"/>
        <v>0.82495251999999997</v>
      </c>
      <c r="T95" s="165">
        <f t="shared" si="7"/>
        <v>0</v>
      </c>
    </row>
    <row r="96" spans="13:20">
      <c r="M96" s="160">
        <f>Tornado!BU94</f>
        <v>1.953125E-3</v>
      </c>
      <c r="N96" s="155">
        <f>Tornado!BV94</f>
        <v>0.3515625</v>
      </c>
      <c r="O96" s="165">
        <f>Tornado!BW94</f>
        <v>0</v>
      </c>
      <c r="P96" s="165">
        <f t="shared" si="4"/>
        <v>9.4478400000000046E-2</v>
      </c>
      <c r="R96" s="290">
        <f t="shared" si="5"/>
        <v>2.6243999999997492E-4</v>
      </c>
      <c r="S96" s="160">
        <f t="shared" si="6"/>
        <v>0.82521495999999994</v>
      </c>
      <c r="T96" s="165">
        <f t="shared" si="7"/>
        <v>0</v>
      </c>
    </row>
    <row r="97" spans="13:20">
      <c r="M97" s="160">
        <f>Tornado!BU95</f>
        <v>3.90625E-3</v>
      </c>
      <c r="N97" s="155">
        <f>Tornado!BV95</f>
        <v>0.35546875</v>
      </c>
      <c r="O97" s="165">
        <f>Tornado!BW95</f>
        <v>0</v>
      </c>
      <c r="P97" s="165">
        <f t="shared" si="4"/>
        <v>9.5528160000000042E-2</v>
      </c>
      <c r="R97" s="290">
        <f t="shared" si="5"/>
        <v>5.2488000000006085E-4</v>
      </c>
      <c r="S97" s="160">
        <f t="shared" si="6"/>
        <v>0.82573984</v>
      </c>
      <c r="T97" s="165">
        <f t="shared" si="7"/>
        <v>0</v>
      </c>
    </row>
    <row r="98" spans="13:20">
      <c r="M98" s="160">
        <f>Tornado!BU96</f>
        <v>7.8125E-3</v>
      </c>
      <c r="N98" s="155">
        <f>Tornado!BV96</f>
        <v>0.36328125</v>
      </c>
      <c r="O98" s="165">
        <f>Tornado!BW96</f>
        <v>0</v>
      </c>
      <c r="P98" s="165">
        <f t="shared" si="4"/>
        <v>9.762768000000005E-2</v>
      </c>
      <c r="R98" s="290">
        <f t="shared" si="5"/>
        <v>1.0497600000000107E-3</v>
      </c>
      <c r="S98" s="160">
        <f t="shared" si="6"/>
        <v>0.82678960000000001</v>
      </c>
      <c r="T98" s="165">
        <f t="shared" si="7"/>
        <v>0</v>
      </c>
    </row>
    <row r="99" spans="13:20">
      <c r="M99" s="160">
        <f>Tornado!BU97</f>
        <v>3.90625E-3</v>
      </c>
      <c r="N99" s="155">
        <f>Tornado!BV97</f>
        <v>0.3671875</v>
      </c>
      <c r="O99" s="165">
        <f>Tornado!BW97</f>
        <v>0</v>
      </c>
      <c r="P99" s="165">
        <f t="shared" si="4"/>
        <v>9.8677440000000047E-2</v>
      </c>
      <c r="R99" s="290">
        <f t="shared" si="5"/>
        <v>2.0995199999999103E-3</v>
      </c>
      <c r="S99" s="160">
        <f t="shared" si="6"/>
        <v>0.82888911999999992</v>
      </c>
      <c r="T99" s="165">
        <f t="shared" si="7"/>
        <v>0</v>
      </c>
    </row>
    <row r="100" spans="13:20">
      <c r="M100" s="160">
        <f>Tornado!BU98</f>
        <v>1.953125E-3</v>
      </c>
      <c r="N100" s="155">
        <f>Tornado!BV98</f>
        <v>0.369140625</v>
      </c>
      <c r="O100" s="165">
        <f>Tornado!BW98</f>
        <v>0</v>
      </c>
      <c r="P100" s="165">
        <f t="shared" si="4"/>
        <v>9.9202320000000052E-2</v>
      </c>
      <c r="R100" s="290">
        <f t="shared" si="5"/>
        <v>1.0497600000000107E-3</v>
      </c>
      <c r="S100" s="160">
        <f t="shared" si="6"/>
        <v>0.82993887999999993</v>
      </c>
      <c r="T100" s="165">
        <f t="shared" si="7"/>
        <v>0</v>
      </c>
    </row>
    <row r="101" spans="13:20">
      <c r="M101" s="160">
        <f>Tornado!BU99</f>
        <v>3.90625E-3</v>
      </c>
      <c r="N101" s="155">
        <f>Tornado!BV99</f>
        <v>0.373046875</v>
      </c>
      <c r="O101" s="165">
        <f>Tornado!BW99</f>
        <v>0</v>
      </c>
      <c r="P101" s="165">
        <f t="shared" si="4"/>
        <v>0.10025208000000005</v>
      </c>
      <c r="R101" s="290">
        <f t="shared" si="5"/>
        <v>5.2488000000006085E-4</v>
      </c>
      <c r="S101" s="160">
        <f t="shared" si="6"/>
        <v>0.83046376</v>
      </c>
      <c r="T101" s="165">
        <f t="shared" si="7"/>
        <v>0</v>
      </c>
    </row>
    <row r="102" spans="13:20">
      <c r="M102" s="160">
        <f>Tornado!BU100</f>
        <v>1.953125E-3</v>
      </c>
      <c r="N102" s="155">
        <f>Tornado!BV100</f>
        <v>0.375</v>
      </c>
      <c r="O102" s="165">
        <f>Tornado!BW100</f>
        <v>0</v>
      </c>
      <c r="P102" s="165">
        <f t="shared" si="4"/>
        <v>0.10077696000000005</v>
      </c>
      <c r="R102" s="290">
        <f t="shared" si="5"/>
        <v>1.0497600000000107E-3</v>
      </c>
      <c r="S102" s="160">
        <f t="shared" si="6"/>
        <v>0.83151352000000001</v>
      </c>
      <c r="T102" s="165">
        <f t="shared" si="7"/>
        <v>0</v>
      </c>
    </row>
    <row r="103" spans="13:20">
      <c r="M103" s="160">
        <f>Tornado!BU101</f>
        <v>3.90625E-3</v>
      </c>
      <c r="N103" s="155">
        <f>Tornado!BV101</f>
        <v>0.37890625</v>
      </c>
      <c r="O103" s="165">
        <f>Tornado!BW101</f>
        <v>0</v>
      </c>
      <c r="P103" s="165">
        <f t="shared" si="4"/>
        <v>0.10182672000000005</v>
      </c>
      <c r="R103" s="290">
        <f t="shared" si="5"/>
        <v>5.2487999999994983E-4</v>
      </c>
      <c r="S103" s="160">
        <f t="shared" si="6"/>
        <v>0.83203839999999996</v>
      </c>
      <c r="T103" s="165">
        <f t="shared" si="7"/>
        <v>0</v>
      </c>
    </row>
    <row r="104" spans="13:20">
      <c r="M104" s="160">
        <f>Tornado!BU102</f>
        <v>1.953125E-3</v>
      </c>
      <c r="N104" s="155">
        <f>Tornado!BV102</f>
        <v>0.380859375</v>
      </c>
      <c r="O104" s="165">
        <f>Tornado!BW102</f>
        <v>0</v>
      </c>
      <c r="P104" s="165">
        <f t="shared" si="4"/>
        <v>0.10235160000000004</v>
      </c>
      <c r="R104" s="290">
        <f t="shared" si="5"/>
        <v>1.0497600000000107E-3</v>
      </c>
      <c r="S104" s="160">
        <f t="shared" si="6"/>
        <v>0.83308815999999997</v>
      </c>
      <c r="T104" s="165">
        <f t="shared" si="7"/>
        <v>0</v>
      </c>
    </row>
    <row r="105" spans="13:20">
      <c r="M105" s="160">
        <f>Tornado!BU103</f>
        <v>3.90625E-3</v>
      </c>
      <c r="N105" s="155">
        <f>Tornado!BV103</f>
        <v>0.384765625</v>
      </c>
      <c r="O105" s="165">
        <f>Tornado!BW103</f>
        <v>0</v>
      </c>
      <c r="P105" s="165">
        <f t="shared" si="4"/>
        <v>0.10340136000000005</v>
      </c>
      <c r="R105" s="290">
        <f t="shared" si="5"/>
        <v>5.2487999999994983E-4</v>
      </c>
      <c r="S105" s="160">
        <f t="shared" si="6"/>
        <v>0.83361303999999992</v>
      </c>
      <c r="T105" s="165">
        <f t="shared" si="7"/>
        <v>0</v>
      </c>
    </row>
    <row r="106" spans="13:20">
      <c r="M106" s="160">
        <f>Tornado!BU104</f>
        <v>1.953125E-3</v>
      </c>
      <c r="N106" s="155">
        <f>Tornado!BV104</f>
        <v>0.38671875</v>
      </c>
      <c r="O106" s="165">
        <f>Tornado!BW104</f>
        <v>0</v>
      </c>
      <c r="P106" s="165">
        <f t="shared" si="4"/>
        <v>0.10392624000000004</v>
      </c>
      <c r="R106" s="290">
        <f t="shared" si="5"/>
        <v>1.0497600000001217E-3</v>
      </c>
      <c r="S106" s="160">
        <f t="shared" si="6"/>
        <v>0.83466280000000004</v>
      </c>
      <c r="T106" s="165">
        <f t="shared" si="7"/>
        <v>0</v>
      </c>
    </row>
    <row r="107" spans="13:20">
      <c r="M107" s="160">
        <f>Tornado!BU105</f>
        <v>3.90625E-3</v>
      </c>
      <c r="N107" s="155">
        <f>Tornado!BV105</f>
        <v>0.390625</v>
      </c>
      <c r="O107" s="165">
        <f>Tornado!BW105</f>
        <v>0</v>
      </c>
      <c r="P107" s="165">
        <f t="shared" si="4"/>
        <v>0.10497600000000006</v>
      </c>
      <c r="R107" s="290">
        <f t="shared" si="5"/>
        <v>5.2487999999994983E-4</v>
      </c>
      <c r="S107" s="160">
        <f t="shared" si="6"/>
        <v>0.83518767999999999</v>
      </c>
      <c r="T107" s="165">
        <f t="shared" si="7"/>
        <v>0</v>
      </c>
    </row>
    <row r="108" spans="13:20">
      <c r="M108" s="160">
        <f>Tornado!BU106</f>
        <v>1.953125E-3</v>
      </c>
      <c r="N108" s="155">
        <f>Tornado!BV106</f>
        <v>0.392578125</v>
      </c>
      <c r="O108" s="165">
        <f>Tornado!BW106</f>
        <v>0</v>
      </c>
      <c r="P108" s="165">
        <f t="shared" si="4"/>
        <v>0.10550088000000005</v>
      </c>
      <c r="R108" s="290">
        <f t="shared" si="5"/>
        <v>1.0497600000000107E-3</v>
      </c>
      <c r="S108" s="160">
        <f t="shared" si="6"/>
        <v>0.83623744</v>
      </c>
      <c r="T108" s="165">
        <f t="shared" si="7"/>
        <v>0</v>
      </c>
    </row>
    <row r="109" spans="13:20">
      <c r="M109" s="160">
        <f>Tornado!BU107</f>
        <v>9.765625E-4</v>
      </c>
      <c r="N109" s="155">
        <f>Tornado!BV107</f>
        <v>0.3935546875</v>
      </c>
      <c r="O109" s="165">
        <f>Tornado!BW107</f>
        <v>0</v>
      </c>
      <c r="P109" s="165">
        <f t="shared" si="4"/>
        <v>0.10576332000000005</v>
      </c>
      <c r="R109" s="290">
        <f t="shared" si="5"/>
        <v>5.2487999999994983E-4</v>
      </c>
      <c r="S109" s="160">
        <f t="shared" si="6"/>
        <v>0.83676231999999995</v>
      </c>
      <c r="T109" s="165">
        <f t="shared" si="7"/>
        <v>0</v>
      </c>
    </row>
    <row r="110" spans="13:20">
      <c r="M110" s="160">
        <f>Tornado!BU108</f>
        <v>1.953125E-3</v>
      </c>
      <c r="N110" s="155">
        <f>Tornado!BV108</f>
        <v>0.3955078125</v>
      </c>
      <c r="O110" s="165">
        <f>Tornado!BW108</f>
        <v>0</v>
      </c>
      <c r="P110" s="165">
        <f t="shared" si="4"/>
        <v>0.10628820000000005</v>
      </c>
      <c r="R110" s="290">
        <f t="shared" si="5"/>
        <v>2.6244000000008594E-4</v>
      </c>
      <c r="S110" s="160">
        <f t="shared" si="6"/>
        <v>0.83702476000000003</v>
      </c>
      <c r="T110" s="165">
        <f t="shared" si="7"/>
        <v>0</v>
      </c>
    </row>
    <row r="111" spans="13:20">
      <c r="M111" s="160">
        <f>Tornado!BU109</f>
        <v>9.765625E-4</v>
      </c>
      <c r="N111" s="155">
        <f>Tornado!BV109</f>
        <v>0.396484375</v>
      </c>
      <c r="O111" s="165">
        <f>Tornado!BW109</f>
        <v>0</v>
      </c>
      <c r="P111" s="165">
        <f t="shared" si="4"/>
        <v>0.10655064000000004</v>
      </c>
      <c r="R111" s="290">
        <f t="shared" si="5"/>
        <v>5.2487999999994983E-4</v>
      </c>
      <c r="S111" s="160">
        <f t="shared" si="6"/>
        <v>0.83754963999999998</v>
      </c>
      <c r="T111" s="165">
        <f t="shared" si="7"/>
        <v>0</v>
      </c>
    </row>
    <row r="112" spans="13:20">
      <c r="M112" s="160">
        <f>Tornado!BU110</f>
        <v>1.953125E-3</v>
      </c>
      <c r="N112" s="155">
        <f>Tornado!BV110</f>
        <v>0.3984375</v>
      </c>
      <c r="O112" s="165">
        <f>Tornado!BW110</f>
        <v>0</v>
      </c>
      <c r="P112" s="165">
        <f t="shared" si="4"/>
        <v>0.10707552000000005</v>
      </c>
      <c r="R112" s="290">
        <f t="shared" si="5"/>
        <v>2.6243999999997492E-4</v>
      </c>
      <c r="S112" s="160">
        <f t="shared" si="6"/>
        <v>0.83781207999999996</v>
      </c>
      <c r="T112" s="165">
        <f t="shared" si="7"/>
        <v>0</v>
      </c>
    </row>
    <row r="113" spans="13:20">
      <c r="M113" s="160">
        <f>Tornado!BU111</f>
        <v>3.90625E-3</v>
      </c>
      <c r="N113" s="155">
        <f>Tornado!BV111</f>
        <v>0.40234375</v>
      </c>
      <c r="O113" s="165">
        <f>Tornado!BW111</f>
        <v>0</v>
      </c>
      <c r="P113" s="165">
        <f t="shared" si="4"/>
        <v>0.10812528000000005</v>
      </c>
      <c r="R113" s="290">
        <f t="shared" si="5"/>
        <v>5.2488000000006085E-4</v>
      </c>
      <c r="S113" s="160">
        <f t="shared" si="6"/>
        <v>0.83833696000000002</v>
      </c>
      <c r="T113" s="165">
        <f t="shared" si="7"/>
        <v>0</v>
      </c>
    </row>
    <row r="114" spans="13:20">
      <c r="M114" s="160">
        <f>Tornado!BU112</f>
        <v>1.953125E-3</v>
      </c>
      <c r="N114" s="155">
        <f>Tornado!BV112</f>
        <v>0.404296875</v>
      </c>
      <c r="O114" s="165">
        <f>Tornado!BW112</f>
        <v>0</v>
      </c>
      <c r="P114" s="165">
        <f t="shared" si="4"/>
        <v>0.10865016000000005</v>
      </c>
      <c r="R114" s="290">
        <f t="shared" si="5"/>
        <v>1.0497600000000107E-3</v>
      </c>
      <c r="S114" s="160">
        <f t="shared" si="6"/>
        <v>0.83938672000000003</v>
      </c>
      <c r="T114" s="165">
        <f t="shared" si="7"/>
        <v>0</v>
      </c>
    </row>
    <row r="115" spans="13:20">
      <c r="M115" s="160">
        <f>Tornado!BU113</f>
        <v>3.90625E-3</v>
      </c>
      <c r="N115" s="155">
        <f>Tornado!BV113</f>
        <v>0.408203125</v>
      </c>
      <c r="O115" s="165">
        <f>Tornado!BW113</f>
        <v>0</v>
      </c>
      <c r="P115" s="165">
        <f t="shared" si="4"/>
        <v>0.10969992000000005</v>
      </c>
      <c r="R115" s="290">
        <f t="shared" si="5"/>
        <v>5.2487999999994983E-4</v>
      </c>
      <c r="S115" s="160">
        <f t="shared" si="6"/>
        <v>0.83991159999999998</v>
      </c>
      <c r="T115" s="165">
        <f t="shared" si="7"/>
        <v>0</v>
      </c>
    </row>
    <row r="116" spans="13:20">
      <c r="M116" s="160">
        <f>Tornado!BU114</f>
        <v>1.953125E-3</v>
      </c>
      <c r="N116" s="155">
        <f>Tornado!BV114</f>
        <v>0.41015625</v>
      </c>
      <c r="O116" s="165">
        <f>Tornado!BW114</f>
        <v>0</v>
      </c>
      <c r="P116" s="165">
        <f t="shared" si="4"/>
        <v>0.11022480000000005</v>
      </c>
      <c r="R116" s="290">
        <f t="shared" si="5"/>
        <v>1.0497600000000107E-3</v>
      </c>
      <c r="S116" s="160">
        <f t="shared" si="6"/>
        <v>0.84096135999999999</v>
      </c>
      <c r="T116" s="165">
        <f t="shared" si="7"/>
        <v>0</v>
      </c>
    </row>
    <row r="117" spans="13:20">
      <c r="M117" s="160">
        <f>Tornado!BU115</f>
        <v>3.90625E-3</v>
      </c>
      <c r="N117" s="155">
        <f>Tornado!BV115</f>
        <v>0.4140625</v>
      </c>
      <c r="O117" s="165">
        <f>Tornado!BW115</f>
        <v>0</v>
      </c>
      <c r="P117" s="165">
        <f t="shared" si="4"/>
        <v>0.11127456000000005</v>
      </c>
      <c r="R117" s="290">
        <f t="shared" si="5"/>
        <v>5.2487999999994983E-4</v>
      </c>
      <c r="S117" s="160">
        <f t="shared" si="6"/>
        <v>0.84148623999999994</v>
      </c>
      <c r="T117" s="165">
        <f t="shared" si="7"/>
        <v>0</v>
      </c>
    </row>
    <row r="118" spans="13:20">
      <c r="M118" s="160">
        <f>Tornado!BU116</f>
        <v>7.8125E-3</v>
      </c>
      <c r="N118" s="155">
        <f>Tornado!BV116</f>
        <v>0.421875</v>
      </c>
      <c r="O118" s="165">
        <f>Tornado!BW116</f>
        <v>0</v>
      </c>
      <c r="P118" s="165">
        <f t="shared" si="4"/>
        <v>0.11337408000000006</v>
      </c>
      <c r="R118" s="290">
        <f t="shared" si="5"/>
        <v>1.0497600000000107E-3</v>
      </c>
      <c r="S118" s="160">
        <f t="shared" si="6"/>
        <v>0.84253599999999995</v>
      </c>
      <c r="T118" s="165">
        <f t="shared" si="7"/>
        <v>0</v>
      </c>
    </row>
    <row r="119" spans="13:20">
      <c r="M119" s="160">
        <f>Tornado!BU117</f>
        <v>3.90625E-3</v>
      </c>
      <c r="N119" s="155">
        <f>Tornado!BV117</f>
        <v>0.42578125</v>
      </c>
      <c r="O119" s="165">
        <f>Tornado!BW117</f>
        <v>0</v>
      </c>
      <c r="P119" s="165">
        <f t="shared" si="4"/>
        <v>0.11442384000000005</v>
      </c>
      <c r="R119" s="290">
        <f t="shared" si="5"/>
        <v>2.0995200000000214E-3</v>
      </c>
      <c r="S119" s="160">
        <f t="shared" si="6"/>
        <v>0.84463551999999997</v>
      </c>
      <c r="T119" s="165">
        <f t="shared" si="7"/>
        <v>0</v>
      </c>
    </row>
    <row r="120" spans="13:20">
      <c r="M120" s="160">
        <f>Tornado!BU118</f>
        <v>7.8125E-3</v>
      </c>
      <c r="N120" s="155">
        <f>Tornado!BV118</f>
        <v>0.43359375</v>
      </c>
      <c r="O120" s="165">
        <f>Tornado!BW118</f>
        <v>0</v>
      </c>
      <c r="P120" s="165">
        <f t="shared" si="4"/>
        <v>0.11652336000000005</v>
      </c>
      <c r="R120" s="290">
        <f t="shared" si="5"/>
        <v>1.0497600000000107E-3</v>
      </c>
      <c r="S120" s="160">
        <f t="shared" si="6"/>
        <v>0.84568527999999998</v>
      </c>
      <c r="T120" s="165">
        <f t="shared" si="7"/>
        <v>0</v>
      </c>
    </row>
    <row r="121" spans="13:20">
      <c r="M121" s="160">
        <f>Tornado!BU119</f>
        <v>3.90625E-3</v>
      </c>
      <c r="N121" s="155">
        <f>Tornado!BV119</f>
        <v>0.4375</v>
      </c>
      <c r="O121" s="165">
        <f>Tornado!BW119</f>
        <v>0</v>
      </c>
      <c r="P121" s="165">
        <f t="shared" si="4"/>
        <v>0.11757312000000006</v>
      </c>
      <c r="R121" s="290">
        <f t="shared" si="5"/>
        <v>2.0995200000000214E-3</v>
      </c>
      <c r="S121" s="160">
        <f t="shared" si="6"/>
        <v>0.84778480000000001</v>
      </c>
      <c r="T121" s="165">
        <f t="shared" si="7"/>
        <v>0</v>
      </c>
    </row>
    <row r="122" spans="13:20">
      <c r="M122" s="160">
        <f>Tornado!BU120</f>
        <v>7.8125E-3</v>
      </c>
      <c r="N122" s="155">
        <f>Tornado!BV120</f>
        <v>0.4453125</v>
      </c>
      <c r="O122" s="165">
        <f>Tornado!BW120</f>
        <v>0</v>
      </c>
      <c r="P122" s="165">
        <f t="shared" si="4"/>
        <v>0.11967264000000005</v>
      </c>
      <c r="R122" s="290">
        <f t="shared" si="5"/>
        <v>1.0497600000000107E-3</v>
      </c>
      <c r="S122" s="160">
        <f t="shared" si="6"/>
        <v>0.84883456000000002</v>
      </c>
      <c r="T122" s="165">
        <f t="shared" si="7"/>
        <v>0</v>
      </c>
    </row>
    <row r="123" spans="13:20">
      <c r="M123" s="160">
        <f>Tornado!BU121</f>
        <v>3.90625E-3</v>
      </c>
      <c r="N123" s="155">
        <f>Tornado!BV121</f>
        <v>0.44921875</v>
      </c>
      <c r="O123" s="165">
        <f>Tornado!BW121</f>
        <v>0</v>
      </c>
      <c r="P123" s="165">
        <f t="shared" si="4"/>
        <v>0.12072240000000006</v>
      </c>
      <c r="R123" s="290">
        <f t="shared" si="5"/>
        <v>2.0995200000000214E-3</v>
      </c>
      <c r="S123" s="160">
        <f t="shared" si="6"/>
        <v>0.85093408000000004</v>
      </c>
      <c r="T123" s="165">
        <f t="shared" si="7"/>
        <v>0</v>
      </c>
    </row>
    <row r="124" spans="13:20">
      <c r="M124" s="160">
        <f>Tornado!BU122</f>
        <v>7.8125E-3</v>
      </c>
      <c r="N124" s="155">
        <f>Tornado!BV122</f>
        <v>0.45703125</v>
      </c>
      <c r="O124" s="165">
        <f>Tornado!BW122</f>
        <v>0</v>
      </c>
      <c r="P124" s="165">
        <f t="shared" si="4"/>
        <v>0.12282192000000006</v>
      </c>
      <c r="R124" s="290">
        <f t="shared" si="5"/>
        <v>1.0497599999998997E-3</v>
      </c>
      <c r="S124" s="160">
        <f t="shared" si="6"/>
        <v>0.85198383999999994</v>
      </c>
      <c r="T124" s="165">
        <f t="shared" si="7"/>
        <v>0</v>
      </c>
    </row>
    <row r="125" spans="13:20">
      <c r="M125" s="160">
        <f>Tornado!BU123</f>
        <v>3.90625E-3</v>
      </c>
      <c r="N125" s="155">
        <f>Tornado!BV123</f>
        <v>0.4609375</v>
      </c>
      <c r="O125" s="165">
        <f>Tornado!BW123</f>
        <v>0</v>
      </c>
      <c r="P125" s="165">
        <f t="shared" si="4"/>
        <v>0.12387168000000005</v>
      </c>
      <c r="R125" s="290">
        <f t="shared" si="5"/>
        <v>2.0995200000000214E-3</v>
      </c>
      <c r="S125" s="160">
        <f t="shared" si="6"/>
        <v>0.85408335999999996</v>
      </c>
      <c r="T125" s="165">
        <f t="shared" si="7"/>
        <v>0</v>
      </c>
    </row>
    <row r="126" spans="13:20">
      <c r="M126" s="160">
        <f>Tornado!BU124</f>
        <v>7.8125E-3</v>
      </c>
      <c r="N126" s="155">
        <f>Tornado!BV124</f>
        <v>0.46875</v>
      </c>
      <c r="O126" s="165">
        <f>Tornado!BW124</f>
        <v>0</v>
      </c>
      <c r="P126" s="165">
        <f t="shared" si="4"/>
        <v>0.12597120000000006</v>
      </c>
      <c r="R126" s="290">
        <f t="shared" si="5"/>
        <v>1.0497600000000107E-3</v>
      </c>
      <c r="S126" s="160">
        <f t="shared" si="6"/>
        <v>0.85513311999999997</v>
      </c>
      <c r="T126" s="165">
        <f t="shared" si="7"/>
        <v>0</v>
      </c>
    </row>
    <row r="127" spans="13:20">
      <c r="M127" s="160">
        <f>Tornado!BU125</f>
        <v>1.5625E-2</v>
      </c>
      <c r="N127" s="155">
        <f>Tornado!BV125</f>
        <v>0.484375</v>
      </c>
      <c r="O127" s="165">
        <f>Tornado!BW125</f>
        <v>0</v>
      </c>
      <c r="P127" s="165">
        <f t="shared" si="4"/>
        <v>0.13017024000000005</v>
      </c>
      <c r="R127" s="290">
        <f t="shared" si="5"/>
        <v>2.0995200000000214E-3</v>
      </c>
      <c r="S127" s="160">
        <f t="shared" si="6"/>
        <v>0.85723263999999999</v>
      </c>
      <c r="T127" s="165">
        <f t="shared" si="7"/>
        <v>0</v>
      </c>
    </row>
    <row r="128" spans="13:20">
      <c r="M128" s="160">
        <f>Tornado!BU126</f>
        <v>3.125E-2</v>
      </c>
      <c r="N128" s="155">
        <f>Tornado!BV126</f>
        <v>0.515625</v>
      </c>
      <c r="O128" s="165">
        <f>Tornado!BW126</f>
        <v>0</v>
      </c>
      <c r="P128" s="165">
        <f t="shared" si="4"/>
        <v>0.13856832000000008</v>
      </c>
      <c r="R128" s="290">
        <f t="shared" si="5"/>
        <v>4.1990399999999317E-3</v>
      </c>
      <c r="S128" s="160">
        <f t="shared" si="6"/>
        <v>0.86143167999999992</v>
      </c>
      <c r="T128" s="165">
        <f t="shared" si="7"/>
        <v>0</v>
      </c>
    </row>
    <row r="129" spans="13:20">
      <c r="M129" s="160">
        <f>Tornado!BU127</f>
        <v>1.5625E-2</v>
      </c>
      <c r="N129" s="155">
        <f>Tornado!BV127</f>
        <v>0.53125</v>
      </c>
      <c r="O129" s="165">
        <f>Tornado!BW127</f>
        <v>0</v>
      </c>
      <c r="P129" s="165">
        <f t="shared" si="4"/>
        <v>0.14276736000000007</v>
      </c>
      <c r="R129" s="290">
        <f t="shared" si="5"/>
        <v>8.3980800000000855E-3</v>
      </c>
      <c r="S129" s="160">
        <f t="shared" si="6"/>
        <v>0.86982976000000001</v>
      </c>
      <c r="T129" s="165">
        <f t="shared" si="7"/>
        <v>0</v>
      </c>
    </row>
    <row r="130" spans="13:20">
      <c r="M130" s="160">
        <f>Tornado!BU128</f>
        <v>7.8125E-3</v>
      </c>
      <c r="N130" s="155">
        <f>Tornado!BV128</f>
        <v>0.5390625</v>
      </c>
      <c r="O130" s="165">
        <f>Tornado!BW128</f>
        <v>0</v>
      </c>
      <c r="P130" s="165">
        <f t="shared" si="4"/>
        <v>0.14486688000000006</v>
      </c>
      <c r="R130" s="290">
        <f t="shared" si="5"/>
        <v>4.1990400000000427E-3</v>
      </c>
      <c r="S130" s="160">
        <f t="shared" si="6"/>
        <v>0.87402880000000005</v>
      </c>
      <c r="T130" s="165">
        <f t="shared" si="7"/>
        <v>0</v>
      </c>
    </row>
    <row r="131" spans="13:20">
      <c r="M131" s="160">
        <f>Tornado!BU129</f>
        <v>3.90625E-3</v>
      </c>
      <c r="N131" s="155">
        <f>Tornado!BV129</f>
        <v>0.54296875</v>
      </c>
      <c r="O131" s="165">
        <f>Tornado!BW129</f>
        <v>0</v>
      </c>
      <c r="P131" s="165">
        <f t="shared" si="4"/>
        <v>0.14591664000000007</v>
      </c>
      <c r="R131" s="290">
        <f t="shared" si="5"/>
        <v>2.0995199999999103E-3</v>
      </c>
      <c r="S131" s="160">
        <f t="shared" si="6"/>
        <v>0.87612831999999996</v>
      </c>
      <c r="T131" s="165">
        <f t="shared" si="7"/>
        <v>0</v>
      </c>
    </row>
    <row r="132" spans="13:20">
      <c r="M132" s="160">
        <f>Tornado!BU130</f>
        <v>7.8125E-3</v>
      </c>
      <c r="N132" s="155">
        <f>Tornado!BV130</f>
        <v>0.55078125</v>
      </c>
      <c r="O132" s="165">
        <f>Tornado!BW130</f>
        <v>0</v>
      </c>
      <c r="P132" s="165">
        <f t="shared" si="4"/>
        <v>0.14801616000000006</v>
      </c>
      <c r="R132" s="290">
        <f t="shared" si="5"/>
        <v>1.0497600000000107E-3</v>
      </c>
      <c r="S132" s="160">
        <f t="shared" si="6"/>
        <v>0.87717807999999997</v>
      </c>
      <c r="T132" s="165">
        <f t="shared" si="7"/>
        <v>0</v>
      </c>
    </row>
    <row r="133" spans="13:20">
      <c r="M133" s="160">
        <f>Tornado!BU131</f>
        <v>3.90625E-3</v>
      </c>
      <c r="N133" s="155">
        <f>Tornado!BV131</f>
        <v>0.5546875</v>
      </c>
      <c r="O133" s="165">
        <f>Tornado!BW131</f>
        <v>0</v>
      </c>
      <c r="P133" s="165">
        <f t="shared" si="4"/>
        <v>0.14906592000000007</v>
      </c>
      <c r="R133" s="290">
        <f t="shared" si="5"/>
        <v>2.0995200000000214E-3</v>
      </c>
      <c r="S133" s="160">
        <f t="shared" si="6"/>
        <v>0.87927759999999999</v>
      </c>
      <c r="T133" s="165">
        <f t="shared" si="7"/>
        <v>0</v>
      </c>
    </row>
    <row r="134" spans="13:20">
      <c r="M134" s="160">
        <f>Tornado!BU132</f>
        <v>7.8125E-3</v>
      </c>
      <c r="N134" s="155">
        <f>Tornado!BV132</f>
        <v>0.5625</v>
      </c>
      <c r="O134" s="165">
        <f>Tornado!BW132</f>
        <v>0</v>
      </c>
      <c r="P134" s="165">
        <f t="shared" si="4"/>
        <v>0.15116544000000007</v>
      </c>
      <c r="R134" s="290">
        <f t="shared" si="5"/>
        <v>1.0497600000000107E-3</v>
      </c>
      <c r="S134" s="160">
        <f t="shared" si="6"/>
        <v>0.88032736</v>
      </c>
      <c r="T134" s="165">
        <f t="shared" si="7"/>
        <v>0</v>
      </c>
    </row>
    <row r="135" spans="13:20">
      <c r="M135" s="160">
        <f>Tornado!BU133</f>
        <v>3.90625E-3</v>
      </c>
      <c r="N135" s="155">
        <f>Tornado!BV133</f>
        <v>0.56640625</v>
      </c>
      <c r="O135" s="165">
        <f>Tornado!BW133</f>
        <v>0</v>
      </c>
      <c r="P135" s="165">
        <f t="shared" ref="P135:P198" si="8">pCrossChasm_total * N135</f>
        <v>0.15221520000000008</v>
      </c>
      <c r="R135" s="290">
        <f t="shared" si="5"/>
        <v>2.0995200000000214E-3</v>
      </c>
      <c r="S135" s="160">
        <f t="shared" si="6"/>
        <v>0.88242688000000002</v>
      </c>
      <c r="T135" s="165">
        <f t="shared" si="7"/>
        <v>0</v>
      </c>
    </row>
    <row r="136" spans="13:20">
      <c r="M136" s="160">
        <f>Tornado!BU134</f>
        <v>7.8125E-3</v>
      </c>
      <c r="N136" s="155">
        <f>Tornado!BV134</f>
        <v>0.57421875</v>
      </c>
      <c r="O136" s="165">
        <f>Tornado!BW134</f>
        <v>0</v>
      </c>
      <c r="P136" s="165">
        <f t="shared" si="8"/>
        <v>0.15431472000000007</v>
      </c>
      <c r="R136" s="290">
        <f t="shared" ref="R136:R199" si="9">S136-S135</f>
        <v>1.0497600000000107E-3</v>
      </c>
      <c r="S136" s="160">
        <f t="shared" si="6"/>
        <v>0.88347664000000004</v>
      </c>
      <c r="T136" s="165">
        <f t="shared" si="7"/>
        <v>0</v>
      </c>
    </row>
    <row r="137" spans="13:20">
      <c r="M137" s="160">
        <f>Tornado!BU135</f>
        <v>3.90625E-3</v>
      </c>
      <c r="N137" s="155">
        <f>Tornado!BV135</f>
        <v>0.578125</v>
      </c>
      <c r="O137" s="165">
        <f>Tornado!BW135</f>
        <v>0</v>
      </c>
      <c r="P137" s="165">
        <f t="shared" si="8"/>
        <v>0.15536448000000008</v>
      </c>
      <c r="R137" s="290">
        <f t="shared" si="9"/>
        <v>2.0995200000000214E-3</v>
      </c>
      <c r="S137" s="160">
        <f t="shared" ref="S137:S200" si="10">P136+$S$7</f>
        <v>0.88557616000000006</v>
      </c>
      <c r="T137" s="165">
        <f t="shared" ref="T137:T200" si="11">O136</f>
        <v>0</v>
      </c>
    </row>
    <row r="138" spans="13:20">
      <c r="M138" s="160">
        <f>Tornado!BU136</f>
        <v>7.8125E-3</v>
      </c>
      <c r="N138" s="155">
        <f>Tornado!BV136</f>
        <v>0.5859375</v>
      </c>
      <c r="O138" s="165">
        <f>Tornado!BW136</f>
        <v>0</v>
      </c>
      <c r="P138" s="165">
        <f t="shared" si="8"/>
        <v>0.15746400000000008</v>
      </c>
      <c r="R138" s="290">
        <f t="shared" si="9"/>
        <v>1.0497599999998997E-3</v>
      </c>
      <c r="S138" s="160">
        <f t="shared" si="10"/>
        <v>0.88662591999999996</v>
      </c>
      <c r="T138" s="165">
        <f t="shared" si="11"/>
        <v>0</v>
      </c>
    </row>
    <row r="139" spans="13:20">
      <c r="M139" s="160">
        <f>Tornado!BU137</f>
        <v>3.90625E-3</v>
      </c>
      <c r="N139" s="155">
        <f>Tornado!BV137</f>
        <v>0.58984375</v>
      </c>
      <c r="O139" s="165">
        <f>Tornado!BW137</f>
        <v>0</v>
      </c>
      <c r="P139" s="165">
        <f t="shared" si="8"/>
        <v>0.15851376000000009</v>
      </c>
      <c r="R139" s="290">
        <f t="shared" si="9"/>
        <v>2.0995200000000214E-3</v>
      </c>
      <c r="S139" s="160">
        <f t="shared" si="10"/>
        <v>0.88872543999999998</v>
      </c>
      <c r="T139" s="165">
        <f t="shared" si="11"/>
        <v>0</v>
      </c>
    </row>
    <row r="140" spans="13:20">
      <c r="M140" s="160">
        <f>Tornado!BU138</f>
        <v>1.953125E-3</v>
      </c>
      <c r="N140" s="155">
        <f>Tornado!BV138</f>
        <v>0.591796875</v>
      </c>
      <c r="O140" s="165">
        <f>Tornado!BW138</f>
        <v>0</v>
      </c>
      <c r="P140" s="165">
        <f t="shared" si="8"/>
        <v>0.15903864000000006</v>
      </c>
      <c r="R140" s="290">
        <f t="shared" si="9"/>
        <v>1.0497600000000107E-3</v>
      </c>
      <c r="S140" s="160">
        <f t="shared" si="10"/>
        <v>0.88977519999999999</v>
      </c>
      <c r="T140" s="165">
        <f t="shared" si="11"/>
        <v>0</v>
      </c>
    </row>
    <row r="141" spans="13:20">
      <c r="M141" s="160">
        <f>Tornado!BU139</f>
        <v>3.90625E-3</v>
      </c>
      <c r="N141" s="155">
        <f>Tornado!BV139</f>
        <v>0.595703125</v>
      </c>
      <c r="O141" s="165">
        <f>Tornado!BW139</f>
        <v>0</v>
      </c>
      <c r="P141" s="165">
        <f t="shared" si="8"/>
        <v>0.16008840000000008</v>
      </c>
      <c r="R141" s="290">
        <f t="shared" si="9"/>
        <v>5.2488000000006085E-4</v>
      </c>
      <c r="S141" s="160">
        <f t="shared" si="10"/>
        <v>0.89030008000000005</v>
      </c>
      <c r="T141" s="165">
        <f t="shared" si="11"/>
        <v>0</v>
      </c>
    </row>
    <row r="142" spans="13:20">
      <c r="M142" s="160">
        <f>Tornado!BU140</f>
        <v>1.953125E-3</v>
      </c>
      <c r="N142" s="155">
        <f>Tornado!BV140</f>
        <v>0.59765625</v>
      </c>
      <c r="O142" s="165">
        <f>Tornado!BW140</f>
        <v>0</v>
      </c>
      <c r="P142" s="165">
        <f t="shared" si="8"/>
        <v>0.16061328000000008</v>
      </c>
      <c r="R142" s="290">
        <f t="shared" si="9"/>
        <v>1.0497599999998997E-3</v>
      </c>
      <c r="S142" s="160">
        <f t="shared" si="10"/>
        <v>0.89134983999999995</v>
      </c>
      <c r="T142" s="165">
        <f t="shared" si="11"/>
        <v>0</v>
      </c>
    </row>
    <row r="143" spans="13:20">
      <c r="M143" s="160">
        <f>Tornado!BU141</f>
        <v>3.90625E-3</v>
      </c>
      <c r="N143" s="155">
        <f>Tornado!BV141</f>
        <v>0.6015625</v>
      </c>
      <c r="O143" s="165">
        <f>Tornado!BW141</f>
        <v>0</v>
      </c>
      <c r="P143" s="165">
        <f t="shared" si="8"/>
        <v>0.16166304000000006</v>
      </c>
      <c r="R143" s="290">
        <f t="shared" si="9"/>
        <v>5.2488000000006085E-4</v>
      </c>
      <c r="S143" s="160">
        <f t="shared" si="10"/>
        <v>0.89187472000000001</v>
      </c>
      <c r="T143" s="165">
        <f t="shared" si="11"/>
        <v>0</v>
      </c>
    </row>
    <row r="144" spans="13:20">
      <c r="M144" s="160">
        <f>Tornado!BU142</f>
        <v>1.953125E-3</v>
      </c>
      <c r="N144" s="155">
        <f>Tornado!BV142</f>
        <v>0.603515625</v>
      </c>
      <c r="O144" s="165">
        <f>Tornado!BW142</f>
        <v>0</v>
      </c>
      <c r="P144" s="165">
        <f t="shared" si="8"/>
        <v>0.16218792000000007</v>
      </c>
      <c r="R144" s="290">
        <f t="shared" si="9"/>
        <v>1.0497600000000107E-3</v>
      </c>
      <c r="S144" s="160">
        <f t="shared" si="10"/>
        <v>0.89292448000000002</v>
      </c>
      <c r="T144" s="165">
        <f t="shared" si="11"/>
        <v>0</v>
      </c>
    </row>
    <row r="145" spans="13:20">
      <c r="M145" s="160">
        <f>Tornado!BU143</f>
        <v>9.765625E-4</v>
      </c>
      <c r="N145" s="155">
        <f>Tornado!BV143</f>
        <v>0.6044921875</v>
      </c>
      <c r="O145" s="165">
        <f>Tornado!BW143</f>
        <v>0</v>
      </c>
      <c r="P145" s="165">
        <f t="shared" si="8"/>
        <v>0.16245036000000007</v>
      </c>
      <c r="R145" s="290">
        <f t="shared" si="9"/>
        <v>5.2487999999994983E-4</v>
      </c>
      <c r="S145" s="160">
        <f t="shared" si="10"/>
        <v>0.89344935999999997</v>
      </c>
      <c r="T145" s="165">
        <f t="shared" si="11"/>
        <v>0</v>
      </c>
    </row>
    <row r="146" spans="13:20">
      <c r="M146" s="160">
        <f>Tornado!BU144</f>
        <v>1.953125E-3</v>
      </c>
      <c r="N146" s="155">
        <f>Tornado!BV144</f>
        <v>0.6064453125</v>
      </c>
      <c r="O146" s="165">
        <f>Tornado!BW144</f>
        <v>0</v>
      </c>
      <c r="P146" s="165">
        <f t="shared" si="8"/>
        <v>0.16297524000000008</v>
      </c>
      <c r="R146" s="290">
        <f t="shared" si="9"/>
        <v>2.6243999999997492E-4</v>
      </c>
      <c r="S146" s="160">
        <f t="shared" si="10"/>
        <v>0.89371179999999995</v>
      </c>
      <c r="T146" s="165">
        <f t="shared" si="11"/>
        <v>0</v>
      </c>
    </row>
    <row r="147" spans="13:20">
      <c r="M147" s="160">
        <f>Tornado!BU145</f>
        <v>9.765625E-4</v>
      </c>
      <c r="N147" s="155">
        <f>Tornado!BV145</f>
        <v>0.607421875</v>
      </c>
      <c r="O147" s="165">
        <f>Tornado!BW145</f>
        <v>0</v>
      </c>
      <c r="P147" s="165">
        <f t="shared" si="8"/>
        <v>0.16323768000000008</v>
      </c>
      <c r="R147" s="290">
        <f t="shared" si="9"/>
        <v>5.2488000000006085E-4</v>
      </c>
      <c r="S147" s="160">
        <f t="shared" si="10"/>
        <v>0.89423668000000001</v>
      </c>
      <c r="T147" s="165">
        <f t="shared" si="11"/>
        <v>0</v>
      </c>
    </row>
    <row r="148" spans="13:20">
      <c r="M148" s="160">
        <f>Tornado!BU146</f>
        <v>1.953125E-3</v>
      </c>
      <c r="N148" s="155">
        <f>Tornado!BV146</f>
        <v>0.609375</v>
      </c>
      <c r="O148" s="165">
        <f>Tornado!BW146</f>
        <v>0</v>
      </c>
      <c r="P148" s="165">
        <f t="shared" si="8"/>
        <v>0.16376256000000008</v>
      </c>
      <c r="R148" s="290">
        <f t="shared" si="9"/>
        <v>2.6243999999997492E-4</v>
      </c>
      <c r="S148" s="160">
        <f t="shared" si="10"/>
        <v>0.89449911999999998</v>
      </c>
      <c r="T148" s="165">
        <f t="shared" si="11"/>
        <v>0</v>
      </c>
    </row>
    <row r="149" spans="13:20">
      <c r="M149" s="160">
        <f>Tornado!BU147</f>
        <v>3.90625E-3</v>
      </c>
      <c r="N149" s="155">
        <f>Tornado!BV147</f>
        <v>0.61328125</v>
      </c>
      <c r="O149" s="165">
        <f>Tornado!BW147</f>
        <v>0</v>
      </c>
      <c r="P149" s="165">
        <f t="shared" si="8"/>
        <v>0.16481232000000007</v>
      </c>
      <c r="R149" s="290">
        <f t="shared" si="9"/>
        <v>5.2488000000006085E-4</v>
      </c>
      <c r="S149" s="160">
        <f t="shared" si="10"/>
        <v>0.89502400000000004</v>
      </c>
      <c r="T149" s="165">
        <f t="shared" si="11"/>
        <v>0</v>
      </c>
    </row>
    <row r="150" spans="13:20">
      <c r="M150" s="160">
        <f>Tornado!BU148</f>
        <v>1.953125E-3</v>
      </c>
      <c r="N150" s="155">
        <f>Tornado!BV148</f>
        <v>0.615234375</v>
      </c>
      <c r="O150" s="165">
        <f>Tornado!BW148</f>
        <v>0</v>
      </c>
      <c r="P150" s="165">
        <f t="shared" si="8"/>
        <v>0.16533720000000007</v>
      </c>
      <c r="R150" s="290">
        <f t="shared" si="9"/>
        <v>1.0497599999998997E-3</v>
      </c>
      <c r="S150" s="160">
        <f t="shared" si="10"/>
        <v>0.89607375999999994</v>
      </c>
      <c r="T150" s="165">
        <f t="shared" si="11"/>
        <v>0</v>
      </c>
    </row>
    <row r="151" spans="13:20">
      <c r="M151" s="160">
        <f>Tornado!BU149</f>
        <v>3.90625E-3</v>
      </c>
      <c r="N151" s="155">
        <f>Tornado!BV149</f>
        <v>0.619140625</v>
      </c>
      <c r="O151" s="165">
        <f>Tornado!BW149</f>
        <v>0</v>
      </c>
      <c r="P151" s="165">
        <f t="shared" si="8"/>
        <v>0.16638696000000008</v>
      </c>
      <c r="R151" s="290">
        <f t="shared" si="9"/>
        <v>5.2488000000006085E-4</v>
      </c>
      <c r="S151" s="160">
        <f t="shared" si="10"/>
        <v>0.89659864</v>
      </c>
      <c r="T151" s="165">
        <f t="shared" si="11"/>
        <v>0</v>
      </c>
    </row>
    <row r="152" spans="13:20">
      <c r="M152" s="160">
        <f>Tornado!BU150</f>
        <v>1.953125E-3</v>
      </c>
      <c r="N152" s="155">
        <f>Tornado!BV150</f>
        <v>0.62109375</v>
      </c>
      <c r="O152" s="165">
        <f>Tornado!BW150</f>
        <v>0</v>
      </c>
      <c r="P152" s="165">
        <f t="shared" si="8"/>
        <v>0.16691184000000009</v>
      </c>
      <c r="R152" s="290">
        <f t="shared" si="9"/>
        <v>1.0497600000000107E-3</v>
      </c>
      <c r="S152" s="160">
        <f t="shared" si="10"/>
        <v>0.89764840000000001</v>
      </c>
      <c r="T152" s="165">
        <f t="shared" si="11"/>
        <v>0</v>
      </c>
    </row>
    <row r="153" spans="13:20">
      <c r="M153" s="160">
        <f>Tornado!BU151</f>
        <v>3.90625E-3</v>
      </c>
      <c r="N153" s="155">
        <f>Tornado!BV151</f>
        <v>0.625</v>
      </c>
      <c r="O153" s="165">
        <f>Tornado!BW151</f>
        <v>0</v>
      </c>
      <c r="P153" s="165">
        <f t="shared" si="8"/>
        <v>0.16796160000000007</v>
      </c>
      <c r="R153" s="290">
        <f t="shared" si="9"/>
        <v>5.2487999999994983E-4</v>
      </c>
      <c r="S153" s="160">
        <f t="shared" si="10"/>
        <v>0.89817327999999996</v>
      </c>
      <c r="T153" s="165">
        <f t="shared" si="11"/>
        <v>0</v>
      </c>
    </row>
    <row r="154" spans="13:20">
      <c r="M154" s="160">
        <f>Tornado!BU152</f>
        <v>1.953125E-3</v>
      </c>
      <c r="N154" s="155">
        <f>Tornado!BV152</f>
        <v>0.626953125</v>
      </c>
      <c r="O154" s="165">
        <f>Tornado!BW152</f>
        <v>0</v>
      </c>
      <c r="P154" s="165">
        <f t="shared" si="8"/>
        <v>0.16848648000000008</v>
      </c>
      <c r="R154" s="290">
        <f t="shared" si="9"/>
        <v>1.0497600000000107E-3</v>
      </c>
      <c r="S154" s="160">
        <f t="shared" si="10"/>
        <v>0.89922303999999997</v>
      </c>
      <c r="T154" s="165">
        <f t="shared" si="11"/>
        <v>0</v>
      </c>
    </row>
    <row r="155" spans="13:20">
      <c r="M155" s="160">
        <f>Tornado!BU153</f>
        <v>3.90625E-3</v>
      </c>
      <c r="N155" s="155">
        <f>Tornado!BV153</f>
        <v>0.630859375</v>
      </c>
      <c r="O155" s="165">
        <f>Tornado!BW153</f>
        <v>0</v>
      </c>
      <c r="P155" s="165">
        <f t="shared" si="8"/>
        <v>0.16953624000000009</v>
      </c>
      <c r="R155" s="290">
        <f t="shared" si="9"/>
        <v>5.2488000000006085E-4</v>
      </c>
      <c r="S155" s="160">
        <f t="shared" si="10"/>
        <v>0.89974792000000003</v>
      </c>
      <c r="T155" s="165">
        <f t="shared" si="11"/>
        <v>0</v>
      </c>
    </row>
    <row r="156" spans="13:20">
      <c r="M156" s="160">
        <f>Tornado!BU154</f>
        <v>1.953125E-3</v>
      </c>
      <c r="N156" s="155">
        <f>Tornado!BV154</f>
        <v>0.6328125</v>
      </c>
      <c r="O156" s="165">
        <f>Tornado!BW154</f>
        <v>0</v>
      </c>
      <c r="P156" s="165">
        <f t="shared" si="8"/>
        <v>0.17006112000000009</v>
      </c>
      <c r="R156" s="290">
        <f t="shared" si="9"/>
        <v>1.0497600000000107E-3</v>
      </c>
      <c r="S156" s="160">
        <f t="shared" si="10"/>
        <v>0.90079768000000005</v>
      </c>
      <c r="T156" s="165">
        <f t="shared" si="11"/>
        <v>0</v>
      </c>
    </row>
    <row r="157" spans="13:20">
      <c r="M157" s="160">
        <f>Tornado!BU155</f>
        <v>3.90625E-3</v>
      </c>
      <c r="N157" s="155">
        <f>Tornado!BV155</f>
        <v>0.63671875</v>
      </c>
      <c r="O157" s="165">
        <f>Tornado!BW155</f>
        <v>0</v>
      </c>
      <c r="P157" s="165">
        <f t="shared" si="8"/>
        <v>0.17111088000000008</v>
      </c>
      <c r="R157" s="290">
        <f t="shared" si="9"/>
        <v>5.2487999999994983E-4</v>
      </c>
      <c r="S157" s="160">
        <f t="shared" si="10"/>
        <v>0.90132255999999999</v>
      </c>
      <c r="T157" s="165">
        <f t="shared" si="11"/>
        <v>0</v>
      </c>
    </row>
    <row r="158" spans="13:20">
      <c r="M158" s="160">
        <f>Tornado!BU156</f>
        <v>7.8125E-3</v>
      </c>
      <c r="N158" s="155">
        <f>Tornado!BV156</f>
        <v>0.64453125</v>
      </c>
      <c r="O158" s="165">
        <f>Tornado!BW156</f>
        <v>0</v>
      </c>
      <c r="P158" s="165">
        <f t="shared" si="8"/>
        <v>0.17321040000000007</v>
      </c>
      <c r="R158" s="290">
        <f t="shared" si="9"/>
        <v>1.0497600000000107E-3</v>
      </c>
      <c r="S158" s="160">
        <f t="shared" si="10"/>
        <v>0.90237232000000001</v>
      </c>
      <c r="T158" s="165">
        <f t="shared" si="11"/>
        <v>0</v>
      </c>
    </row>
    <row r="159" spans="13:20">
      <c r="M159" s="160">
        <f>Tornado!BU157</f>
        <v>3.90625E-3</v>
      </c>
      <c r="N159" s="155">
        <f>Tornado!BV157</f>
        <v>0.6484375</v>
      </c>
      <c r="O159" s="165">
        <f>Tornado!BW157</f>
        <v>0</v>
      </c>
      <c r="P159" s="165">
        <f t="shared" si="8"/>
        <v>0.17426016000000008</v>
      </c>
      <c r="R159" s="290">
        <f t="shared" si="9"/>
        <v>2.0995200000000214E-3</v>
      </c>
      <c r="S159" s="160">
        <f t="shared" si="10"/>
        <v>0.90447184000000003</v>
      </c>
      <c r="T159" s="165">
        <f t="shared" si="11"/>
        <v>0</v>
      </c>
    </row>
    <row r="160" spans="13:20">
      <c r="M160" s="160">
        <f>Tornado!BU158</f>
        <v>1.953125E-3</v>
      </c>
      <c r="N160" s="155">
        <f>Tornado!BV158</f>
        <v>0.650390625</v>
      </c>
      <c r="O160" s="165">
        <f>Tornado!BW158</f>
        <v>0</v>
      </c>
      <c r="P160" s="165">
        <f t="shared" si="8"/>
        <v>0.17478504000000009</v>
      </c>
      <c r="R160" s="290">
        <f t="shared" si="9"/>
        <v>1.0497600000000107E-3</v>
      </c>
      <c r="S160" s="160">
        <f t="shared" si="10"/>
        <v>0.90552160000000004</v>
      </c>
      <c r="T160" s="165">
        <f t="shared" si="11"/>
        <v>0</v>
      </c>
    </row>
    <row r="161" spans="13:20">
      <c r="M161" s="160">
        <f>Tornado!BU159</f>
        <v>9.765625E-4</v>
      </c>
      <c r="N161" s="155">
        <f>Tornado!BV159</f>
        <v>0.6513671875</v>
      </c>
      <c r="O161" s="165">
        <f>Tornado!BW159</f>
        <v>0</v>
      </c>
      <c r="P161" s="165">
        <f t="shared" si="8"/>
        <v>0.17504748000000009</v>
      </c>
      <c r="R161" s="290">
        <f t="shared" si="9"/>
        <v>5.2487999999994983E-4</v>
      </c>
      <c r="S161" s="160">
        <f t="shared" si="10"/>
        <v>0.90604647999999999</v>
      </c>
      <c r="T161" s="165">
        <f t="shared" si="11"/>
        <v>0</v>
      </c>
    </row>
    <row r="162" spans="13:20">
      <c r="M162" s="160">
        <f>Tornado!BU160</f>
        <v>1.953125E-3</v>
      </c>
      <c r="N162" s="155">
        <f>Tornado!BV160</f>
        <v>0.6533203125</v>
      </c>
      <c r="O162" s="165">
        <f>Tornado!BW160</f>
        <v>0</v>
      </c>
      <c r="P162" s="165">
        <f t="shared" si="8"/>
        <v>0.17557236000000009</v>
      </c>
      <c r="R162" s="290">
        <f t="shared" si="9"/>
        <v>2.6244000000008594E-4</v>
      </c>
      <c r="S162" s="160">
        <f t="shared" si="10"/>
        <v>0.90630892000000007</v>
      </c>
      <c r="T162" s="165">
        <f t="shared" si="11"/>
        <v>0</v>
      </c>
    </row>
    <row r="163" spans="13:20">
      <c r="M163" s="160">
        <f>Tornado!BU161</f>
        <v>3.90625E-3</v>
      </c>
      <c r="N163" s="155">
        <f>Tornado!BV161</f>
        <v>0.6572265625</v>
      </c>
      <c r="O163" s="165">
        <f>Tornado!BW161</f>
        <v>0</v>
      </c>
      <c r="P163" s="165">
        <f t="shared" si="8"/>
        <v>0.17662212000000008</v>
      </c>
      <c r="R163" s="290">
        <f t="shared" si="9"/>
        <v>5.2487999999994983E-4</v>
      </c>
      <c r="S163" s="160">
        <f t="shared" si="10"/>
        <v>0.90683380000000002</v>
      </c>
      <c r="T163" s="165">
        <f t="shared" si="11"/>
        <v>0</v>
      </c>
    </row>
    <row r="164" spans="13:20">
      <c r="M164" s="160">
        <f>Tornado!BU162</f>
        <v>7.8125E-3</v>
      </c>
      <c r="N164" s="155">
        <f>Tornado!BV162</f>
        <v>0.6650390625</v>
      </c>
      <c r="O164" s="165">
        <f>Tornado!BW162</f>
        <v>0</v>
      </c>
      <c r="P164" s="165">
        <f t="shared" si="8"/>
        <v>0.17872164000000007</v>
      </c>
      <c r="R164" s="290">
        <f t="shared" si="9"/>
        <v>1.0497600000000107E-3</v>
      </c>
      <c r="S164" s="160">
        <f t="shared" si="10"/>
        <v>0.90788356000000003</v>
      </c>
      <c r="T164" s="165">
        <f t="shared" si="11"/>
        <v>0</v>
      </c>
    </row>
    <row r="165" spans="13:20">
      <c r="M165" s="160">
        <f>Tornado!BU163</f>
        <v>3.90625E-3</v>
      </c>
      <c r="N165" s="155">
        <f>Tornado!BV163</f>
        <v>0.6689453125</v>
      </c>
      <c r="O165" s="165">
        <f>Tornado!BW163</f>
        <v>0</v>
      </c>
      <c r="P165" s="165">
        <f t="shared" si="8"/>
        <v>0.17977140000000008</v>
      </c>
      <c r="R165" s="290">
        <f t="shared" si="9"/>
        <v>2.0995199999999103E-3</v>
      </c>
      <c r="S165" s="160">
        <f t="shared" si="10"/>
        <v>0.90998307999999994</v>
      </c>
      <c r="T165" s="165">
        <f t="shared" si="11"/>
        <v>0</v>
      </c>
    </row>
    <row r="166" spans="13:20">
      <c r="M166" s="160">
        <f>Tornado!BU164</f>
        <v>1.953125E-3</v>
      </c>
      <c r="N166" s="155">
        <f>Tornado!BV164</f>
        <v>0.6708984375</v>
      </c>
      <c r="O166" s="165">
        <f>Tornado!BW164</f>
        <v>0</v>
      </c>
      <c r="P166" s="165">
        <f t="shared" si="8"/>
        <v>0.18029628000000009</v>
      </c>
      <c r="R166" s="290">
        <f t="shared" si="9"/>
        <v>1.0497600000001217E-3</v>
      </c>
      <c r="S166" s="160">
        <f t="shared" si="10"/>
        <v>0.91103284000000007</v>
      </c>
      <c r="T166" s="165">
        <f t="shared" si="11"/>
        <v>0</v>
      </c>
    </row>
    <row r="167" spans="13:20">
      <c r="M167" s="160">
        <f>Tornado!BU165</f>
        <v>9.765625E-4</v>
      </c>
      <c r="N167" s="155">
        <f>Tornado!BV165</f>
        <v>0.671875</v>
      </c>
      <c r="O167" s="165">
        <f>Tornado!BW165</f>
        <v>0</v>
      </c>
      <c r="P167" s="165">
        <f t="shared" si="8"/>
        <v>0.18055872000000009</v>
      </c>
      <c r="R167" s="290">
        <f t="shared" si="9"/>
        <v>5.2487999999994983E-4</v>
      </c>
      <c r="S167" s="160">
        <f t="shared" si="10"/>
        <v>0.91155772000000002</v>
      </c>
      <c r="T167" s="165">
        <f t="shared" si="11"/>
        <v>0</v>
      </c>
    </row>
    <row r="168" spans="13:20">
      <c r="M168" s="160">
        <f>Tornado!BU166</f>
        <v>1.953125E-3</v>
      </c>
      <c r="N168" s="155">
        <f>Tornado!BV166</f>
        <v>0.673828125</v>
      </c>
      <c r="O168" s="165">
        <f>Tornado!BW166</f>
        <v>0</v>
      </c>
      <c r="P168" s="165">
        <f t="shared" si="8"/>
        <v>0.18108360000000009</v>
      </c>
      <c r="R168" s="290">
        <f t="shared" si="9"/>
        <v>2.6243999999997492E-4</v>
      </c>
      <c r="S168" s="160">
        <f t="shared" si="10"/>
        <v>0.91182015999999999</v>
      </c>
      <c r="T168" s="165">
        <f t="shared" si="11"/>
        <v>0</v>
      </c>
    </row>
    <row r="169" spans="13:20">
      <c r="M169" s="160">
        <f>Tornado!BU167</f>
        <v>9.765625E-4</v>
      </c>
      <c r="N169" s="155">
        <f>Tornado!BV167</f>
        <v>0.6748046875</v>
      </c>
      <c r="O169" s="165">
        <f>Tornado!BW167</f>
        <v>0</v>
      </c>
      <c r="P169" s="165">
        <f t="shared" si="8"/>
        <v>0.1813460400000001</v>
      </c>
      <c r="R169" s="290">
        <f t="shared" si="9"/>
        <v>5.2488000000006085E-4</v>
      </c>
      <c r="S169" s="160">
        <f t="shared" si="10"/>
        <v>0.91234504000000005</v>
      </c>
      <c r="T169" s="165">
        <f t="shared" si="11"/>
        <v>0</v>
      </c>
    </row>
    <row r="170" spans="13:20">
      <c r="M170" s="160">
        <f>Tornado!BU168</f>
        <v>1.953125E-3</v>
      </c>
      <c r="N170" s="155">
        <f>Tornado!BV168</f>
        <v>0.6767578125</v>
      </c>
      <c r="O170" s="165">
        <f>Tornado!BW168</f>
        <v>0</v>
      </c>
      <c r="P170" s="165">
        <f t="shared" si="8"/>
        <v>0.18187092000000007</v>
      </c>
      <c r="R170" s="290">
        <f t="shared" si="9"/>
        <v>2.6243999999997492E-4</v>
      </c>
      <c r="S170" s="160">
        <f t="shared" si="10"/>
        <v>0.91260748000000003</v>
      </c>
      <c r="T170" s="165">
        <f t="shared" si="11"/>
        <v>0</v>
      </c>
    </row>
    <row r="171" spans="13:20">
      <c r="M171" s="160">
        <f>Tornado!BU169</f>
        <v>9.765625E-4</v>
      </c>
      <c r="N171" s="155">
        <f>Tornado!BV169</f>
        <v>0.677734375</v>
      </c>
      <c r="O171" s="165">
        <f>Tornado!BW169</f>
        <v>0</v>
      </c>
      <c r="P171" s="165">
        <f t="shared" si="8"/>
        <v>0.18213336000000008</v>
      </c>
      <c r="R171" s="290">
        <f t="shared" si="9"/>
        <v>5.2487999999994983E-4</v>
      </c>
      <c r="S171" s="160">
        <f t="shared" si="10"/>
        <v>0.91313235999999998</v>
      </c>
      <c r="T171" s="165">
        <f t="shared" si="11"/>
        <v>0</v>
      </c>
    </row>
    <row r="172" spans="13:20">
      <c r="M172" s="160">
        <f>Tornado!BU170</f>
        <v>1.953125E-3</v>
      </c>
      <c r="N172" s="155">
        <f>Tornado!BV170</f>
        <v>0.6796875</v>
      </c>
      <c r="O172" s="165">
        <f>Tornado!BW170</f>
        <v>0</v>
      </c>
      <c r="P172" s="165">
        <f t="shared" si="8"/>
        <v>0.18265824000000008</v>
      </c>
      <c r="R172" s="290">
        <f t="shared" si="9"/>
        <v>2.6244000000008594E-4</v>
      </c>
      <c r="S172" s="160">
        <f t="shared" si="10"/>
        <v>0.91339480000000006</v>
      </c>
      <c r="T172" s="165">
        <f t="shared" si="11"/>
        <v>0</v>
      </c>
    </row>
    <row r="173" spans="13:20">
      <c r="M173" s="160">
        <f>Tornado!BU171</f>
        <v>3.90625E-3</v>
      </c>
      <c r="N173" s="155">
        <f>Tornado!BV171</f>
        <v>0.68359375</v>
      </c>
      <c r="O173" s="165">
        <f>Tornado!BW171</f>
        <v>0</v>
      </c>
      <c r="P173" s="165">
        <f t="shared" si="8"/>
        <v>0.18370800000000009</v>
      </c>
      <c r="R173" s="290">
        <f t="shared" si="9"/>
        <v>5.2487999999994983E-4</v>
      </c>
      <c r="S173" s="160">
        <f t="shared" si="10"/>
        <v>0.91391968000000001</v>
      </c>
      <c r="T173" s="165">
        <f t="shared" si="11"/>
        <v>0</v>
      </c>
    </row>
    <row r="174" spans="13:20">
      <c r="M174" s="160">
        <f>Tornado!BU172</f>
        <v>1.953125E-3</v>
      </c>
      <c r="N174" s="155">
        <f>Tornado!BV172</f>
        <v>0.685546875</v>
      </c>
      <c r="O174" s="165">
        <f>Tornado!BW172</f>
        <v>0</v>
      </c>
      <c r="P174" s="165">
        <f t="shared" si="8"/>
        <v>0.1842328800000001</v>
      </c>
      <c r="R174" s="290">
        <f t="shared" si="9"/>
        <v>1.0497600000000107E-3</v>
      </c>
      <c r="S174" s="160">
        <f t="shared" si="10"/>
        <v>0.91496944000000002</v>
      </c>
      <c r="T174" s="165">
        <f t="shared" si="11"/>
        <v>0</v>
      </c>
    </row>
    <row r="175" spans="13:20">
      <c r="M175" s="160">
        <f>Tornado!BU173</f>
        <v>9.765625E-4</v>
      </c>
      <c r="N175" s="155">
        <f>Tornado!BV173</f>
        <v>0.6865234375</v>
      </c>
      <c r="O175" s="165">
        <f>Tornado!BW173</f>
        <v>0</v>
      </c>
      <c r="P175" s="165">
        <f t="shared" si="8"/>
        <v>0.18449532000000007</v>
      </c>
      <c r="R175" s="290">
        <f t="shared" si="9"/>
        <v>5.2488000000006085E-4</v>
      </c>
      <c r="S175" s="160">
        <f t="shared" si="10"/>
        <v>0.91549432000000008</v>
      </c>
      <c r="T175" s="165">
        <f t="shared" si="11"/>
        <v>0</v>
      </c>
    </row>
    <row r="176" spans="13:20">
      <c r="M176" s="160">
        <f>Tornado!BU174</f>
        <v>1.953125E-3</v>
      </c>
      <c r="N176" s="155">
        <f>Tornado!BV174</f>
        <v>0.6884765625</v>
      </c>
      <c r="O176" s="165">
        <f>Tornado!BW174</f>
        <v>0</v>
      </c>
      <c r="P176" s="165">
        <f t="shared" si="8"/>
        <v>0.18502020000000008</v>
      </c>
      <c r="R176" s="290">
        <f t="shared" si="9"/>
        <v>2.6243999999997492E-4</v>
      </c>
      <c r="S176" s="160">
        <f t="shared" si="10"/>
        <v>0.91575676000000006</v>
      </c>
      <c r="T176" s="165">
        <f t="shared" si="11"/>
        <v>0</v>
      </c>
    </row>
    <row r="177" spans="13:20">
      <c r="M177" s="160">
        <f>Tornado!BU175</f>
        <v>9.765625E-4</v>
      </c>
      <c r="N177" s="155">
        <f>Tornado!BV175</f>
        <v>0.689453125</v>
      </c>
      <c r="O177" s="165">
        <f>Tornado!BW175</f>
        <v>0</v>
      </c>
      <c r="P177" s="165">
        <f t="shared" si="8"/>
        <v>0.18528264000000008</v>
      </c>
      <c r="R177" s="290">
        <f t="shared" si="9"/>
        <v>5.2487999999994983E-4</v>
      </c>
      <c r="S177" s="160">
        <f t="shared" si="10"/>
        <v>0.91628164000000001</v>
      </c>
      <c r="T177" s="165">
        <f t="shared" si="11"/>
        <v>0</v>
      </c>
    </row>
    <row r="178" spans="13:20">
      <c r="M178" s="160">
        <f>Tornado!BU176</f>
        <v>1.953125E-3</v>
      </c>
      <c r="N178" s="155">
        <f>Tornado!BV176</f>
        <v>0.69140625</v>
      </c>
      <c r="O178" s="165">
        <f>Tornado!BW176</f>
        <v>0</v>
      </c>
      <c r="P178" s="165">
        <f t="shared" si="8"/>
        <v>0.18580752000000009</v>
      </c>
      <c r="R178" s="290">
        <f t="shared" si="9"/>
        <v>2.6243999999997492E-4</v>
      </c>
      <c r="S178" s="160">
        <f t="shared" si="10"/>
        <v>0.91654407999999998</v>
      </c>
      <c r="T178" s="165">
        <f t="shared" si="11"/>
        <v>0</v>
      </c>
    </row>
    <row r="179" spans="13:20">
      <c r="M179" s="160">
        <f>Tornado!BU177</f>
        <v>3.90625E-3</v>
      </c>
      <c r="N179" s="155">
        <f>Tornado!BV177</f>
        <v>0.6953125</v>
      </c>
      <c r="O179" s="165">
        <f>Tornado!BW177</f>
        <v>0</v>
      </c>
      <c r="P179" s="165">
        <f t="shared" si="8"/>
        <v>0.1868572800000001</v>
      </c>
      <c r="R179" s="290">
        <f t="shared" si="9"/>
        <v>5.2488000000006085E-4</v>
      </c>
      <c r="S179" s="160">
        <f t="shared" si="10"/>
        <v>0.91706896000000004</v>
      </c>
      <c r="T179" s="165">
        <f t="shared" si="11"/>
        <v>0</v>
      </c>
    </row>
    <row r="180" spans="13:20">
      <c r="M180" s="160">
        <f>Tornado!BU178</f>
        <v>1.953125E-3</v>
      </c>
      <c r="N180" s="155">
        <f>Tornado!BV178</f>
        <v>0.697265625</v>
      </c>
      <c r="O180" s="165">
        <f>Tornado!BW178</f>
        <v>0</v>
      </c>
      <c r="P180" s="165">
        <f t="shared" si="8"/>
        <v>0.18738216000000008</v>
      </c>
      <c r="R180" s="290">
        <f t="shared" si="9"/>
        <v>1.0497600000000107E-3</v>
      </c>
      <c r="S180" s="160">
        <f t="shared" si="10"/>
        <v>0.91811872000000005</v>
      </c>
      <c r="T180" s="165">
        <f t="shared" si="11"/>
        <v>0</v>
      </c>
    </row>
    <row r="181" spans="13:20">
      <c r="M181" s="160">
        <f>Tornado!BU179</f>
        <v>3.90625E-3</v>
      </c>
      <c r="N181" s="155">
        <f>Tornado!BV179</f>
        <v>0.701171875</v>
      </c>
      <c r="O181" s="165">
        <f>Tornado!BW179</f>
        <v>0</v>
      </c>
      <c r="P181" s="165">
        <f t="shared" si="8"/>
        <v>0.18843192000000009</v>
      </c>
      <c r="R181" s="290">
        <f t="shared" si="9"/>
        <v>5.2487999999994983E-4</v>
      </c>
      <c r="S181" s="160">
        <f t="shared" si="10"/>
        <v>0.9186436</v>
      </c>
      <c r="T181" s="165">
        <f t="shared" si="11"/>
        <v>0</v>
      </c>
    </row>
    <row r="182" spans="13:20">
      <c r="M182" s="160">
        <f>Tornado!BU180</f>
        <v>1.953125E-3</v>
      </c>
      <c r="N182" s="155">
        <f>Tornado!BV180</f>
        <v>0.703125</v>
      </c>
      <c r="O182" s="165">
        <f>Tornado!BW180</f>
        <v>0</v>
      </c>
      <c r="P182" s="165">
        <f t="shared" si="8"/>
        <v>0.18895680000000009</v>
      </c>
      <c r="R182" s="290">
        <f t="shared" si="9"/>
        <v>1.0497600000000107E-3</v>
      </c>
      <c r="S182" s="160">
        <f t="shared" si="10"/>
        <v>0.91969336000000002</v>
      </c>
      <c r="T182" s="165">
        <f t="shared" si="11"/>
        <v>0</v>
      </c>
    </row>
    <row r="183" spans="13:20">
      <c r="M183" s="160">
        <f>Tornado!BU181</f>
        <v>3.90625E-3</v>
      </c>
      <c r="N183" s="155">
        <f>Tornado!BV181</f>
        <v>0.70703125</v>
      </c>
      <c r="O183" s="165">
        <f>Tornado!BW181</f>
        <v>0</v>
      </c>
      <c r="P183" s="165">
        <f t="shared" si="8"/>
        <v>0.1900065600000001</v>
      </c>
      <c r="R183" s="290">
        <f t="shared" si="9"/>
        <v>5.2488000000006085E-4</v>
      </c>
      <c r="S183" s="160">
        <f t="shared" si="10"/>
        <v>0.92021824000000008</v>
      </c>
      <c r="T183" s="165">
        <f t="shared" si="11"/>
        <v>0</v>
      </c>
    </row>
    <row r="184" spans="13:20">
      <c r="M184" s="160">
        <f>Tornado!BU182</f>
        <v>1.953125E-3</v>
      </c>
      <c r="N184" s="155">
        <f>Tornado!BV182</f>
        <v>0.708984375</v>
      </c>
      <c r="O184" s="165">
        <f>Tornado!BW182</f>
        <v>0</v>
      </c>
      <c r="P184" s="165">
        <f t="shared" si="8"/>
        <v>0.19053144000000008</v>
      </c>
      <c r="R184" s="290">
        <f t="shared" si="9"/>
        <v>1.0497599999998997E-3</v>
      </c>
      <c r="S184" s="160">
        <f t="shared" si="10"/>
        <v>0.92126799999999998</v>
      </c>
      <c r="T184" s="165">
        <f t="shared" si="11"/>
        <v>0</v>
      </c>
    </row>
    <row r="185" spans="13:20">
      <c r="M185" s="160">
        <f>Tornado!BU183</f>
        <v>9.765625E-4</v>
      </c>
      <c r="N185" s="155">
        <f>Tornado!BV183</f>
        <v>0.7099609375</v>
      </c>
      <c r="O185" s="165">
        <f>Tornado!BW183</f>
        <v>0</v>
      </c>
      <c r="P185" s="165">
        <f t="shared" si="8"/>
        <v>0.19079388000000008</v>
      </c>
      <c r="R185" s="290">
        <f t="shared" si="9"/>
        <v>5.2488000000006085E-4</v>
      </c>
      <c r="S185" s="160">
        <f t="shared" si="10"/>
        <v>0.92179288000000004</v>
      </c>
      <c r="T185" s="165">
        <f t="shared" si="11"/>
        <v>0</v>
      </c>
    </row>
    <row r="186" spans="13:20">
      <c r="M186" s="160">
        <f>Tornado!BU184</f>
        <v>1.953125E-3</v>
      </c>
      <c r="N186" s="155">
        <f>Tornado!BV184</f>
        <v>0.7119140625</v>
      </c>
      <c r="O186" s="165">
        <f>Tornado!BW184</f>
        <v>0</v>
      </c>
      <c r="P186" s="165">
        <f t="shared" si="8"/>
        <v>0.19131876000000009</v>
      </c>
      <c r="R186" s="290">
        <f t="shared" si="9"/>
        <v>2.6243999999997492E-4</v>
      </c>
      <c r="S186" s="160">
        <f t="shared" si="10"/>
        <v>0.92205532000000001</v>
      </c>
      <c r="T186" s="165">
        <f t="shared" si="11"/>
        <v>0</v>
      </c>
    </row>
    <row r="187" spans="13:20">
      <c r="M187" s="160">
        <f>Tornado!BU185</f>
        <v>9.765625E-4</v>
      </c>
      <c r="N187" s="155">
        <f>Tornado!BV185</f>
        <v>0.712890625</v>
      </c>
      <c r="O187" s="165">
        <f>Tornado!BW185</f>
        <v>0</v>
      </c>
      <c r="P187" s="165">
        <f t="shared" si="8"/>
        <v>0.19158120000000009</v>
      </c>
      <c r="R187" s="290">
        <f t="shared" si="9"/>
        <v>5.2488000000006085E-4</v>
      </c>
      <c r="S187" s="160">
        <f t="shared" si="10"/>
        <v>0.92258020000000007</v>
      </c>
      <c r="T187" s="165">
        <f t="shared" si="11"/>
        <v>0</v>
      </c>
    </row>
    <row r="188" spans="13:20">
      <c r="M188" s="160">
        <f>Tornado!BU186</f>
        <v>1.953125E-3</v>
      </c>
      <c r="N188" s="155">
        <f>Tornado!BV186</f>
        <v>0.71484375</v>
      </c>
      <c r="O188" s="165">
        <f>Tornado!BW186</f>
        <v>0</v>
      </c>
      <c r="P188" s="165">
        <f t="shared" si="8"/>
        <v>0.1921060800000001</v>
      </c>
      <c r="R188" s="290">
        <f t="shared" si="9"/>
        <v>2.6243999999997492E-4</v>
      </c>
      <c r="S188" s="160">
        <f t="shared" si="10"/>
        <v>0.92284264000000005</v>
      </c>
      <c r="T188" s="165">
        <f t="shared" si="11"/>
        <v>0</v>
      </c>
    </row>
    <row r="189" spans="13:20">
      <c r="M189" s="160">
        <f>Tornado!BU187</f>
        <v>9.765625E-4</v>
      </c>
      <c r="N189" s="155">
        <f>Tornado!BV187</f>
        <v>0.7158203125</v>
      </c>
      <c r="O189" s="165">
        <f>Tornado!BW187</f>
        <v>0</v>
      </c>
      <c r="P189" s="165">
        <f t="shared" si="8"/>
        <v>0.1923685200000001</v>
      </c>
      <c r="R189" s="290">
        <f t="shared" si="9"/>
        <v>5.2487999999994983E-4</v>
      </c>
      <c r="S189" s="160">
        <f t="shared" si="10"/>
        <v>0.92336752</v>
      </c>
      <c r="T189" s="165">
        <f t="shared" si="11"/>
        <v>0</v>
      </c>
    </row>
    <row r="190" spans="13:20">
      <c r="M190" s="160">
        <f>Tornado!BU188</f>
        <v>1.953125E-3</v>
      </c>
      <c r="N190" s="155">
        <f>Tornado!BV188</f>
        <v>0.7177734375</v>
      </c>
      <c r="O190" s="165">
        <f>Tornado!BW188</f>
        <v>0</v>
      </c>
      <c r="P190" s="165">
        <f t="shared" si="8"/>
        <v>0.1928934000000001</v>
      </c>
      <c r="R190" s="290">
        <f t="shared" si="9"/>
        <v>2.6243999999997492E-4</v>
      </c>
      <c r="S190" s="160">
        <f t="shared" si="10"/>
        <v>0.92362995999999997</v>
      </c>
      <c r="T190" s="165">
        <f t="shared" si="11"/>
        <v>0</v>
      </c>
    </row>
    <row r="191" spans="13:20">
      <c r="M191" s="160">
        <f>Tornado!BU189</f>
        <v>3.90625E-3</v>
      </c>
      <c r="N191" s="155">
        <f>Tornado!BV189</f>
        <v>0.7216796875</v>
      </c>
      <c r="O191" s="165">
        <f>Tornado!BW189</f>
        <v>0</v>
      </c>
      <c r="P191" s="165">
        <f t="shared" si="8"/>
        <v>0.19394316000000009</v>
      </c>
      <c r="R191" s="290">
        <f t="shared" si="9"/>
        <v>5.2488000000006085E-4</v>
      </c>
      <c r="S191" s="160">
        <f t="shared" si="10"/>
        <v>0.92415484000000003</v>
      </c>
      <c r="T191" s="165">
        <f t="shared" si="11"/>
        <v>0</v>
      </c>
    </row>
    <row r="192" spans="13:20">
      <c r="M192" s="160">
        <f>Tornado!BU190</f>
        <v>1.953125E-3</v>
      </c>
      <c r="N192" s="155">
        <f>Tornado!BV190</f>
        <v>0.7236328125</v>
      </c>
      <c r="O192" s="165">
        <f>Tornado!BW190</f>
        <v>0</v>
      </c>
      <c r="P192" s="165">
        <f t="shared" si="8"/>
        <v>0.19446804000000009</v>
      </c>
      <c r="R192" s="290">
        <f t="shared" si="9"/>
        <v>1.0497600000000107E-3</v>
      </c>
      <c r="S192" s="160">
        <f t="shared" si="10"/>
        <v>0.92520460000000004</v>
      </c>
      <c r="T192" s="165">
        <f t="shared" si="11"/>
        <v>0</v>
      </c>
    </row>
    <row r="193" spans="13:20">
      <c r="M193" s="160">
        <f>Tornado!BU191</f>
        <v>3.90625E-3</v>
      </c>
      <c r="N193" s="155">
        <f>Tornado!BV191</f>
        <v>0.7275390625</v>
      </c>
      <c r="O193" s="165">
        <f>Tornado!BW191</f>
        <v>0</v>
      </c>
      <c r="P193" s="165">
        <f t="shared" si="8"/>
        <v>0.1955178000000001</v>
      </c>
      <c r="R193" s="290">
        <f t="shared" si="9"/>
        <v>5.2487999999994983E-4</v>
      </c>
      <c r="S193" s="160">
        <f t="shared" si="10"/>
        <v>0.92572947999999999</v>
      </c>
      <c r="T193" s="165">
        <f t="shared" si="11"/>
        <v>0</v>
      </c>
    </row>
    <row r="194" spans="13:20">
      <c r="M194" s="160">
        <f>Tornado!BU192</f>
        <v>1.953125E-3</v>
      </c>
      <c r="N194" s="155">
        <f>Tornado!BV192</f>
        <v>0.7294921875</v>
      </c>
      <c r="O194" s="165">
        <f>Tornado!BW192</f>
        <v>0</v>
      </c>
      <c r="P194" s="165">
        <f t="shared" si="8"/>
        <v>0.19604268000000008</v>
      </c>
      <c r="R194" s="290">
        <f t="shared" si="9"/>
        <v>1.0497600000000107E-3</v>
      </c>
      <c r="S194" s="160">
        <f t="shared" si="10"/>
        <v>0.92677924</v>
      </c>
      <c r="T194" s="165">
        <f t="shared" si="11"/>
        <v>0</v>
      </c>
    </row>
    <row r="195" spans="13:20">
      <c r="M195" s="160">
        <f>Tornado!BU193</f>
        <v>3.90625E-3</v>
      </c>
      <c r="N195" s="155">
        <f>Tornado!BV193</f>
        <v>0.7333984375</v>
      </c>
      <c r="O195" s="165">
        <f>Tornado!BW193</f>
        <v>0</v>
      </c>
      <c r="P195" s="165">
        <f t="shared" si="8"/>
        <v>0.19709244000000009</v>
      </c>
      <c r="R195" s="290">
        <f t="shared" si="9"/>
        <v>5.2488000000006085E-4</v>
      </c>
      <c r="S195" s="160">
        <f t="shared" si="10"/>
        <v>0.92730412000000007</v>
      </c>
      <c r="T195" s="165">
        <f t="shared" si="11"/>
        <v>0</v>
      </c>
    </row>
    <row r="196" spans="13:20">
      <c r="M196" s="160">
        <f>Tornado!BU194</f>
        <v>7.8125E-3</v>
      </c>
      <c r="N196" s="155">
        <f>Tornado!BV194</f>
        <v>0.7412109375</v>
      </c>
      <c r="O196" s="165">
        <f>Tornado!BW194</f>
        <v>0</v>
      </c>
      <c r="P196" s="165">
        <f t="shared" si="8"/>
        <v>0.19919196000000008</v>
      </c>
      <c r="R196" s="290">
        <f t="shared" si="9"/>
        <v>1.0497599999998997E-3</v>
      </c>
      <c r="S196" s="160">
        <f t="shared" si="10"/>
        <v>0.92835387999999996</v>
      </c>
      <c r="T196" s="165">
        <f t="shared" si="11"/>
        <v>0</v>
      </c>
    </row>
    <row r="197" spans="13:20">
      <c r="M197" s="160">
        <f>Tornado!BU195</f>
        <v>3.90625E-3</v>
      </c>
      <c r="N197" s="155">
        <f>Tornado!BV195</f>
        <v>0.7451171875</v>
      </c>
      <c r="O197" s="165">
        <f>Tornado!BW195</f>
        <v>0</v>
      </c>
      <c r="P197" s="165">
        <f t="shared" si="8"/>
        <v>0.2002417200000001</v>
      </c>
      <c r="R197" s="290">
        <f t="shared" si="9"/>
        <v>2.0995200000000214E-3</v>
      </c>
      <c r="S197" s="160">
        <f t="shared" si="10"/>
        <v>0.93045339999999999</v>
      </c>
      <c r="T197" s="165">
        <f t="shared" si="11"/>
        <v>0</v>
      </c>
    </row>
    <row r="198" spans="13:20">
      <c r="M198" s="160">
        <f>Tornado!BU196</f>
        <v>7.8125E-3</v>
      </c>
      <c r="N198" s="155">
        <f>Tornado!BV196</f>
        <v>0.7529296875</v>
      </c>
      <c r="O198" s="165">
        <f>Tornado!BW196</f>
        <v>0</v>
      </c>
      <c r="P198" s="165">
        <f t="shared" si="8"/>
        <v>0.20234124000000009</v>
      </c>
      <c r="R198" s="290">
        <f t="shared" si="9"/>
        <v>1.0497600000000107E-3</v>
      </c>
      <c r="S198" s="160">
        <f t="shared" si="10"/>
        <v>0.93150316</v>
      </c>
      <c r="T198" s="165">
        <f t="shared" si="11"/>
        <v>0</v>
      </c>
    </row>
    <row r="199" spans="13:20">
      <c r="M199" s="160">
        <f>Tornado!BU197</f>
        <v>3.90625E-3</v>
      </c>
      <c r="N199" s="155">
        <f>Tornado!BV197</f>
        <v>0.7568359375</v>
      </c>
      <c r="O199" s="165">
        <f>Tornado!BW197</f>
        <v>0</v>
      </c>
      <c r="P199" s="165">
        <f t="shared" ref="P199:P249" si="12">pCrossChasm_total * N199</f>
        <v>0.2033910000000001</v>
      </c>
      <c r="R199" s="290">
        <f t="shared" si="9"/>
        <v>2.0995200000000214E-3</v>
      </c>
      <c r="S199" s="160">
        <f t="shared" si="10"/>
        <v>0.93360268000000002</v>
      </c>
      <c r="T199" s="165">
        <f t="shared" si="11"/>
        <v>0</v>
      </c>
    </row>
    <row r="200" spans="13:20">
      <c r="M200" s="160">
        <f>Tornado!BU198</f>
        <v>7.8125E-3</v>
      </c>
      <c r="N200" s="155">
        <f>Tornado!BV198</f>
        <v>0.7646484375</v>
      </c>
      <c r="O200" s="165">
        <f>Tornado!BW198</f>
        <v>0</v>
      </c>
      <c r="P200" s="165">
        <f t="shared" si="12"/>
        <v>0.20549052000000009</v>
      </c>
      <c r="R200" s="290">
        <f t="shared" ref="R200:R250" si="13">S200-S199</f>
        <v>1.0497600000000107E-3</v>
      </c>
      <c r="S200" s="160">
        <f t="shared" si="10"/>
        <v>0.93465244000000003</v>
      </c>
      <c r="T200" s="165">
        <f t="shared" si="11"/>
        <v>0</v>
      </c>
    </row>
    <row r="201" spans="13:20">
      <c r="M201" s="160">
        <f>Tornado!BU199</f>
        <v>1.5625E-2</v>
      </c>
      <c r="N201" s="155">
        <f>Tornado!BV199</f>
        <v>0.7802734375</v>
      </c>
      <c r="O201" s="165">
        <f>Tornado!BW199</f>
        <v>0</v>
      </c>
      <c r="P201" s="165">
        <f t="shared" si="12"/>
        <v>0.20968956000000011</v>
      </c>
      <c r="R201" s="290">
        <f t="shared" si="13"/>
        <v>2.0995200000000214E-3</v>
      </c>
      <c r="S201" s="160">
        <f t="shared" ref="S201:S250" si="14">P200+$S$7</f>
        <v>0.93675196000000005</v>
      </c>
      <c r="T201" s="165">
        <f t="shared" ref="T201:T250" si="15">O200</f>
        <v>0</v>
      </c>
    </row>
    <row r="202" spans="13:20">
      <c r="M202" s="160">
        <f>Tornado!BU200</f>
        <v>7.8125E-3</v>
      </c>
      <c r="N202" s="155">
        <f>Tornado!BV200</f>
        <v>0.7880859375</v>
      </c>
      <c r="O202" s="165">
        <f>Tornado!BW200</f>
        <v>0</v>
      </c>
      <c r="P202" s="165">
        <f t="shared" si="12"/>
        <v>0.2117890800000001</v>
      </c>
      <c r="R202" s="290">
        <f t="shared" si="13"/>
        <v>4.1990400000000427E-3</v>
      </c>
      <c r="S202" s="160">
        <f t="shared" si="14"/>
        <v>0.94095100000000009</v>
      </c>
      <c r="T202" s="165">
        <f t="shared" si="15"/>
        <v>0</v>
      </c>
    </row>
    <row r="203" spans="13:20">
      <c r="M203" s="160">
        <f>Tornado!BU201</f>
        <v>3.90625E-3</v>
      </c>
      <c r="N203" s="155">
        <f>Tornado!BV201</f>
        <v>0.7919921875</v>
      </c>
      <c r="O203" s="165">
        <f>Tornado!BW201</f>
        <v>0</v>
      </c>
      <c r="P203" s="165">
        <f t="shared" si="12"/>
        <v>0.21283884000000011</v>
      </c>
      <c r="R203" s="290">
        <f t="shared" si="13"/>
        <v>2.0995199999999103E-3</v>
      </c>
      <c r="S203" s="160">
        <f t="shared" si="14"/>
        <v>0.94305052</v>
      </c>
      <c r="T203" s="165">
        <f t="shared" si="15"/>
        <v>0</v>
      </c>
    </row>
    <row r="204" spans="13:20">
      <c r="M204" s="160">
        <f>Tornado!BU202</f>
        <v>7.8125E-3</v>
      </c>
      <c r="N204" s="155">
        <f>Tornado!BV202</f>
        <v>0.7998046875</v>
      </c>
      <c r="O204" s="165">
        <f>Tornado!BW202</f>
        <v>0</v>
      </c>
      <c r="P204" s="165">
        <f t="shared" si="12"/>
        <v>0.21493836000000011</v>
      </c>
      <c r="R204" s="290">
        <f t="shared" si="13"/>
        <v>1.0497600000000107E-3</v>
      </c>
      <c r="S204" s="160">
        <f t="shared" si="14"/>
        <v>0.94410028000000001</v>
      </c>
      <c r="T204" s="165">
        <f t="shared" si="15"/>
        <v>0</v>
      </c>
    </row>
    <row r="205" spans="13:20">
      <c r="M205" s="160">
        <f>Tornado!BU203</f>
        <v>3.90625E-3</v>
      </c>
      <c r="N205" s="155">
        <f>Tornado!BV203</f>
        <v>0.8037109375</v>
      </c>
      <c r="O205" s="165">
        <f>Tornado!BW203</f>
        <v>0</v>
      </c>
      <c r="P205" s="165">
        <f t="shared" si="12"/>
        <v>0.21598812000000009</v>
      </c>
      <c r="R205" s="290">
        <f t="shared" si="13"/>
        <v>2.0995200000000214E-3</v>
      </c>
      <c r="S205" s="160">
        <f t="shared" si="14"/>
        <v>0.94619980000000004</v>
      </c>
      <c r="T205" s="165">
        <f t="shared" si="15"/>
        <v>0</v>
      </c>
    </row>
    <row r="206" spans="13:20">
      <c r="M206" s="160">
        <f>Tornado!BU204</f>
        <v>7.8125E-3</v>
      </c>
      <c r="N206" s="155">
        <f>Tornado!BV204</f>
        <v>0.8115234375</v>
      </c>
      <c r="O206" s="165">
        <f>Tornado!BW204</f>
        <v>0</v>
      </c>
      <c r="P206" s="165">
        <f t="shared" si="12"/>
        <v>0.21808764000000011</v>
      </c>
      <c r="R206" s="290">
        <f t="shared" si="13"/>
        <v>1.0497600000000107E-3</v>
      </c>
      <c r="S206" s="160">
        <f t="shared" si="14"/>
        <v>0.94724956000000005</v>
      </c>
      <c r="T206" s="165">
        <f t="shared" si="15"/>
        <v>0</v>
      </c>
    </row>
    <row r="207" spans="13:20">
      <c r="M207" s="160">
        <f>Tornado!BU205</f>
        <v>3.90625E-3</v>
      </c>
      <c r="N207" s="155">
        <f>Tornado!BV205</f>
        <v>0.8154296875</v>
      </c>
      <c r="O207" s="165">
        <f>Tornado!BW205</f>
        <v>0</v>
      </c>
      <c r="P207" s="165">
        <f t="shared" si="12"/>
        <v>0.21913740000000009</v>
      </c>
      <c r="R207" s="290">
        <f t="shared" si="13"/>
        <v>2.0995200000000214E-3</v>
      </c>
      <c r="S207" s="160">
        <f t="shared" si="14"/>
        <v>0.94934908000000007</v>
      </c>
      <c r="T207" s="165">
        <f t="shared" si="15"/>
        <v>0</v>
      </c>
    </row>
    <row r="208" spans="13:20">
      <c r="M208" s="160">
        <f>Tornado!BU206</f>
        <v>7.8125E-3</v>
      </c>
      <c r="N208" s="155">
        <f>Tornado!BV206</f>
        <v>0.8232421875</v>
      </c>
      <c r="O208" s="165">
        <f>Tornado!BW206</f>
        <v>0</v>
      </c>
      <c r="P208" s="165">
        <f t="shared" si="12"/>
        <v>0.22123692000000011</v>
      </c>
      <c r="R208" s="290">
        <f t="shared" si="13"/>
        <v>1.0497600000000107E-3</v>
      </c>
      <c r="S208" s="160">
        <f t="shared" si="14"/>
        <v>0.95039884000000008</v>
      </c>
      <c r="T208" s="165">
        <f t="shared" si="15"/>
        <v>0</v>
      </c>
    </row>
    <row r="209" spans="13:20">
      <c r="M209" s="160">
        <f>Tornado!BU207</f>
        <v>1.5625E-2</v>
      </c>
      <c r="N209" s="155">
        <f>Tornado!BV207</f>
        <v>0.8388671875</v>
      </c>
      <c r="O209" s="165">
        <f>Tornado!BW207</f>
        <v>0</v>
      </c>
      <c r="P209" s="165">
        <f t="shared" si="12"/>
        <v>0.2254359600000001</v>
      </c>
      <c r="R209" s="290">
        <f t="shared" si="13"/>
        <v>2.0995200000000214E-3</v>
      </c>
      <c r="S209" s="160">
        <f t="shared" si="14"/>
        <v>0.9524983600000001</v>
      </c>
      <c r="T209" s="165">
        <f t="shared" si="15"/>
        <v>0</v>
      </c>
    </row>
    <row r="210" spans="13:20">
      <c r="M210" s="160">
        <f>Tornado!BU208</f>
        <v>7.8125E-3</v>
      </c>
      <c r="N210" s="155">
        <f>Tornado!BV208</f>
        <v>0.8466796875</v>
      </c>
      <c r="O210" s="165">
        <f>Tornado!BW208</f>
        <v>0</v>
      </c>
      <c r="P210" s="165">
        <f t="shared" si="12"/>
        <v>0.2275354800000001</v>
      </c>
      <c r="R210" s="290">
        <f t="shared" si="13"/>
        <v>4.1990399999999317E-3</v>
      </c>
      <c r="S210" s="160">
        <f t="shared" si="14"/>
        <v>0.95669740000000003</v>
      </c>
      <c r="T210" s="165">
        <f t="shared" si="15"/>
        <v>0</v>
      </c>
    </row>
    <row r="211" spans="13:20">
      <c r="M211" s="160">
        <f>Tornado!BU209</f>
        <v>1.5625E-2</v>
      </c>
      <c r="N211" s="155">
        <f>Tornado!BV209</f>
        <v>0.8623046875</v>
      </c>
      <c r="O211" s="165">
        <f>Tornado!BW209</f>
        <v>0</v>
      </c>
      <c r="P211" s="165">
        <f t="shared" si="12"/>
        <v>0.23173452000000011</v>
      </c>
      <c r="R211" s="290">
        <f t="shared" si="13"/>
        <v>2.0995200000000214E-3</v>
      </c>
      <c r="S211" s="160">
        <f t="shared" si="14"/>
        <v>0.95879692000000005</v>
      </c>
      <c r="T211" s="165">
        <f t="shared" si="15"/>
        <v>0</v>
      </c>
    </row>
    <row r="212" spans="13:20">
      <c r="M212" s="160">
        <f>Tornado!BU210</f>
        <v>7.8125E-3</v>
      </c>
      <c r="N212" s="155">
        <f>Tornado!BV210</f>
        <v>0.8701171875</v>
      </c>
      <c r="O212" s="165">
        <f>Tornado!BW210</f>
        <v>0</v>
      </c>
      <c r="P212" s="165">
        <f t="shared" si="12"/>
        <v>0.2338340400000001</v>
      </c>
      <c r="R212" s="290">
        <f t="shared" si="13"/>
        <v>4.1990399999999317E-3</v>
      </c>
      <c r="S212" s="160">
        <f t="shared" si="14"/>
        <v>0.96299595999999998</v>
      </c>
      <c r="T212" s="165">
        <f t="shared" si="15"/>
        <v>0</v>
      </c>
    </row>
    <row r="213" spans="13:20">
      <c r="M213" s="160">
        <f>Tornado!BU211</f>
        <v>3.90625E-3</v>
      </c>
      <c r="N213" s="155">
        <f>Tornado!BV211</f>
        <v>0.8740234375</v>
      </c>
      <c r="O213" s="165">
        <f>Tornado!BW211</f>
        <v>0</v>
      </c>
      <c r="P213" s="165">
        <f t="shared" si="12"/>
        <v>0.23488380000000011</v>
      </c>
      <c r="R213" s="290">
        <f t="shared" si="13"/>
        <v>2.0995200000000214E-3</v>
      </c>
      <c r="S213" s="160">
        <f t="shared" si="14"/>
        <v>0.96509548000000001</v>
      </c>
      <c r="T213" s="165">
        <f t="shared" si="15"/>
        <v>0</v>
      </c>
    </row>
    <row r="214" spans="13:20">
      <c r="M214" s="160">
        <f>Tornado!BU212</f>
        <v>1.953125E-3</v>
      </c>
      <c r="N214" s="155">
        <f>Tornado!BV212</f>
        <v>0.8759765625</v>
      </c>
      <c r="O214" s="165">
        <f>Tornado!BW212</f>
        <v>0</v>
      </c>
      <c r="P214" s="165">
        <f t="shared" si="12"/>
        <v>0.23540868000000012</v>
      </c>
      <c r="R214" s="290">
        <f t="shared" si="13"/>
        <v>1.0497600000000107E-3</v>
      </c>
      <c r="S214" s="160">
        <f t="shared" si="14"/>
        <v>0.96614524000000002</v>
      </c>
      <c r="T214" s="165">
        <f t="shared" si="15"/>
        <v>0</v>
      </c>
    </row>
    <row r="215" spans="13:20">
      <c r="M215" s="160">
        <f>Tornado!BU213</f>
        <v>3.90625E-3</v>
      </c>
      <c r="N215" s="155">
        <f>Tornado!BV213</f>
        <v>0.8798828125</v>
      </c>
      <c r="O215" s="165">
        <f>Tornado!BW213</f>
        <v>0</v>
      </c>
      <c r="P215" s="165">
        <f t="shared" si="12"/>
        <v>0.2364584400000001</v>
      </c>
      <c r="R215" s="290">
        <f t="shared" si="13"/>
        <v>5.2488000000006085E-4</v>
      </c>
      <c r="S215" s="160">
        <f t="shared" si="14"/>
        <v>0.96667012000000008</v>
      </c>
      <c r="T215" s="165">
        <f t="shared" si="15"/>
        <v>0</v>
      </c>
    </row>
    <row r="216" spans="13:20">
      <c r="M216" s="160">
        <f>Tornado!BU214</f>
        <v>7.8125E-3</v>
      </c>
      <c r="N216" s="155">
        <f>Tornado!BV214</f>
        <v>0.8876953125</v>
      </c>
      <c r="O216" s="165">
        <f>Tornado!BW214</f>
        <v>0</v>
      </c>
      <c r="P216" s="165">
        <f t="shared" si="12"/>
        <v>0.23855796000000012</v>
      </c>
      <c r="R216" s="290">
        <f t="shared" si="13"/>
        <v>1.0497599999998997E-3</v>
      </c>
      <c r="S216" s="160">
        <f t="shared" si="14"/>
        <v>0.96771987999999998</v>
      </c>
      <c r="T216" s="165">
        <f t="shared" si="15"/>
        <v>0</v>
      </c>
    </row>
    <row r="217" spans="13:20">
      <c r="M217" s="160">
        <f>Tornado!BU215</f>
        <v>1.5625E-2</v>
      </c>
      <c r="N217" s="155">
        <f>Tornado!BV215</f>
        <v>0.9033203125</v>
      </c>
      <c r="O217" s="165">
        <f>Tornado!BW215</f>
        <v>0</v>
      </c>
      <c r="P217" s="165">
        <f t="shared" si="12"/>
        <v>0.24275700000000011</v>
      </c>
      <c r="R217" s="290">
        <f t="shared" si="13"/>
        <v>2.0995200000000214E-3</v>
      </c>
      <c r="S217" s="160">
        <f t="shared" si="14"/>
        <v>0.9698194</v>
      </c>
      <c r="T217" s="165">
        <f t="shared" si="15"/>
        <v>0</v>
      </c>
    </row>
    <row r="218" spans="13:20">
      <c r="M218" s="160">
        <f>Tornado!BU216</f>
        <v>7.8125E-3</v>
      </c>
      <c r="N218" s="155">
        <f>Tornado!BV216</f>
        <v>0.9111328125</v>
      </c>
      <c r="O218" s="165">
        <f>Tornado!BW216</f>
        <v>0</v>
      </c>
      <c r="P218" s="165">
        <f t="shared" si="12"/>
        <v>0.24485652000000011</v>
      </c>
      <c r="R218" s="290">
        <f t="shared" si="13"/>
        <v>4.1990400000000427E-3</v>
      </c>
      <c r="S218" s="160">
        <f t="shared" si="14"/>
        <v>0.97401844000000004</v>
      </c>
      <c r="T218" s="165">
        <f t="shared" si="15"/>
        <v>0</v>
      </c>
    </row>
    <row r="219" spans="13:20">
      <c r="M219" s="160">
        <f>Tornado!BU217</f>
        <v>3.90625E-3</v>
      </c>
      <c r="N219" s="155">
        <f>Tornado!BV217</f>
        <v>0.9150390625</v>
      </c>
      <c r="O219" s="165">
        <f>Tornado!BW217</f>
        <v>0</v>
      </c>
      <c r="P219" s="165">
        <f t="shared" si="12"/>
        <v>0.24590628000000012</v>
      </c>
      <c r="R219" s="290">
        <f t="shared" si="13"/>
        <v>2.0995200000000214E-3</v>
      </c>
      <c r="S219" s="160">
        <f t="shared" si="14"/>
        <v>0.97611796000000006</v>
      </c>
      <c r="T219" s="165">
        <f t="shared" si="15"/>
        <v>0</v>
      </c>
    </row>
    <row r="220" spans="13:20">
      <c r="M220" s="160">
        <f>Tornado!BU218</f>
        <v>1.953125E-3</v>
      </c>
      <c r="N220" s="155">
        <f>Tornado!BV218</f>
        <v>0.9169921875</v>
      </c>
      <c r="O220" s="165">
        <f>Tornado!BW218</f>
        <v>0</v>
      </c>
      <c r="P220" s="165">
        <f t="shared" si="12"/>
        <v>0.24643116000000012</v>
      </c>
      <c r="R220" s="290">
        <f t="shared" si="13"/>
        <v>1.0497600000000107E-3</v>
      </c>
      <c r="S220" s="160">
        <f t="shared" si="14"/>
        <v>0.97716772000000007</v>
      </c>
      <c r="T220" s="165">
        <f t="shared" si="15"/>
        <v>0</v>
      </c>
    </row>
    <row r="221" spans="13:20">
      <c r="M221" s="160">
        <f>Tornado!BU219</f>
        <v>3.90625E-3</v>
      </c>
      <c r="N221" s="155">
        <f>Tornado!BV219</f>
        <v>0.9208984375</v>
      </c>
      <c r="O221" s="165">
        <f>Tornado!BW219</f>
        <v>0</v>
      </c>
      <c r="P221" s="165">
        <f t="shared" si="12"/>
        <v>0.2474809200000001</v>
      </c>
      <c r="R221" s="290">
        <f t="shared" si="13"/>
        <v>5.2487999999994983E-4</v>
      </c>
      <c r="S221" s="160">
        <f t="shared" si="14"/>
        <v>0.97769260000000002</v>
      </c>
      <c r="T221" s="165">
        <f t="shared" si="15"/>
        <v>0</v>
      </c>
    </row>
    <row r="222" spans="13:20">
      <c r="M222" s="160">
        <f>Tornado!BU220</f>
        <v>1.953125E-3</v>
      </c>
      <c r="N222" s="155">
        <f>Tornado!BV220</f>
        <v>0.9228515625</v>
      </c>
      <c r="O222" s="165">
        <f>Tornado!BW220</f>
        <v>0</v>
      </c>
      <c r="P222" s="165">
        <f t="shared" si="12"/>
        <v>0.24800580000000011</v>
      </c>
      <c r="R222" s="290">
        <f t="shared" si="13"/>
        <v>1.0497600000000107E-3</v>
      </c>
      <c r="S222" s="160">
        <f t="shared" si="14"/>
        <v>0.97874236000000003</v>
      </c>
      <c r="T222" s="165">
        <f t="shared" si="15"/>
        <v>0</v>
      </c>
    </row>
    <row r="223" spans="13:20">
      <c r="M223" s="160">
        <f>Tornado!BU221</f>
        <v>9.765625E-4</v>
      </c>
      <c r="N223" s="155">
        <f>Tornado!BV221</f>
        <v>0.923828125</v>
      </c>
      <c r="O223" s="165">
        <f>Tornado!BW221</f>
        <v>0</v>
      </c>
      <c r="P223" s="165">
        <f t="shared" si="12"/>
        <v>0.24826824000000011</v>
      </c>
      <c r="R223" s="290">
        <f t="shared" si="13"/>
        <v>5.2487999999994983E-4</v>
      </c>
      <c r="S223" s="160">
        <f t="shared" si="14"/>
        <v>0.97926723999999998</v>
      </c>
      <c r="T223" s="165">
        <f t="shared" si="15"/>
        <v>0</v>
      </c>
    </row>
    <row r="224" spans="13:20">
      <c r="M224" s="160">
        <f>Tornado!BU222</f>
        <v>1.953125E-3</v>
      </c>
      <c r="N224" s="155">
        <f>Tornado!BV222</f>
        <v>0.92578125</v>
      </c>
      <c r="O224" s="165">
        <f>Tornado!BW222</f>
        <v>0</v>
      </c>
      <c r="P224" s="165">
        <f t="shared" si="12"/>
        <v>0.24879312000000012</v>
      </c>
      <c r="R224" s="290">
        <f t="shared" si="13"/>
        <v>2.6244000000008594E-4</v>
      </c>
      <c r="S224" s="160">
        <f t="shared" si="14"/>
        <v>0.97952968000000007</v>
      </c>
      <c r="T224" s="165">
        <f t="shared" si="15"/>
        <v>0</v>
      </c>
    </row>
    <row r="225" spans="13:20">
      <c r="M225" s="160">
        <f>Tornado!BU223</f>
        <v>9.765625E-4</v>
      </c>
      <c r="N225" s="155">
        <f>Tornado!BV223</f>
        <v>0.9267578125</v>
      </c>
      <c r="O225" s="165">
        <f>Tornado!BW223</f>
        <v>0</v>
      </c>
      <c r="P225" s="165">
        <f t="shared" si="12"/>
        <v>0.24905556000000012</v>
      </c>
      <c r="R225" s="290">
        <f t="shared" si="13"/>
        <v>5.2487999999994983E-4</v>
      </c>
      <c r="S225" s="160">
        <f t="shared" si="14"/>
        <v>0.98005456000000002</v>
      </c>
      <c r="T225" s="165">
        <f t="shared" si="15"/>
        <v>0</v>
      </c>
    </row>
    <row r="226" spans="13:20">
      <c r="M226" s="160">
        <f>Tornado!BU224</f>
        <v>1.953125E-3</v>
      </c>
      <c r="N226" s="155">
        <f>Tornado!BV224</f>
        <v>0.9287109375</v>
      </c>
      <c r="O226" s="165">
        <f>Tornado!BW224</f>
        <v>0</v>
      </c>
      <c r="P226" s="165">
        <f t="shared" si="12"/>
        <v>0.24958044000000013</v>
      </c>
      <c r="R226" s="290">
        <f t="shared" si="13"/>
        <v>2.6244000000008594E-4</v>
      </c>
      <c r="S226" s="160">
        <f t="shared" si="14"/>
        <v>0.9803170000000001</v>
      </c>
      <c r="T226" s="165">
        <f t="shared" si="15"/>
        <v>0</v>
      </c>
    </row>
    <row r="227" spans="13:20">
      <c r="M227" s="160">
        <f>Tornado!BU225</f>
        <v>3.90625E-3</v>
      </c>
      <c r="N227" s="155">
        <f>Tornado!BV225</f>
        <v>0.9326171875</v>
      </c>
      <c r="O227" s="165">
        <f>Tornado!BW225</f>
        <v>0</v>
      </c>
      <c r="P227" s="165">
        <f t="shared" si="12"/>
        <v>0.25063020000000014</v>
      </c>
      <c r="R227" s="290">
        <f t="shared" si="13"/>
        <v>5.2487999999994983E-4</v>
      </c>
      <c r="S227" s="160">
        <f t="shared" si="14"/>
        <v>0.98084188000000005</v>
      </c>
      <c r="T227" s="165">
        <f t="shared" si="15"/>
        <v>0</v>
      </c>
    </row>
    <row r="228" spans="13:20">
      <c r="M228" s="160">
        <f>Tornado!BU226</f>
        <v>1.953125E-3</v>
      </c>
      <c r="N228" s="155">
        <f>Tornado!BV226</f>
        <v>0.9345703125</v>
      </c>
      <c r="O228" s="165">
        <f>Tornado!BW226</f>
        <v>0</v>
      </c>
      <c r="P228" s="165">
        <f t="shared" si="12"/>
        <v>0.25115508000000014</v>
      </c>
      <c r="R228" s="290">
        <f t="shared" si="13"/>
        <v>1.0497600000000107E-3</v>
      </c>
      <c r="S228" s="160">
        <f t="shared" si="14"/>
        <v>0.98189164000000007</v>
      </c>
      <c r="T228" s="165">
        <f t="shared" si="15"/>
        <v>0</v>
      </c>
    </row>
    <row r="229" spans="13:20">
      <c r="M229" s="160">
        <f>Tornado!BU227</f>
        <v>9.765625E-4</v>
      </c>
      <c r="N229" s="155">
        <f>Tornado!BV227</f>
        <v>0.935546875</v>
      </c>
      <c r="O229" s="165">
        <f>Tornado!BW227</f>
        <v>0</v>
      </c>
      <c r="P229" s="165">
        <f t="shared" si="12"/>
        <v>0.25141752000000012</v>
      </c>
      <c r="R229" s="290">
        <f t="shared" si="13"/>
        <v>5.2488000000006085E-4</v>
      </c>
      <c r="S229" s="160">
        <f t="shared" si="14"/>
        <v>0.98241652000000013</v>
      </c>
      <c r="T229" s="165">
        <f t="shared" si="15"/>
        <v>0</v>
      </c>
    </row>
    <row r="230" spans="13:20">
      <c r="M230" s="160">
        <f>Tornado!BU228</f>
        <v>1.953125E-3</v>
      </c>
      <c r="N230" s="155">
        <f>Tornado!BV228</f>
        <v>0.9375</v>
      </c>
      <c r="O230" s="165">
        <f>Tornado!BW228</f>
        <v>0</v>
      </c>
      <c r="P230" s="165">
        <f t="shared" si="12"/>
        <v>0.25194240000000012</v>
      </c>
      <c r="R230" s="290">
        <f t="shared" si="13"/>
        <v>2.6243999999997492E-4</v>
      </c>
      <c r="S230" s="160">
        <f t="shared" si="14"/>
        <v>0.9826789600000001</v>
      </c>
      <c r="T230" s="165">
        <f t="shared" si="15"/>
        <v>0</v>
      </c>
    </row>
    <row r="231" spans="13:20">
      <c r="M231" s="160">
        <f>Tornado!BU229</f>
        <v>3.90625E-3</v>
      </c>
      <c r="N231" s="155">
        <f>Tornado!BV229</f>
        <v>0.94140625</v>
      </c>
      <c r="O231" s="165">
        <f>Tornado!BW229</f>
        <v>0</v>
      </c>
      <c r="P231" s="165">
        <f t="shared" si="12"/>
        <v>0.25299216000000013</v>
      </c>
      <c r="R231" s="290">
        <f t="shared" si="13"/>
        <v>5.2487999999994983E-4</v>
      </c>
      <c r="S231" s="160">
        <f t="shared" si="14"/>
        <v>0.98320384000000005</v>
      </c>
      <c r="T231" s="165">
        <f t="shared" si="15"/>
        <v>0</v>
      </c>
    </row>
    <row r="232" spans="13:20">
      <c r="M232" s="160">
        <f>Tornado!BU230</f>
        <v>7.8125E-3</v>
      </c>
      <c r="N232" s="155">
        <f>Tornado!BV230</f>
        <v>0.94921875</v>
      </c>
      <c r="O232" s="165">
        <f>Tornado!BW230</f>
        <v>0</v>
      </c>
      <c r="P232" s="165">
        <f t="shared" si="12"/>
        <v>0.2550916800000001</v>
      </c>
      <c r="R232" s="290">
        <f t="shared" si="13"/>
        <v>1.0497600000000107E-3</v>
      </c>
      <c r="S232" s="160">
        <f t="shared" si="14"/>
        <v>0.98425360000000006</v>
      </c>
      <c r="T232" s="165">
        <f t="shared" si="15"/>
        <v>0</v>
      </c>
    </row>
    <row r="233" spans="13:20">
      <c r="M233" s="160">
        <f>Tornado!BU231</f>
        <v>3.90625E-3</v>
      </c>
      <c r="N233" s="155">
        <f>Tornado!BV231</f>
        <v>0.953125</v>
      </c>
      <c r="O233" s="165">
        <f>Tornado!BW231</f>
        <v>0</v>
      </c>
      <c r="P233" s="165">
        <f t="shared" si="12"/>
        <v>0.25614144000000011</v>
      </c>
      <c r="R233" s="290">
        <f t="shared" si="13"/>
        <v>2.0995199999999103E-3</v>
      </c>
      <c r="S233" s="160">
        <f t="shared" si="14"/>
        <v>0.98635311999999997</v>
      </c>
      <c r="T233" s="165">
        <f t="shared" si="15"/>
        <v>0</v>
      </c>
    </row>
    <row r="234" spans="13:20">
      <c r="M234" s="160">
        <f>Tornado!BU232</f>
        <v>1.953125E-3</v>
      </c>
      <c r="N234" s="155">
        <f>Tornado!BV232</f>
        <v>0.955078125</v>
      </c>
      <c r="O234" s="165">
        <f>Tornado!BW232</f>
        <v>0</v>
      </c>
      <c r="P234" s="165">
        <f t="shared" si="12"/>
        <v>0.25666632000000011</v>
      </c>
      <c r="R234" s="290">
        <f t="shared" si="13"/>
        <v>1.0497600000001217E-3</v>
      </c>
      <c r="S234" s="160">
        <f t="shared" si="14"/>
        <v>0.98740288000000009</v>
      </c>
      <c r="T234" s="165">
        <f t="shared" si="15"/>
        <v>0</v>
      </c>
    </row>
    <row r="235" spans="13:20">
      <c r="M235" s="160">
        <f>Tornado!BU233</f>
        <v>3.90625E-3</v>
      </c>
      <c r="N235" s="155">
        <f>Tornado!BV233</f>
        <v>0.958984375</v>
      </c>
      <c r="O235" s="165">
        <f>Tornado!BW233</f>
        <v>0</v>
      </c>
      <c r="P235" s="165">
        <f t="shared" si="12"/>
        <v>0.25771608000000013</v>
      </c>
      <c r="R235" s="290">
        <f t="shared" si="13"/>
        <v>5.2487999999994983E-4</v>
      </c>
      <c r="S235" s="160">
        <f t="shared" si="14"/>
        <v>0.98792776000000004</v>
      </c>
      <c r="T235" s="165">
        <f t="shared" si="15"/>
        <v>0</v>
      </c>
    </row>
    <row r="236" spans="13:20">
      <c r="M236" s="160">
        <f>Tornado!BU234</f>
        <v>7.8125E-3</v>
      </c>
      <c r="N236" s="155">
        <f>Tornado!BV234</f>
        <v>0.966796875</v>
      </c>
      <c r="O236" s="165">
        <f>Tornado!BW234</f>
        <v>0</v>
      </c>
      <c r="P236" s="165">
        <f t="shared" si="12"/>
        <v>0.25981560000000015</v>
      </c>
      <c r="R236" s="290">
        <f t="shared" si="13"/>
        <v>1.0497600000000107E-3</v>
      </c>
      <c r="S236" s="160">
        <f t="shared" si="14"/>
        <v>0.98897752000000005</v>
      </c>
      <c r="T236" s="165">
        <f t="shared" si="15"/>
        <v>0</v>
      </c>
    </row>
    <row r="237" spans="13:20">
      <c r="M237" s="160">
        <f>Tornado!BU235</f>
        <v>3.90625E-3</v>
      </c>
      <c r="N237" s="155">
        <f>Tornado!BV235</f>
        <v>0.970703125</v>
      </c>
      <c r="O237" s="165">
        <f>Tornado!BW235</f>
        <v>0</v>
      </c>
      <c r="P237" s="165">
        <f t="shared" si="12"/>
        <v>0.2608653600000001</v>
      </c>
      <c r="R237" s="290">
        <f t="shared" si="13"/>
        <v>2.0995200000000214E-3</v>
      </c>
      <c r="S237" s="160">
        <f t="shared" si="14"/>
        <v>0.99107704000000008</v>
      </c>
      <c r="T237" s="165">
        <f t="shared" si="15"/>
        <v>0</v>
      </c>
    </row>
    <row r="238" spans="13:20">
      <c r="M238" s="160">
        <f>Tornado!BU236</f>
        <v>1.953125E-3</v>
      </c>
      <c r="N238" s="155">
        <f>Tornado!BV236</f>
        <v>0.97265625</v>
      </c>
      <c r="O238" s="165">
        <f>Tornado!BW236</f>
        <v>0</v>
      </c>
      <c r="P238" s="165">
        <f t="shared" si="12"/>
        <v>0.26139024000000011</v>
      </c>
      <c r="R238" s="290">
        <f t="shared" si="13"/>
        <v>1.0497600000000107E-3</v>
      </c>
      <c r="S238" s="160">
        <f t="shared" si="14"/>
        <v>0.99212680000000009</v>
      </c>
      <c r="T238" s="165">
        <f t="shared" si="15"/>
        <v>0</v>
      </c>
    </row>
    <row r="239" spans="13:20">
      <c r="M239" s="160">
        <f>Tornado!BU237</f>
        <v>3.90625E-3</v>
      </c>
      <c r="N239" s="155">
        <f>Tornado!BV237</f>
        <v>0.9765625</v>
      </c>
      <c r="O239" s="165">
        <f>Tornado!BW237</f>
        <v>0</v>
      </c>
      <c r="P239" s="165">
        <f t="shared" si="12"/>
        <v>0.26244000000000012</v>
      </c>
      <c r="R239" s="290">
        <f t="shared" si="13"/>
        <v>5.2487999999994983E-4</v>
      </c>
      <c r="S239" s="160">
        <f t="shared" si="14"/>
        <v>0.99265168000000004</v>
      </c>
      <c r="T239" s="165">
        <f t="shared" si="15"/>
        <v>0</v>
      </c>
    </row>
    <row r="240" spans="13:20">
      <c r="M240" s="160">
        <f>Tornado!BU238</f>
        <v>1.953125E-3</v>
      </c>
      <c r="N240" s="155">
        <f>Tornado!BV238</f>
        <v>0.978515625</v>
      </c>
      <c r="O240" s="165">
        <f>Tornado!BW238</f>
        <v>0</v>
      </c>
      <c r="P240" s="165">
        <f t="shared" si="12"/>
        <v>0.26296488000000012</v>
      </c>
      <c r="R240" s="290">
        <f t="shared" si="13"/>
        <v>1.0497600000000107E-3</v>
      </c>
      <c r="S240" s="160">
        <f t="shared" si="14"/>
        <v>0.99370144000000005</v>
      </c>
      <c r="T240" s="165">
        <f t="shared" si="15"/>
        <v>0</v>
      </c>
    </row>
    <row r="241" spans="13:20">
      <c r="M241" s="160">
        <f>Tornado!BU239</f>
        <v>3.90625E-3</v>
      </c>
      <c r="N241" s="155">
        <f>Tornado!BV239</f>
        <v>0.982421875</v>
      </c>
      <c r="O241" s="165">
        <f>Tornado!BW239</f>
        <v>0</v>
      </c>
      <c r="P241" s="165">
        <f t="shared" si="12"/>
        <v>0.26401464000000013</v>
      </c>
      <c r="R241" s="290">
        <f t="shared" si="13"/>
        <v>5.2488000000006085E-4</v>
      </c>
      <c r="S241" s="160">
        <f t="shared" si="14"/>
        <v>0.99422632000000011</v>
      </c>
      <c r="T241" s="165">
        <f t="shared" si="15"/>
        <v>0</v>
      </c>
    </row>
    <row r="242" spans="13:20">
      <c r="M242" s="160">
        <f>Tornado!BU240</f>
        <v>1.953125E-3</v>
      </c>
      <c r="N242" s="155">
        <f>Tornado!BV240</f>
        <v>0.984375</v>
      </c>
      <c r="O242" s="165">
        <f>Tornado!BW240</f>
        <v>0</v>
      </c>
      <c r="P242" s="165">
        <f t="shared" si="12"/>
        <v>0.26453952000000014</v>
      </c>
      <c r="R242" s="290">
        <f t="shared" si="13"/>
        <v>1.0497599999998997E-3</v>
      </c>
      <c r="S242" s="160">
        <f t="shared" si="14"/>
        <v>0.99527608000000001</v>
      </c>
      <c r="T242" s="165">
        <f t="shared" si="15"/>
        <v>0</v>
      </c>
    </row>
    <row r="243" spans="13:20">
      <c r="M243" s="160">
        <f>Tornado!BU241</f>
        <v>9.765625E-4</v>
      </c>
      <c r="N243" s="155">
        <f>Tornado!BV241</f>
        <v>0.9853515625</v>
      </c>
      <c r="O243" s="165">
        <f>Tornado!BW241</f>
        <v>0</v>
      </c>
      <c r="P243" s="165">
        <f t="shared" si="12"/>
        <v>0.26480196000000011</v>
      </c>
      <c r="R243" s="290">
        <f t="shared" si="13"/>
        <v>5.2488000000006085E-4</v>
      </c>
      <c r="S243" s="160">
        <f t="shared" si="14"/>
        <v>0.99580096000000007</v>
      </c>
      <c r="T243" s="165">
        <f t="shared" si="15"/>
        <v>0</v>
      </c>
    </row>
    <row r="244" spans="13:20">
      <c r="M244" s="160">
        <f>Tornado!BU242</f>
        <v>1.953125E-3</v>
      </c>
      <c r="N244" s="155">
        <f>Tornado!BV242</f>
        <v>0.9873046875</v>
      </c>
      <c r="O244" s="165">
        <f>Tornado!BW242</f>
        <v>0</v>
      </c>
      <c r="P244" s="165">
        <f t="shared" si="12"/>
        <v>0.26532684000000012</v>
      </c>
      <c r="R244" s="290">
        <f t="shared" si="13"/>
        <v>2.6243999999997492E-4</v>
      </c>
      <c r="S244" s="160">
        <f t="shared" si="14"/>
        <v>0.99606340000000004</v>
      </c>
      <c r="T244" s="165">
        <f t="shared" si="15"/>
        <v>0</v>
      </c>
    </row>
    <row r="245" spans="13:20">
      <c r="M245" s="160">
        <f>Tornado!BU243</f>
        <v>3.90625E-3</v>
      </c>
      <c r="N245" s="155">
        <f>Tornado!BV243</f>
        <v>0.9912109375</v>
      </c>
      <c r="O245" s="165">
        <f>Tornado!BW243</f>
        <v>0</v>
      </c>
      <c r="P245" s="165">
        <f t="shared" si="12"/>
        <v>0.26637660000000013</v>
      </c>
      <c r="R245" s="290">
        <f t="shared" si="13"/>
        <v>5.2488000000006085E-4</v>
      </c>
      <c r="S245" s="160">
        <f t="shared" si="14"/>
        <v>0.9965882800000001</v>
      </c>
      <c r="T245" s="165">
        <f t="shared" si="15"/>
        <v>0</v>
      </c>
    </row>
    <row r="246" spans="13:20">
      <c r="M246" s="160">
        <f>Tornado!BU244</f>
        <v>1.953125E-3</v>
      </c>
      <c r="N246" s="155">
        <f>Tornado!BV244</f>
        <v>0.9931640625</v>
      </c>
      <c r="O246" s="165">
        <f>Tornado!BW244</f>
        <v>0</v>
      </c>
      <c r="P246" s="165">
        <f t="shared" si="12"/>
        <v>0.26690148000000014</v>
      </c>
      <c r="R246" s="290">
        <f t="shared" si="13"/>
        <v>1.0497599999998997E-3</v>
      </c>
      <c r="S246" s="160">
        <f t="shared" si="14"/>
        <v>0.99763804</v>
      </c>
      <c r="T246" s="165">
        <f t="shared" si="15"/>
        <v>0</v>
      </c>
    </row>
    <row r="247" spans="13:20">
      <c r="M247" s="160">
        <f>Tornado!BU245</f>
        <v>3.90625E-3</v>
      </c>
      <c r="N247" s="155">
        <f>Tornado!BV245</f>
        <v>0.9970703125</v>
      </c>
      <c r="O247" s="165">
        <f>Tornado!BW245</f>
        <v>0</v>
      </c>
      <c r="P247" s="165">
        <f t="shared" si="12"/>
        <v>0.26795124000000015</v>
      </c>
      <c r="R247" s="290">
        <f t="shared" si="13"/>
        <v>5.2488000000006085E-4</v>
      </c>
      <c r="S247" s="160">
        <f t="shared" si="14"/>
        <v>0.99816292000000006</v>
      </c>
      <c r="T247" s="165">
        <f t="shared" si="15"/>
        <v>0</v>
      </c>
    </row>
    <row r="248" spans="13:20">
      <c r="M248" s="160">
        <f>Tornado!BU246</f>
        <v>1.953125E-3</v>
      </c>
      <c r="N248" s="155">
        <f>Tornado!BV246</f>
        <v>0.9990234375</v>
      </c>
      <c r="O248" s="165">
        <f>Tornado!BW246</f>
        <v>0</v>
      </c>
      <c r="P248" s="165">
        <f t="shared" si="12"/>
        <v>0.26847612000000015</v>
      </c>
      <c r="R248" s="290">
        <f t="shared" si="13"/>
        <v>1.0497600000000107E-3</v>
      </c>
      <c r="S248" s="160">
        <f t="shared" si="14"/>
        <v>0.99921268000000008</v>
      </c>
      <c r="T248" s="165">
        <f t="shared" si="15"/>
        <v>0</v>
      </c>
    </row>
    <row r="249" spans="13:20">
      <c r="M249" s="166">
        <f>Tornado!BU247</f>
        <v>9.765625E-4</v>
      </c>
      <c r="N249" s="167">
        <f>Tornado!BV247</f>
        <v>1</v>
      </c>
      <c r="O249" s="168">
        <f>Tornado!BW247</f>
        <v>0</v>
      </c>
      <c r="P249" s="168">
        <f t="shared" si="12"/>
        <v>0.26873856000000013</v>
      </c>
      <c r="R249" s="290">
        <f t="shared" si="13"/>
        <v>5.2487999999994983E-4</v>
      </c>
      <c r="S249" s="160">
        <f t="shared" si="14"/>
        <v>0.99973756000000003</v>
      </c>
      <c r="T249" s="165">
        <f t="shared" si="15"/>
        <v>0</v>
      </c>
    </row>
    <row r="250" spans="13:20">
      <c r="R250" s="291">
        <f t="shared" si="13"/>
        <v>2.6243999999997492E-4</v>
      </c>
      <c r="S250" s="166">
        <f t="shared" si="14"/>
        <v>1</v>
      </c>
      <c r="T250" s="168">
        <f t="shared" si="15"/>
        <v>0</v>
      </c>
    </row>
  </sheetData>
  <mergeCells count="1">
    <mergeCell ref="M5:O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2"/>
  <sheetViews>
    <sheetView topLeftCell="B1" workbookViewId="0">
      <selection activeCell="B19" sqref="B19"/>
    </sheetView>
  </sheetViews>
  <sheetFormatPr defaultColWidth="10.7109375" defaultRowHeight="12.75"/>
  <cols>
    <col min="1" max="1" width="10.7109375" style="102"/>
    <col min="2" max="2" width="181.85546875" style="102" customWidth="1"/>
    <col min="3" max="16384" width="10.7109375" style="102"/>
  </cols>
  <sheetData>
    <row r="6" spans="2:2" ht="23.25">
      <c r="B6" s="171" t="s">
        <v>141</v>
      </c>
    </row>
    <row r="7" spans="2:2" ht="18">
      <c r="B7" s="170" t="s">
        <v>229</v>
      </c>
    </row>
    <row r="8" spans="2:2" ht="54">
      <c r="B8" s="170" t="s">
        <v>138</v>
      </c>
    </row>
    <row r="9" spans="2:2" ht="18">
      <c r="B9" s="170" t="s">
        <v>139</v>
      </c>
    </row>
    <row r="10" spans="2:2" ht="90">
      <c r="B10" s="170" t="s">
        <v>140</v>
      </c>
    </row>
    <row r="12" spans="2:2">
      <c r="B12" s="102" t="s">
        <v>230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F7F03-1934-408B-A813-023ABBB167C4}">
  <dimension ref="A1:D4"/>
  <sheetViews>
    <sheetView workbookViewId="0">
      <selection activeCell="C1" sqref="C1"/>
    </sheetView>
  </sheetViews>
  <sheetFormatPr defaultColWidth="8.7109375" defaultRowHeight="12.75"/>
  <cols>
    <col min="1" max="1" width="17.28515625" customWidth="1"/>
    <col min="3" max="3" width="17" customWidth="1"/>
    <col min="4" max="4" width="55.140625" customWidth="1"/>
  </cols>
  <sheetData>
    <row r="1" spans="1:4">
      <c r="A1" s="319" t="s">
        <v>199</v>
      </c>
    </row>
    <row r="3" spans="1:4">
      <c r="A3" s="300" t="s">
        <v>202</v>
      </c>
      <c r="B3" s="300" t="s">
        <v>200</v>
      </c>
      <c r="C3" s="300" t="s">
        <v>11</v>
      </c>
      <c r="D3" s="300" t="s">
        <v>201</v>
      </c>
    </row>
    <row r="4" spans="1:4">
      <c r="A4" s="338">
        <v>43579</v>
      </c>
      <c r="B4" t="s">
        <v>231</v>
      </c>
      <c r="C4" t="s">
        <v>233</v>
      </c>
      <c r="D4" t="s">
        <v>232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69</vt:i4>
      </vt:variant>
    </vt:vector>
  </HeadingPairs>
  <TitlesOfParts>
    <vt:vector size="77" baseType="lpstr">
      <vt:lpstr>Market Map</vt:lpstr>
      <vt:lpstr>Model</vt:lpstr>
      <vt:lpstr>Life Stage Assessments</vt:lpstr>
      <vt:lpstr>Tornado</vt:lpstr>
      <vt:lpstr>Uncertainty</vt:lpstr>
      <vt:lpstr>Full Distribution</vt:lpstr>
      <vt:lpstr>License</vt:lpstr>
      <vt:lpstr>Version Control</vt:lpstr>
      <vt:lpstr>ChallengerChance</vt:lpstr>
      <vt:lpstr>ChallengerMktShare</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FollowerMktShare</vt:lpstr>
      <vt:lpstr>InitialRoundSize</vt:lpstr>
      <vt:lpstr>inputTable</vt:lpstr>
      <vt:lpstr>IntlMult</vt:lpstr>
      <vt:lpstr>Investment</vt:lpstr>
      <vt:lpstr>LeaderChance</vt:lpstr>
      <vt:lpstr>LeaderMktShare</vt:lpstr>
      <vt:lpstr>MainstreamSuccess</vt:lpstr>
      <vt:lpstr>MarketTree</vt:lpstr>
      <vt:lpstr>massMarket_financial</vt:lpstr>
      <vt:lpstr>massMarket_market</vt:lpstr>
      <vt:lpstr>massMarket_product</vt:lpstr>
      <vt:lpstr>massMarket_team</vt:lpstr>
      <vt:lpstr>ModelType</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Model!RD_InputTable</vt:lpstr>
      <vt:lpstr>SalesMult</vt:lpstr>
      <vt:lpstr>SmartOrgInputTable</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Katherine Weller</cp:lastModifiedBy>
  <cp:lastPrinted>2017-02-02T01:23:03Z</cp:lastPrinted>
  <dcterms:created xsi:type="dcterms:W3CDTF">2000-05-24T16:45:44Z</dcterms:created>
  <dcterms:modified xsi:type="dcterms:W3CDTF">2023-04-26T03:29:59Z</dcterms:modified>
</cp:coreProperties>
</file>