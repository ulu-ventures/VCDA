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09"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raha/Desktop/"/>
    </mc:Choice>
  </mc:AlternateContent>
  <xr:revisionPtr revIDLastSave="0" documentId="8_{17A447C5-C95C-3D4D-82D9-EEDFC3FBF70D}" xr6:coauthVersionLast="43" xr6:coauthVersionMax="43" xr10:uidLastSave="{00000000-0000-0000-0000-000000000000}"/>
  <bookViews>
    <workbookView xWindow="0" yWindow="460" windowWidth="33600" windowHeight="19480" tabRatio="783" activeTab="1"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Model!$O$19</definedName>
    <definedName name="big_fee" localSheetId="0">[1]Model!$O$19</definedName>
    <definedName name="big_fee">Model!$O$20</definedName>
    <definedName name="big_fraction" localSheetId="0">[1]Model!$O$20</definedName>
    <definedName name="big_fraction">Model!$O$21</definedName>
    <definedName name="big_hires" localSheetId="0">[1]Model!$O$17</definedName>
    <definedName name="big_hires">Model!$O$18</definedName>
    <definedName name="big_number" localSheetId="0">[1]Model!$O$16</definedName>
    <definedName name="big_number">Model!$O$17</definedName>
    <definedName name="BookType">2</definedName>
    <definedName name="CompanyName">'Life Stage Assessments'!$C$2</definedName>
    <definedName name="CrossChasm" localSheetId="0">[1]Model!$H$72</definedName>
    <definedName name="CrossChasm">Model!$H$73</definedName>
    <definedName name="crossChasm_financial">'Life Stage Assessments'!$D$46</definedName>
    <definedName name="crossChasm_market">'Life Stage Assessments'!$D$30</definedName>
    <definedName name="crossChasm_product">'Life Stage Assessments'!$D$36</definedName>
    <definedName name="crossChasm_team">'Life Stage Assessments'!$D$41</definedName>
    <definedName name="CumeCostCrossChasm">Model!$V$104</definedName>
    <definedName name="CumeCostEarlyStage">Model!$V$106</definedName>
    <definedName name="Decisions">1</definedName>
    <definedName name="Dilution" localSheetId="0">[1]Model!$O$42</definedName>
    <definedName name="Dilution">Model!$O$43</definedName>
    <definedName name="earlyStage_financial">'Life Stage Assessments'!$D$25</definedName>
    <definedName name="earlyStage_market">'Life Stage Assessments'!$D$10</definedName>
    <definedName name="earlyStage_product">'Life Stage Assessments'!$D$15</definedName>
    <definedName name="earlyStage_team">'Life Stage Assessments'!$D$19</definedName>
    <definedName name="EarlySuccess" localSheetId="0">[1]Model!$H$71</definedName>
    <definedName name="EarlySuccess">Model!$H$72</definedName>
    <definedName name="EarningsMult">Model!$O$58</definedName>
    <definedName name="exitValue">Model!$O$81:$O$92</definedName>
    <definedName name="InitialRoundSize" localSheetId="0">[1]Model!$O$41</definedName>
    <definedName name="InitialRoundSize">Model!$O$42</definedName>
    <definedName name="inputTable">Model!$B$14:$L$68</definedName>
    <definedName name="international_multiplier" localSheetId="0">[1]Model!$O$36</definedName>
    <definedName name="international_multiplier">Model!$O$37</definedName>
    <definedName name="IntlMult">Model!$O$37</definedName>
    <definedName name="Investment" localSheetId="0">[1]Model!$O$39</definedName>
    <definedName name="Investment">Model!$O$40</definedName>
    <definedName name="KingChance" localSheetId="0">[1]Model!$O$46</definedName>
    <definedName name="KingChance">Model!$O$47</definedName>
    <definedName name="KingMktShare" localSheetId="0">[1]Model!$O$50</definedName>
    <definedName name="KingMktShare">Model!$O$51</definedName>
    <definedName name="MainstreamSuccess" localSheetId="0">[1]Model!$H$73</definedName>
    <definedName name="MainstreamSuccess">Model!$H$74</definedName>
    <definedName name="MarketTree">Model!$H$76:$Q$128</definedName>
    <definedName name="massMarket_financial">'Life Stage Assessments'!$D$67</definedName>
    <definedName name="massMarket_market">'Life Stage Assessments'!$D$52</definedName>
    <definedName name="massMarket_product">'Life Stage Assessments'!$D$57</definedName>
    <definedName name="massMarket_team">'Life Stage Assessments'!$D$61</definedName>
    <definedName name="medium_apps" localSheetId="0">[1]Model!$O$25</definedName>
    <definedName name="medium_apps">Model!$O$26</definedName>
    <definedName name="medium_fee" localSheetId="0">[1]Model!$O$26</definedName>
    <definedName name="medium_fee">Model!$O$27</definedName>
    <definedName name="medium_fraction" localSheetId="0">[1]Model!$O$27</definedName>
    <definedName name="medium_fraction">Model!$O$28</definedName>
    <definedName name="medium_hires" localSheetId="0">[1]Model!$O$24</definedName>
    <definedName name="medium_hires">Model!$O$25</definedName>
    <definedName name="medium_number" localSheetId="0">[1]Model!$O$23</definedName>
    <definedName name="medium_number">Model!$O$24</definedName>
    <definedName name="NicheDilution" localSheetId="0">[1]Model!$O$43</definedName>
    <definedName name="NicheDilution">Model!$O$44</definedName>
    <definedName name="NicheEarningsMultDisc">Model!$O$59</definedName>
    <definedName name="NicheMarketShare" localSheetId="0">[1]Model!$O$54</definedName>
    <definedName name="NicheMarketShare">Model!$O$55</definedName>
    <definedName name="NicheMultDisc" localSheetId="0">[1]Model!$O$58</definedName>
    <definedName name="NicheMultDisc">Model!$O$59</definedName>
    <definedName name="NicheOwnershipAtExit">Model!$E$131</definedName>
    <definedName name="NicheSize" localSheetId="0">[1]Model!$O$53</definedName>
    <definedName name="NicheSize">Model!$O$54</definedName>
    <definedName name="outputDefnTable">Model!$B$5:$F$9</definedName>
    <definedName name="outputTable">Model!$A$3:$K$10</definedName>
    <definedName name="ownershipAtExit">Model!$E$130</definedName>
    <definedName name="pCrossChasm_total" localSheetId="0">[1]Model!$Q$96</definedName>
    <definedName name="pCrossChasm_total">Model!$Q$97</definedName>
    <definedName name="pFailCrossChasm" localSheetId="0">[1]Model!$V$104</definedName>
    <definedName name="pFailCrossChasm">Model!$V$105</definedName>
    <definedName name="pFailEarlyStage" localSheetId="0">[1]Model!$V$106</definedName>
    <definedName name="pFailEarlyStage">Model!$V$107</definedName>
    <definedName name="pMassMkt_total">Model!$Q$98</definedName>
    <definedName name="PreMoneyValue" localSheetId="0">[1]Model!$O$40</definedName>
    <definedName name="PreMoneyValue">Model!$O$41</definedName>
    <definedName name="PrinceChance" localSheetId="0">[1]Model!$O$47</definedName>
    <definedName name="PrinceChance">Model!$O$48</definedName>
    <definedName name="PrinceMktShare" localSheetId="0">[1]Model!$O$51</definedName>
    <definedName name="PrinceMktShare">Model!$O$52</definedName>
    <definedName name="projectedYear">Model!$O$62</definedName>
    <definedName name="RD_InputTable" localSheetId="1">Model!$C$13:$P$59</definedName>
    <definedName name="RDVers">2.31</definedName>
    <definedName name="RiskDet">TRUE</definedName>
    <definedName name="SalesMult" localSheetId="0">[1]Model!$O$57</definedName>
    <definedName name="SalesMult">Model!$O$58</definedName>
    <definedName name="SerfMktShare" localSheetId="0">[1]Model!$O$52</definedName>
    <definedName name="SerfMktShare">Model!$O$53</definedName>
    <definedName name="small_apps" localSheetId="0">[1]Model!$O$32</definedName>
    <definedName name="small_apps">Model!$O$33</definedName>
    <definedName name="small_fee" localSheetId="0">[1]Model!$O$33</definedName>
    <definedName name="small_fee">Model!$O$34</definedName>
    <definedName name="small_fraction" localSheetId="0">[1]Model!$O$34</definedName>
    <definedName name="small_fraction">Model!$O$35</definedName>
    <definedName name="small_hires" localSheetId="0">[1]Model!$O$31</definedName>
    <definedName name="small_hires">Model!$O$32</definedName>
    <definedName name="small_number" localSheetId="0">[1]Model!$O$30</definedName>
    <definedName name="small_number">Model!$O$31</definedName>
    <definedName name="SmartOrgInputTable">Model!$O$14:$Q$68</definedName>
    <definedName name="sweetSpot_Intl" localSheetId="0">[1]Model!$O$67</definedName>
    <definedName name="sweetSpot_Intl">Model!$O$68</definedName>
    <definedName name="sweetSpot_Large" localSheetId="0">[1]Model!$O$64</definedName>
    <definedName name="sweetSpot_Large">Model!$O$65</definedName>
    <definedName name="sweetSpot_Med" localSheetId="0">[1]Model!$O$65</definedName>
    <definedName name="sweetSpot_Med">Model!$O$66</definedName>
    <definedName name="sweetSpot_Small" localSheetId="0">[1]Model!$O$66</definedName>
    <definedName name="sweetSpot_Small">Model!$O$67</definedName>
    <definedName name="SweetspotTABLE">Model!$T$84:$X$96</definedName>
    <definedName name="SweetspotTAM" localSheetId="0">[1]Model!$E$117</definedName>
    <definedName name="SweetspotTAM">Model!$E$118</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Model!$Q$95</definedName>
    <definedName name="TotalPWMOIC_SweetSpot_Given_MarketSuccess">Model!$Q$96</definedName>
    <definedName name="TotalTAM" localSheetId="0">[1]Model!$E$119</definedName>
    <definedName name="TotalTAM">Model!$E$120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M8" i="5" l="1"/>
  <c r="N8" i="5"/>
  <c r="O8" i="5"/>
  <c r="M9" i="5"/>
  <c r="N9" i="5"/>
  <c r="O9" i="5"/>
  <c r="M10" i="5"/>
  <c r="N10" i="5"/>
  <c r="O10" i="5"/>
  <c r="M11" i="5"/>
  <c r="N11" i="5"/>
  <c r="O11" i="5"/>
  <c r="M12" i="5"/>
  <c r="N12" i="5"/>
  <c r="O12" i="5"/>
  <c r="M13" i="5"/>
  <c r="N13" i="5"/>
  <c r="O13" i="5"/>
  <c r="M14" i="5"/>
  <c r="N14" i="5"/>
  <c r="O14" i="5"/>
  <c r="M15" i="5"/>
  <c r="N15" i="5"/>
  <c r="O15" i="5"/>
  <c r="M16" i="5"/>
  <c r="N16" i="5"/>
  <c r="O16" i="5"/>
  <c r="M17" i="5"/>
  <c r="N17" i="5"/>
  <c r="O17" i="5"/>
  <c r="M18" i="5"/>
  <c r="N18" i="5"/>
  <c r="O18" i="5"/>
  <c r="M19" i="5"/>
  <c r="N19" i="5"/>
  <c r="O19" i="5"/>
  <c r="M20" i="5"/>
  <c r="N20" i="5"/>
  <c r="O20" i="5"/>
  <c r="M21" i="5"/>
  <c r="N21" i="5"/>
  <c r="O21" i="5"/>
  <c r="M22" i="5"/>
  <c r="N22" i="5"/>
  <c r="O22" i="5"/>
  <c r="M23" i="5"/>
  <c r="N23" i="5"/>
  <c r="O23" i="5"/>
  <c r="M24" i="5"/>
  <c r="N24" i="5"/>
  <c r="O24" i="5"/>
  <c r="M25" i="5"/>
  <c r="N25" i="5"/>
  <c r="O25" i="5"/>
  <c r="M26" i="5"/>
  <c r="N26" i="5"/>
  <c r="O26" i="5"/>
  <c r="M27" i="5"/>
  <c r="N27" i="5"/>
  <c r="O27" i="5"/>
  <c r="M28" i="5"/>
  <c r="N28" i="5"/>
  <c r="O28" i="5"/>
  <c r="M29" i="5"/>
  <c r="N29" i="5"/>
  <c r="O29" i="5"/>
  <c r="M30" i="5"/>
  <c r="N30" i="5"/>
  <c r="O30" i="5"/>
  <c r="M31" i="5"/>
  <c r="N31" i="5"/>
  <c r="O31" i="5"/>
  <c r="M32" i="5"/>
  <c r="N32" i="5"/>
  <c r="O32" i="5"/>
  <c r="M33" i="5"/>
  <c r="N33" i="5"/>
  <c r="O33" i="5"/>
  <c r="M34" i="5"/>
  <c r="N34" i="5"/>
  <c r="O34" i="5"/>
  <c r="M35" i="5"/>
  <c r="N35" i="5"/>
  <c r="O35" i="5"/>
  <c r="M36" i="5"/>
  <c r="N36" i="5"/>
  <c r="O36" i="5"/>
  <c r="M37" i="5"/>
  <c r="N37" i="5"/>
  <c r="O37" i="5"/>
  <c r="M38" i="5"/>
  <c r="N38" i="5"/>
  <c r="O38" i="5"/>
  <c r="M39" i="5"/>
  <c r="N39" i="5"/>
  <c r="O39" i="5"/>
  <c r="M40" i="5"/>
  <c r="N40" i="5"/>
  <c r="O40" i="5"/>
  <c r="M41" i="5"/>
  <c r="N41" i="5"/>
  <c r="O41" i="5"/>
  <c r="M42" i="5"/>
  <c r="N42" i="5"/>
  <c r="O42" i="5"/>
  <c r="M43" i="5"/>
  <c r="N43" i="5"/>
  <c r="O43" i="5"/>
  <c r="M44" i="5"/>
  <c r="N44" i="5"/>
  <c r="O44" i="5"/>
  <c r="M45" i="5"/>
  <c r="N45" i="5"/>
  <c r="O45" i="5"/>
  <c r="M46" i="5"/>
  <c r="N46" i="5"/>
  <c r="O46" i="5"/>
  <c r="M47" i="5"/>
  <c r="N47" i="5"/>
  <c r="O47" i="5"/>
  <c r="M48" i="5"/>
  <c r="N48" i="5"/>
  <c r="O48" i="5"/>
  <c r="M49" i="5"/>
  <c r="N49" i="5"/>
  <c r="O49" i="5"/>
  <c r="M50" i="5"/>
  <c r="N50" i="5"/>
  <c r="O50" i="5"/>
  <c r="M51" i="5"/>
  <c r="N51" i="5"/>
  <c r="O51" i="5"/>
  <c r="M52" i="5"/>
  <c r="N52" i="5"/>
  <c r="O52" i="5"/>
  <c r="M53" i="5"/>
  <c r="N53" i="5"/>
  <c r="O53" i="5"/>
  <c r="M54" i="5"/>
  <c r="N54" i="5"/>
  <c r="O54" i="5"/>
  <c r="M55" i="5"/>
  <c r="N55" i="5"/>
  <c r="O55" i="5"/>
  <c r="M56" i="5"/>
  <c r="N56" i="5"/>
  <c r="O56" i="5"/>
  <c r="M57" i="5"/>
  <c r="N57" i="5"/>
  <c r="O57" i="5"/>
  <c r="M58" i="5"/>
  <c r="N58" i="5"/>
  <c r="O58" i="5"/>
  <c r="M59" i="5"/>
  <c r="N59" i="5"/>
  <c r="O59" i="5"/>
  <c r="M60" i="5"/>
  <c r="N60" i="5"/>
  <c r="O60" i="5"/>
  <c r="M61" i="5"/>
  <c r="N61" i="5"/>
  <c r="O61" i="5"/>
  <c r="M62" i="5"/>
  <c r="N62" i="5"/>
  <c r="O62" i="5"/>
  <c r="M63" i="5"/>
  <c r="N63" i="5"/>
  <c r="O63" i="5"/>
  <c r="M64" i="5"/>
  <c r="N64" i="5"/>
  <c r="O64" i="5"/>
  <c r="M65" i="5"/>
  <c r="N65" i="5"/>
  <c r="O65" i="5"/>
  <c r="M66" i="5"/>
  <c r="N66" i="5"/>
  <c r="O66" i="5"/>
  <c r="M67" i="5"/>
  <c r="N67" i="5"/>
  <c r="O67" i="5"/>
  <c r="M68" i="5"/>
  <c r="N68" i="5"/>
  <c r="O68" i="5"/>
  <c r="M69" i="5"/>
  <c r="N69" i="5"/>
  <c r="O69" i="5"/>
  <c r="M70" i="5"/>
  <c r="N70" i="5"/>
  <c r="O70" i="5"/>
  <c r="M71" i="5"/>
  <c r="N71" i="5"/>
  <c r="O71" i="5"/>
  <c r="M72" i="5"/>
  <c r="N72" i="5"/>
  <c r="O72" i="5"/>
  <c r="M73" i="5"/>
  <c r="N73" i="5"/>
  <c r="O73" i="5"/>
  <c r="M74" i="5"/>
  <c r="N74" i="5"/>
  <c r="O74" i="5"/>
  <c r="M75" i="5"/>
  <c r="N75" i="5"/>
  <c r="O75" i="5"/>
  <c r="M76" i="5"/>
  <c r="N76" i="5"/>
  <c r="O76" i="5"/>
  <c r="M77" i="5"/>
  <c r="N77" i="5"/>
  <c r="O77" i="5"/>
  <c r="M78" i="5"/>
  <c r="N78" i="5"/>
  <c r="O78" i="5"/>
  <c r="M79" i="5"/>
  <c r="N79" i="5"/>
  <c r="O79" i="5"/>
  <c r="M80" i="5"/>
  <c r="N80" i="5"/>
  <c r="O80" i="5"/>
  <c r="M81" i="5"/>
  <c r="N81" i="5"/>
  <c r="O81" i="5"/>
  <c r="M82" i="5"/>
  <c r="N82" i="5"/>
  <c r="O82" i="5"/>
  <c r="M83" i="5"/>
  <c r="N83" i="5"/>
  <c r="O83" i="5"/>
  <c r="M84" i="5"/>
  <c r="N84" i="5"/>
  <c r="O84" i="5"/>
  <c r="M85" i="5"/>
  <c r="N85" i="5"/>
  <c r="O85" i="5"/>
  <c r="M86" i="5"/>
  <c r="N86" i="5"/>
  <c r="O86" i="5"/>
  <c r="M87" i="5"/>
  <c r="N87" i="5"/>
  <c r="O87" i="5"/>
  <c r="M88" i="5"/>
  <c r="N88" i="5"/>
  <c r="O88" i="5"/>
  <c r="M89" i="5"/>
  <c r="N89" i="5"/>
  <c r="O89" i="5"/>
  <c r="M90" i="5"/>
  <c r="N90" i="5"/>
  <c r="O90" i="5"/>
  <c r="M91" i="5"/>
  <c r="N91" i="5"/>
  <c r="O91" i="5"/>
  <c r="M92" i="5"/>
  <c r="N92" i="5"/>
  <c r="O92" i="5"/>
  <c r="M93" i="5"/>
  <c r="N93" i="5"/>
  <c r="O93" i="5"/>
  <c r="M94" i="5"/>
  <c r="N94" i="5"/>
  <c r="O94" i="5"/>
  <c r="M95" i="5"/>
  <c r="N95" i="5"/>
  <c r="O95" i="5"/>
  <c r="M96" i="5"/>
  <c r="N96" i="5"/>
  <c r="O96" i="5"/>
  <c r="M97" i="5"/>
  <c r="N97" i="5"/>
  <c r="O97" i="5"/>
  <c r="M98" i="5"/>
  <c r="N98" i="5"/>
  <c r="O98" i="5"/>
  <c r="M99" i="5"/>
  <c r="N99" i="5"/>
  <c r="O99" i="5"/>
  <c r="M100" i="5"/>
  <c r="N100" i="5"/>
  <c r="O100" i="5"/>
  <c r="M101" i="5"/>
  <c r="N101" i="5"/>
  <c r="O101" i="5"/>
  <c r="M102" i="5"/>
  <c r="N102" i="5"/>
  <c r="O102" i="5"/>
  <c r="M103" i="5"/>
  <c r="N103" i="5"/>
  <c r="O103" i="5"/>
  <c r="M104" i="5"/>
  <c r="N104" i="5"/>
  <c r="O104" i="5"/>
  <c r="M105" i="5"/>
  <c r="N105" i="5"/>
  <c r="O105" i="5"/>
  <c r="M106" i="5"/>
  <c r="N106" i="5"/>
  <c r="O106" i="5"/>
  <c r="M107" i="5"/>
  <c r="N107" i="5"/>
  <c r="O107" i="5"/>
  <c r="M108" i="5"/>
  <c r="N108" i="5"/>
  <c r="O108" i="5"/>
  <c r="M109" i="5"/>
  <c r="N109" i="5"/>
  <c r="O109" i="5"/>
  <c r="M110" i="5"/>
  <c r="N110" i="5"/>
  <c r="O110" i="5"/>
  <c r="M111" i="5"/>
  <c r="N111" i="5"/>
  <c r="O111" i="5"/>
  <c r="M112" i="5"/>
  <c r="N112" i="5"/>
  <c r="O112" i="5"/>
  <c r="M113" i="5"/>
  <c r="N113" i="5"/>
  <c r="O113" i="5"/>
  <c r="M114" i="5"/>
  <c r="N114" i="5"/>
  <c r="O114" i="5"/>
  <c r="M115" i="5"/>
  <c r="N115" i="5"/>
  <c r="O115" i="5"/>
  <c r="M116" i="5"/>
  <c r="N116" i="5"/>
  <c r="O116" i="5"/>
  <c r="M117" i="5"/>
  <c r="N117" i="5"/>
  <c r="O117" i="5"/>
  <c r="M118" i="5"/>
  <c r="N118" i="5"/>
  <c r="O118" i="5"/>
  <c r="M119" i="5"/>
  <c r="N119" i="5"/>
  <c r="O119" i="5"/>
  <c r="M120" i="5"/>
  <c r="N120" i="5"/>
  <c r="O120" i="5"/>
  <c r="M121" i="5"/>
  <c r="N121" i="5"/>
  <c r="O121" i="5"/>
  <c r="M122" i="5"/>
  <c r="N122" i="5"/>
  <c r="O122" i="5"/>
  <c r="M123" i="5"/>
  <c r="N123" i="5"/>
  <c r="O123" i="5"/>
  <c r="M124" i="5"/>
  <c r="N124" i="5"/>
  <c r="O124" i="5"/>
  <c r="M125" i="5"/>
  <c r="N125" i="5"/>
  <c r="O125" i="5"/>
  <c r="M126" i="5"/>
  <c r="N126" i="5"/>
  <c r="O126" i="5"/>
  <c r="M127" i="5"/>
  <c r="N127" i="5"/>
  <c r="O127" i="5"/>
  <c r="M128" i="5"/>
  <c r="N128" i="5"/>
  <c r="O128" i="5"/>
  <c r="M129" i="5"/>
  <c r="N129" i="5"/>
  <c r="O129" i="5"/>
  <c r="M130" i="5"/>
  <c r="N130" i="5"/>
  <c r="O130" i="5"/>
  <c r="M131" i="5"/>
  <c r="N131" i="5"/>
  <c r="O131" i="5"/>
  <c r="M132" i="5"/>
  <c r="N132" i="5"/>
  <c r="O132" i="5"/>
  <c r="M133" i="5"/>
  <c r="N133" i="5"/>
  <c r="O133" i="5"/>
  <c r="M134" i="5"/>
  <c r="N134" i="5"/>
  <c r="O134" i="5"/>
  <c r="M135" i="5"/>
  <c r="N135" i="5"/>
  <c r="O135" i="5"/>
  <c r="M136" i="5"/>
  <c r="N136" i="5"/>
  <c r="O136" i="5"/>
  <c r="M137" i="5"/>
  <c r="N137" i="5"/>
  <c r="O137" i="5"/>
  <c r="M138" i="5"/>
  <c r="N138" i="5"/>
  <c r="O138" i="5"/>
  <c r="M139" i="5"/>
  <c r="N139" i="5"/>
  <c r="O139" i="5"/>
  <c r="M140" i="5"/>
  <c r="N140" i="5"/>
  <c r="O140" i="5"/>
  <c r="M141" i="5"/>
  <c r="N141" i="5"/>
  <c r="O141" i="5"/>
  <c r="M142" i="5"/>
  <c r="N142" i="5"/>
  <c r="O142" i="5"/>
  <c r="M143" i="5"/>
  <c r="N143" i="5"/>
  <c r="O143" i="5"/>
  <c r="M144" i="5"/>
  <c r="N144" i="5"/>
  <c r="O144" i="5"/>
  <c r="M145" i="5"/>
  <c r="N145" i="5"/>
  <c r="O145" i="5"/>
  <c r="M146" i="5"/>
  <c r="N146" i="5"/>
  <c r="O146" i="5"/>
  <c r="M147" i="5"/>
  <c r="N147" i="5"/>
  <c r="O147" i="5"/>
  <c r="M148" i="5"/>
  <c r="N148" i="5"/>
  <c r="O148" i="5"/>
  <c r="M149" i="5"/>
  <c r="N149" i="5"/>
  <c r="O149" i="5"/>
  <c r="M150" i="5"/>
  <c r="N150" i="5"/>
  <c r="O150" i="5"/>
  <c r="M151" i="5"/>
  <c r="N151" i="5"/>
  <c r="O151" i="5"/>
  <c r="M152" i="5"/>
  <c r="N152" i="5"/>
  <c r="O152" i="5"/>
  <c r="M153" i="5"/>
  <c r="N153" i="5"/>
  <c r="O153" i="5"/>
  <c r="M154" i="5"/>
  <c r="N154" i="5"/>
  <c r="O154" i="5"/>
  <c r="M155" i="5"/>
  <c r="N155" i="5"/>
  <c r="O155" i="5"/>
  <c r="M156" i="5"/>
  <c r="N156" i="5"/>
  <c r="O156" i="5"/>
  <c r="M157" i="5"/>
  <c r="N157" i="5"/>
  <c r="O157" i="5"/>
  <c r="M158" i="5"/>
  <c r="N158" i="5"/>
  <c r="O158" i="5"/>
  <c r="M159" i="5"/>
  <c r="N159" i="5"/>
  <c r="O159" i="5"/>
  <c r="M160" i="5"/>
  <c r="N160" i="5"/>
  <c r="O160" i="5"/>
  <c r="M161" i="5"/>
  <c r="N161" i="5"/>
  <c r="O161" i="5"/>
  <c r="M162" i="5"/>
  <c r="N162" i="5"/>
  <c r="O162" i="5"/>
  <c r="M163" i="5"/>
  <c r="N163" i="5"/>
  <c r="O163" i="5"/>
  <c r="M164" i="5"/>
  <c r="N164" i="5"/>
  <c r="O164" i="5"/>
  <c r="M165" i="5"/>
  <c r="N165" i="5"/>
  <c r="O165" i="5"/>
  <c r="M166" i="5"/>
  <c r="N166" i="5"/>
  <c r="O166" i="5"/>
  <c r="M167" i="5"/>
  <c r="N167" i="5"/>
  <c r="O167" i="5"/>
  <c r="M168" i="5"/>
  <c r="N168" i="5"/>
  <c r="O168" i="5"/>
  <c r="M169" i="5"/>
  <c r="N169" i="5"/>
  <c r="O169" i="5"/>
  <c r="M170" i="5"/>
  <c r="N170" i="5"/>
  <c r="O170" i="5"/>
  <c r="M171" i="5"/>
  <c r="N171" i="5"/>
  <c r="O171" i="5"/>
  <c r="M172" i="5"/>
  <c r="N172" i="5"/>
  <c r="O172" i="5"/>
  <c r="M173" i="5"/>
  <c r="N173" i="5"/>
  <c r="O173" i="5"/>
  <c r="M174" i="5"/>
  <c r="N174" i="5"/>
  <c r="O174" i="5"/>
  <c r="M175" i="5"/>
  <c r="N175" i="5"/>
  <c r="O175" i="5"/>
  <c r="M176" i="5"/>
  <c r="N176" i="5"/>
  <c r="O176" i="5"/>
  <c r="M177" i="5"/>
  <c r="N177" i="5"/>
  <c r="O177" i="5"/>
  <c r="M178" i="5"/>
  <c r="N178" i="5"/>
  <c r="O178" i="5"/>
  <c r="M179" i="5"/>
  <c r="N179" i="5"/>
  <c r="O179" i="5"/>
  <c r="M180" i="5"/>
  <c r="N180" i="5"/>
  <c r="O180" i="5"/>
  <c r="M181" i="5"/>
  <c r="N181" i="5"/>
  <c r="O181" i="5"/>
  <c r="M182" i="5"/>
  <c r="N182" i="5"/>
  <c r="O182" i="5"/>
  <c r="M183" i="5"/>
  <c r="N183" i="5"/>
  <c r="O183" i="5"/>
  <c r="M184" i="5"/>
  <c r="N184" i="5"/>
  <c r="O184" i="5"/>
  <c r="M185" i="5"/>
  <c r="N185" i="5"/>
  <c r="O185" i="5"/>
  <c r="M186" i="5"/>
  <c r="N186" i="5"/>
  <c r="O186" i="5"/>
  <c r="M187" i="5"/>
  <c r="N187" i="5"/>
  <c r="O187" i="5"/>
  <c r="M188" i="5"/>
  <c r="N188" i="5"/>
  <c r="O188" i="5"/>
  <c r="M189" i="5"/>
  <c r="N189" i="5"/>
  <c r="O189" i="5"/>
  <c r="M190" i="5"/>
  <c r="N190" i="5"/>
  <c r="O190" i="5"/>
  <c r="M191" i="5"/>
  <c r="N191" i="5"/>
  <c r="O191" i="5"/>
  <c r="M192" i="5"/>
  <c r="N192" i="5"/>
  <c r="O192" i="5"/>
  <c r="M193" i="5"/>
  <c r="N193" i="5"/>
  <c r="O193" i="5"/>
  <c r="M194" i="5"/>
  <c r="N194" i="5"/>
  <c r="O194" i="5"/>
  <c r="M195" i="5"/>
  <c r="N195" i="5"/>
  <c r="O195" i="5"/>
  <c r="M196" i="5"/>
  <c r="N196" i="5"/>
  <c r="O196" i="5"/>
  <c r="M197" i="5"/>
  <c r="N197" i="5"/>
  <c r="O197" i="5"/>
  <c r="M198" i="5"/>
  <c r="N198" i="5"/>
  <c r="O198" i="5"/>
  <c r="M199" i="5"/>
  <c r="N199" i="5"/>
  <c r="O199" i="5"/>
  <c r="M200" i="5"/>
  <c r="N200" i="5"/>
  <c r="O200" i="5"/>
  <c r="M201" i="5"/>
  <c r="N201" i="5"/>
  <c r="O201" i="5"/>
  <c r="M202" i="5"/>
  <c r="N202" i="5"/>
  <c r="O202" i="5"/>
  <c r="M203" i="5"/>
  <c r="N203" i="5"/>
  <c r="O203" i="5"/>
  <c r="M204" i="5"/>
  <c r="N204" i="5"/>
  <c r="O204" i="5"/>
  <c r="M205" i="5"/>
  <c r="N205" i="5"/>
  <c r="O205" i="5"/>
  <c r="M206" i="5"/>
  <c r="N206" i="5"/>
  <c r="O206" i="5"/>
  <c r="M207" i="5"/>
  <c r="N207" i="5"/>
  <c r="O207" i="5"/>
  <c r="M208" i="5"/>
  <c r="N208" i="5"/>
  <c r="O208" i="5"/>
  <c r="M209" i="5"/>
  <c r="N209" i="5"/>
  <c r="O209" i="5"/>
  <c r="M210" i="5"/>
  <c r="N210" i="5"/>
  <c r="O210" i="5"/>
  <c r="M211" i="5"/>
  <c r="N211" i="5"/>
  <c r="O211" i="5"/>
  <c r="M212" i="5"/>
  <c r="N212" i="5"/>
  <c r="O212" i="5"/>
  <c r="M213" i="5"/>
  <c r="N213" i="5"/>
  <c r="O213" i="5"/>
  <c r="M214" i="5"/>
  <c r="N214" i="5"/>
  <c r="O214" i="5"/>
  <c r="M215" i="5"/>
  <c r="N215" i="5"/>
  <c r="O215" i="5"/>
  <c r="M216" i="5"/>
  <c r="N216" i="5"/>
  <c r="O216" i="5"/>
  <c r="M217" i="5"/>
  <c r="N217" i="5"/>
  <c r="O217" i="5"/>
  <c r="M218" i="5"/>
  <c r="N218" i="5"/>
  <c r="O218" i="5"/>
  <c r="M219" i="5"/>
  <c r="N219" i="5"/>
  <c r="O219" i="5"/>
  <c r="M220" i="5"/>
  <c r="N220" i="5"/>
  <c r="O220" i="5"/>
  <c r="M221" i="5"/>
  <c r="N221" i="5"/>
  <c r="O221" i="5"/>
  <c r="M222" i="5"/>
  <c r="N222" i="5"/>
  <c r="O222" i="5"/>
  <c r="M223" i="5"/>
  <c r="N223" i="5"/>
  <c r="O223" i="5"/>
  <c r="M224" i="5"/>
  <c r="N224" i="5"/>
  <c r="O224" i="5"/>
  <c r="M225" i="5"/>
  <c r="N225" i="5"/>
  <c r="O225" i="5"/>
  <c r="M226" i="5"/>
  <c r="N226" i="5"/>
  <c r="O226" i="5"/>
  <c r="M227" i="5"/>
  <c r="N227" i="5"/>
  <c r="O227" i="5"/>
  <c r="M228" i="5"/>
  <c r="N228" i="5"/>
  <c r="O228" i="5"/>
  <c r="M229" i="5"/>
  <c r="N229" i="5"/>
  <c r="O229" i="5"/>
  <c r="M230" i="5"/>
  <c r="N230" i="5"/>
  <c r="O230" i="5"/>
  <c r="M231" i="5"/>
  <c r="N231" i="5"/>
  <c r="O231" i="5"/>
  <c r="M232" i="5"/>
  <c r="N232" i="5"/>
  <c r="O232" i="5"/>
  <c r="M233" i="5"/>
  <c r="N233" i="5"/>
  <c r="O233" i="5"/>
  <c r="M234" i="5"/>
  <c r="N234" i="5"/>
  <c r="O234" i="5"/>
  <c r="M235" i="5"/>
  <c r="N235" i="5"/>
  <c r="O235" i="5"/>
  <c r="M236" i="5"/>
  <c r="N236" i="5"/>
  <c r="O236" i="5"/>
  <c r="M237" i="5"/>
  <c r="N237" i="5"/>
  <c r="O237" i="5"/>
  <c r="M238" i="5"/>
  <c r="N238" i="5"/>
  <c r="O238" i="5"/>
  <c r="M239" i="5"/>
  <c r="N239" i="5"/>
  <c r="O239" i="5"/>
  <c r="M240" i="5"/>
  <c r="N240" i="5"/>
  <c r="O240" i="5"/>
  <c r="M241" i="5"/>
  <c r="N241" i="5"/>
  <c r="O241" i="5"/>
  <c r="M242" i="5"/>
  <c r="N242" i="5"/>
  <c r="O242" i="5"/>
  <c r="M243" i="5"/>
  <c r="N243" i="5"/>
  <c r="O243" i="5"/>
  <c r="M244" i="5"/>
  <c r="N244" i="5"/>
  <c r="O244" i="5"/>
  <c r="M245" i="5"/>
  <c r="N245" i="5"/>
  <c r="O245" i="5"/>
  <c r="M246" i="5"/>
  <c r="N246" i="5"/>
  <c r="O246" i="5"/>
  <c r="M247" i="5"/>
  <c r="N247" i="5"/>
  <c r="O247" i="5"/>
  <c r="M248" i="5"/>
  <c r="N248" i="5"/>
  <c r="O248" i="5"/>
  <c r="M249" i="5"/>
  <c r="N249" i="5"/>
  <c r="O249" i="5"/>
  <c r="O7" i="5"/>
  <c r="N7" i="5"/>
  <c r="M7" i="5"/>
  <c r="P4" i="1" l="1"/>
  <c r="A1" i="1"/>
  <c r="E5" i="2" l="1"/>
  <c r="E67" i="2" l="1"/>
  <c r="E57" i="2"/>
  <c r="E52" i="2"/>
  <c r="E46" i="2"/>
  <c r="E41" i="2"/>
  <c r="E36" i="2"/>
  <c r="E25" i="2"/>
  <c r="E19" i="2"/>
  <c r="E15" i="2"/>
  <c r="E10" i="2"/>
  <c r="D4" i="2" l="1"/>
  <c r="E4" i="2"/>
  <c r="F4" i="2"/>
  <c r="G4" i="2"/>
  <c r="E72" i="1" l="1"/>
  <c r="F72" i="1"/>
  <c r="G72" i="1"/>
  <c r="D72" i="1"/>
  <c r="B77" i="1" l="1"/>
  <c r="W89" i="1" l="1"/>
  <c r="W88" i="1"/>
  <c r="W87" i="1"/>
  <c r="W86" i="1"/>
  <c r="V106" i="1"/>
  <c r="V104" i="1"/>
  <c r="T12" i="5" l="1"/>
  <c r="T13" i="5"/>
  <c r="T14" i="5"/>
  <c r="T15" i="5"/>
  <c r="T16" i="5"/>
  <c r="T17" i="5"/>
  <c r="T18" i="5"/>
  <c r="T19" i="5"/>
  <c r="T20" i="5"/>
  <c r="T21" i="5"/>
  <c r="T22" i="5"/>
  <c r="T23" i="5"/>
  <c r="T24" i="5"/>
  <c r="T25" i="5"/>
  <c r="T26" i="5"/>
  <c r="T29" i="5"/>
  <c r="T30" i="5"/>
  <c r="T31" i="5"/>
  <c r="T32" i="5"/>
  <c r="T36" i="5"/>
  <c r="T37" i="5"/>
  <c r="T38" i="5"/>
  <c r="T39" i="5"/>
  <c r="T40" i="5"/>
  <c r="T41" i="5"/>
  <c r="T42" i="5"/>
  <c r="T43" i="5"/>
  <c r="T44" i="5"/>
  <c r="T46" i="5"/>
  <c r="T47" i="5"/>
  <c r="T48" i="5"/>
  <c r="T51" i="5"/>
  <c r="T52" i="5"/>
  <c r="T53" i="5"/>
  <c r="T55" i="5"/>
  <c r="T56" i="5"/>
  <c r="T59" i="5"/>
  <c r="T60" i="5"/>
  <c r="T63" i="5"/>
  <c r="T64" i="5"/>
  <c r="T65" i="5"/>
  <c r="T66" i="5"/>
  <c r="T67" i="5"/>
  <c r="T68" i="5"/>
  <c r="T69" i="5"/>
  <c r="T70" i="5"/>
  <c r="T71" i="5"/>
  <c r="T72" i="5"/>
  <c r="T74" i="5"/>
  <c r="T75" i="5"/>
  <c r="T76" i="5"/>
  <c r="T77" i="5"/>
  <c r="T78" i="5"/>
  <c r="T79" i="5"/>
  <c r="T80" i="5"/>
  <c r="T84" i="5"/>
  <c r="T86" i="5"/>
  <c r="T87" i="5"/>
  <c r="T88" i="5"/>
  <c r="T90" i="5"/>
  <c r="T91" i="5"/>
  <c r="T92" i="5"/>
  <c r="T93" i="5"/>
  <c r="T95" i="5"/>
  <c r="T96" i="5"/>
  <c r="T100" i="5"/>
  <c r="T101" i="5"/>
  <c r="T102" i="5"/>
  <c r="T103" i="5"/>
  <c r="T104" i="5"/>
  <c r="T108" i="5"/>
  <c r="T109" i="5"/>
  <c r="T110" i="5"/>
  <c r="T111" i="5"/>
  <c r="T112" i="5"/>
  <c r="T113" i="5"/>
  <c r="T114" i="5"/>
  <c r="T115" i="5"/>
  <c r="T116" i="5"/>
  <c r="T117" i="5"/>
  <c r="T118" i="5"/>
  <c r="T119" i="5"/>
  <c r="T120" i="5"/>
  <c r="T122" i="5"/>
  <c r="T123" i="5"/>
  <c r="T125" i="5"/>
  <c r="T126" i="5"/>
  <c r="T127" i="5"/>
  <c r="T128" i="5"/>
  <c r="T132" i="5"/>
  <c r="T133" i="5"/>
  <c r="T134" i="5"/>
  <c r="T135" i="5"/>
  <c r="T136" i="5"/>
  <c r="T137" i="5"/>
  <c r="T138" i="5"/>
  <c r="T139" i="5"/>
  <c r="T140" i="5"/>
  <c r="T141" i="5"/>
  <c r="T142" i="5"/>
  <c r="T143" i="5"/>
  <c r="T144" i="5"/>
  <c r="T145" i="5"/>
  <c r="T146" i="5"/>
  <c r="T147" i="5"/>
  <c r="T148" i="5"/>
  <c r="T149" i="5"/>
  <c r="T150" i="5"/>
  <c r="T151" i="5"/>
  <c r="T152" i="5"/>
  <c r="T155" i="5"/>
  <c r="T156" i="5"/>
  <c r="T157" i="5"/>
  <c r="T158" i="5"/>
  <c r="T159" i="5"/>
  <c r="T160" i="5"/>
  <c r="T161" i="5"/>
  <c r="T162" i="5"/>
  <c r="T163" i="5"/>
  <c r="T164" i="5"/>
  <c r="T165" i="5"/>
  <c r="T166" i="5"/>
  <c r="T167" i="5"/>
  <c r="T168" i="5"/>
  <c r="T170" i="5"/>
  <c r="T171" i="5"/>
  <c r="T172" i="5"/>
  <c r="T173" i="5"/>
  <c r="T174" i="5"/>
  <c r="T175" i="5"/>
  <c r="T176" i="5"/>
  <c r="T179" i="5"/>
  <c r="T180" i="5"/>
  <c r="T181" i="5"/>
  <c r="T182" i="5"/>
  <c r="T183" i="5"/>
  <c r="T184" i="5"/>
  <c r="T185" i="5"/>
  <c r="T186" i="5"/>
  <c r="T187" i="5"/>
  <c r="T188" i="5"/>
  <c r="T189" i="5"/>
  <c r="T190" i="5"/>
  <c r="T191" i="5"/>
  <c r="T192" i="5"/>
  <c r="T194" i="5"/>
  <c r="T195" i="5"/>
  <c r="T196" i="5"/>
  <c r="T197" i="5"/>
  <c r="T198" i="5"/>
  <c r="T199" i="5"/>
  <c r="T200" i="5"/>
  <c r="T204" i="5"/>
  <c r="T205" i="5"/>
  <c r="T206" i="5"/>
  <c r="T207" i="5"/>
  <c r="T208" i="5"/>
  <c r="T209" i="5"/>
  <c r="T211" i="5"/>
  <c r="T212" i="5"/>
  <c r="T213" i="5"/>
  <c r="T215" i="5"/>
  <c r="T216" i="5"/>
  <c r="T218" i="5"/>
  <c r="T219" i="5"/>
  <c r="T220" i="5"/>
  <c r="T221" i="5"/>
  <c r="T222" i="5"/>
  <c r="T223" i="5"/>
  <c r="T224" i="5"/>
  <c r="T228" i="5"/>
  <c r="T229" i="5"/>
  <c r="T230" i="5"/>
  <c r="T231" i="5"/>
  <c r="T232" i="5"/>
  <c r="T233" i="5"/>
  <c r="T234" i="5"/>
  <c r="T235" i="5"/>
  <c r="T236" i="5"/>
  <c r="T237" i="5"/>
  <c r="T238" i="5"/>
  <c r="T239" i="5"/>
  <c r="T240" i="5"/>
  <c r="T241" i="5"/>
  <c r="T243" i="5"/>
  <c r="T244" i="5"/>
  <c r="T245" i="5"/>
  <c r="T246" i="5"/>
  <c r="T247" i="5"/>
  <c r="T248" i="5"/>
  <c r="T8" i="5"/>
  <c r="T250" i="5"/>
  <c r="T249" i="5"/>
  <c r="T242" i="5"/>
  <c r="T226" i="5"/>
  <c r="T227" i="5"/>
  <c r="T225" i="5"/>
  <c r="T217" i="5"/>
  <c r="T214" i="5"/>
  <c r="T210" i="5"/>
  <c r="T203" i="5"/>
  <c r="T202" i="5"/>
  <c r="T201" i="5"/>
  <c r="T193" i="5"/>
  <c r="T178" i="5"/>
  <c r="T177" i="5"/>
  <c r="T169" i="5"/>
  <c r="T154" i="5"/>
  <c r="T153" i="5"/>
  <c r="T130" i="5"/>
  <c r="T131" i="5"/>
  <c r="T129" i="5"/>
  <c r="T124" i="5"/>
  <c r="T121" i="5"/>
  <c r="T106" i="5"/>
  <c r="T107" i="5"/>
  <c r="T105" i="5"/>
  <c r="T98" i="5"/>
  <c r="T99" i="5"/>
  <c r="T97" i="5"/>
  <c r="T94" i="5"/>
  <c r="T89" i="5"/>
  <c r="T85" i="5"/>
  <c r="T83" i="5"/>
  <c r="T82" i="5"/>
  <c r="T81" i="5"/>
  <c r="T73" i="5"/>
  <c r="T62" i="5"/>
  <c r="T61" i="5"/>
  <c r="T57" i="5"/>
  <c r="T58" i="5"/>
  <c r="T54" i="5"/>
  <c r="T49" i="5"/>
  <c r="T50" i="5"/>
  <c r="T45" i="5"/>
  <c r="T35" i="5"/>
  <c r="T33" i="5"/>
  <c r="T34" i="5"/>
  <c r="T27" i="5"/>
  <c r="T28" i="5"/>
  <c r="T11" i="5"/>
  <c r="T10" i="5"/>
  <c r="T9" i="5"/>
  <c r="D112" i="1" l="1"/>
  <c r="E83" i="1"/>
  <c r="E85" i="1"/>
  <c r="E87" i="1"/>
  <c r="E81" i="1"/>
  <c r="E91" i="1"/>
  <c r="E94" i="1"/>
  <c r="E96" i="1"/>
  <c r="E98" i="1"/>
  <c r="E92" i="1"/>
  <c r="E102" i="1"/>
  <c r="E105" i="1"/>
  <c r="E107" i="1"/>
  <c r="E109" i="1"/>
  <c r="E103" i="1"/>
  <c r="E113" i="1"/>
  <c r="E93" i="1" l="1"/>
  <c r="E95" i="1" s="1"/>
  <c r="E97" i="1" s="1"/>
  <c r="E99" i="1" s="1"/>
  <c r="V87" i="1" s="1"/>
  <c r="E104" i="1"/>
  <c r="E106" i="1" s="1"/>
  <c r="E108" i="1" s="1"/>
  <c r="E110" i="1" s="1"/>
  <c r="V88" i="1" s="1"/>
  <c r="R19" i="4" l="1"/>
  <c r="S19" i="4" s="1"/>
  <c r="S12" i="4"/>
  <c r="S11" i="4"/>
  <c r="S10" i="4"/>
  <c r="S9" i="4"/>
  <c r="S8" i="4"/>
  <c r="E80" i="1" l="1"/>
  <c r="E82" i="1" s="1"/>
  <c r="E84" i="1" s="1"/>
  <c r="E86" i="1" s="1"/>
  <c r="E88" i="1" s="1"/>
  <c r="E123" i="1"/>
  <c r="E124" i="1"/>
  <c r="E125" i="1"/>
  <c r="G6" i="2"/>
  <c r="G74" i="1" s="1"/>
  <c r="F6" i="2"/>
  <c r="F74" i="1" s="1"/>
  <c r="E6" i="2"/>
  <c r="E74" i="1" s="1"/>
  <c r="D6" i="2"/>
  <c r="D74" i="1" s="1"/>
  <c r="G5" i="2"/>
  <c r="G73" i="1" s="1"/>
  <c r="F5" i="2"/>
  <c r="F73" i="1" s="1"/>
  <c r="E73" i="1"/>
  <c r="D5" i="2"/>
  <c r="D73" i="1" s="1"/>
  <c r="L82" i="1"/>
  <c r="H72" i="1"/>
  <c r="E129" i="1"/>
  <c r="L110" i="1"/>
  <c r="H73" i="1" l="1"/>
  <c r="J86" i="1" s="1"/>
  <c r="H74" i="1"/>
  <c r="K110" i="1" s="1"/>
  <c r="V86" i="1"/>
  <c r="E112" i="1"/>
  <c r="E114" i="1" s="1"/>
  <c r="V89" i="1" s="1"/>
  <c r="I114" i="1"/>
  <c r="V107" i="1"/>
  <c r="V105" i="1"/>
  <c r="H4" i="2"/>
  <c r="J116" i="1"/>
  <c r="J90" i="1"/>
  <c r="L108" i="1"/>
  <c r="J112" i="1"/>
  <c r="H6" i="2"/>
  <c r="H5" i="2"/>
  <c r="E126" i="1"/>
  <c r="E128" i="1" s="1"/>
  <c r="E131" i="1" s="1"/>
  <c r="P113" i="1" s="1"/>
  <c r="L84" i="1"/>
  <c r="L86" i="1" s="1"/>
  <c r="I93" i="1"/>
  <c r="M92" i="1" s="1"/>
  <c r="Q92" i="1" s="1"/>
  <c r="I88" i="1"/>
  <c r="I119" i="1"/>
  <c r="M118" i="1" s="1"/>
  <c r="Q118" i="1" s="1"/>
  <c r="K114" i="1" l="1"/>
  <c r="M113" i="1" s="1"/>
  <c r="Q113" i="1" s="1"/>
  <c r="K88" i="1"/>
  <c r="M87" i="1" s="1"/>
  <c r="K84" i="1"/>
  <c r="M83" i="1" s="1"/>
  <c r="W94" i="1"/>
  <c r="E120" i="1" s="1"/>
  <c r="W92" i="1"/>
  <c r="E118" i="1" s="1"/>
  <c r="F7" i="1" s="1"/>
  <c r="M115" i="1"/>
  <c r="Q115" i="1" s="1"/>
  <c r="M109" i="1"/>
  <c r="Q100" i="1"/>
  <c r="Q126" i="1"/>
  <c r="Q99" i="1"/>
  <c r="Q125" i="1"/>
  <c r="M81" i="1"/>
  <c r="M107" i="1"/>
  <c r="L112" i="1"/>
  <c r="M111" i="1" s="1"/>
  <c r="E130" i="1"/>
  <c r="M85" i="1"/>
  <c r="M89" i="1"/>
  <c r="Q89" i="1" s="1"/>
  <c r="Q124" i="1" l="1"/>
  <c r="Q123" i="1"/>
  <c r="Q98" i="1"/>
  <c r="Q97" i="1"/>
  <c r="M120" i="1"/>
  <c r="S77" i="1"/>
  <c r="M94"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P131" i="5"/>
  <c r="P116" i="5"/>
  <c r="P101" i="5"/>
  <c r="P97" i="5"/>
  <c r="P81" i="5"/>
  <c r="P77" i="5"/>
  <c r="P57" i="5"/>
  <c r="P45" i="5"/>
  <c r="P32" i="5"/>
  <c r="P26" i="5"/>
  <c r="P213" i="5"/>
  <c r="P241" i="5"/>
  <c r="P229" i="5"/>
  <c r="P225" i="5"/>
  <c r="P220" i="5"/>
  <c r="P200" i="5"/>
  <c r="P189" i="5"/>
  <c r="P185" i="5"/>
  <c r="P180" i="5"/>
  <c r="P171" i="5"/>
  <c r="P140" i="5"/>
  <c r="P110" i="5"/>
  <c r="P106" i="5"/>
  <c r="P100" i="5"/>
  <c r="P96" i="5"/>
  <c r="P90" i="5"/>
  <c r="P85" i="5"/>
  <c r="P76" i="5"/>
  <c r="P72" i="5"/>
  <c r="P66" i="5"/>
  <c r="P60" i="5"/>
  <c r="P56" i="5"/>
  <c r="P51" i="5"/>
  <c r="P44" i="5"/>
  <c r="P41" i="5"/>
  <c r="P35" i="5"/>
  <c r="P11" i="5"/>
  <c r="P121" i="5"/>
  <c r="P179" i="5"/>
  <c r="P245" i="5"/>
  <c r="P240" i="5"/>
  <c r="P234" i="5"/>
  <c r="P224" i="5"/>
  <c r="P219" i="5"/>
  <c r="P204" i="5"/>
  <c r="P199" i="5"/>
  <c r="P194" i="5"/>
  <c r="P184" i="5"/>
  <c r="P165" i="5"/>
  <c r="P161" i="5"/>
  <c r="P155" i="5"/>
  <c r="P149" i="5"/>
  <c r="P139" i="5"/>
  <c r="P115" i="5"/>
  <c r="P29" i="5"/>
  <c r="P228" i="5"/>
  <c r="P188" i="5"/>
  <c r="P34" i="5"/>
  <c r="P242" i="5"/>
  <c r="P183" i="5"/>
  <c r="P111" i="5"/>
  <c r="P47" i="5"/>
  <c r="P206" i="5"/>
  <c r="P126" i="5"/>
  <c r="P22" i="5"/>
  <c r="P159" i="5"/>
  <c r="P23" i="5"/>
  <c r="P86" i="5"/>
  <c r="P151" i="5"/>
  <c r="P158" i="5"/>
  <c r="P223" i="5"/>
  <c r="P62" i="5"/>
  <c r="P135" i="5"/>
  <c r="P249" i="5"/>
  <c r="P175" i="5"/>
  <c r="P103" i="5"/>
  <c r="P39" i="5"/>
  <c r="P198" i="5"/>
  <c r="P118" i="5"/>
  <c r="P14" i="5"/>
  <c r="P239" i="5"/>
  <c r="P166" i="5"/>
  <c r="P231" i="5"/>
  <c r="P70" i="5"/>
  <c r="P143" i="5"/>
  <c r="P150" i="5"/>
  <c r="P215" i="5"/>
  <c r="P247" i="5"/>
  <c r="P167" i="5"/>
  <c r="P95" i="5"/>
  <c r="P31" i="5"/>
  <c r="P190" i="5"/>
  <c r="P94" i="5"/>
  <c r="P87" i="5"/>
  <c r="P79" i="5"/>
  <c r="P15" i="5"/>
  <c r="P71" i="5"/>
  <c r="P246" i="5"/>
  <c r="P63" i="5"/>
  <c r="P46" i="5"/>
  <c r="P142" i="5"/>
  <c r="P238" i="5"/>
  <c r="P191" i="5"/>
  <c r="S192" i="5" s="1"/>
  <c r="P55" i="5"/>
  <c r="P214" i="5"/>
  <c r="P134" i="5"/>
  <c r="P30" i="5"/>
  <c r="P119" i="5"/>
  <c r="N109" i="1"/>
  <c r="O109" i="1" s="1"/>
  <c r="P109" i="1" s="1"/>
  <c r="Q109" i="1" s="1"/>
  <c r="N107" i="1"/>
  <c r="O107" i="1" s="1"/>
  <c r="P107" i="1" s="1"/>
  <c r="F8" i="1"/>
  <c r="N111" i="1"/>
  <c r="O111" i="1" s="1"/>
  <c r="P111" i="1" s="1"/>
  <c r="Q111" i="1" s="1"/>
  <c r="E133" i="1"/>
  <c r="N87" i="1"/>
  <c r="O87" i="1" s="1"/>
  <c r="N113" i="1"/>
  <c r="O113" i="1" s="1"/>
  <c r="N83" i="1"/>
  <c r="O83" i="1" s="1"/>
  <c r="P83" i="1" s="1"/>
  <c r="Q83" i="1" s="1"/>
  <c r="N85" i="1"/>
  <c r="O85" i="1" s="1"/>
  <c r="P85" i="1" s="1"/>
  <c r="Q85" i="1" s="1"/>
  <c r="N81" i="1"/>
  <c r="O81" i="1" s="1"/>
  <c r="P81" i="1" s="1"/>
  <c r="S119" i="5" l="1"/>
  <c r="S30" i="5"/>
  <c r="P87" i="1"/>
  <c r="Q87" i="1" s="1"/>
  <c r="S216" i="5"/>
  <c r="S224" i="5"/>
  <c r="S207" i="5"/>
  <c r="S80" i="5"/>
  <c r="S56" i="5"/>
  <c r="R57" i="5" s="1"/>
  <c r="S16" i="5"/>
  <c r="S248" i="5"/>
  <c r="S15" i="5"/>
  <c r="S63" i="5"/>
  <c r="S127" i="5"/>
  <c r="S229" i="5"/>
  <c r="S185" i="5"/>
  <c r="S246" i="5"/>
  <c r="S57" i="5"/>
  <c r="S101" i="5"/>
  <c r="S201" i="5"/>
  <c r="S46" i="5"/>
  <c r="S137" i="5"/>
  <c r="S217" i="5"/>
  <c r="R217" i="5" s="1"/>
  <c r="S126" i="5"/>
  <c r="S83" i="5"/>
  <c r="S147" i="5"/>
  <c r="S222" i="5"/>
  <c r="S100" i="5"/>
  <c r="S93" i="5"/>
  <c r="S174" i="5"/>
  <c r="S110" i="5"/>
  <c r="S38" i="5"/>
  <c r="S99" i="5"/>
  <c r="S183" i="5"/>
  <c r="S244" i="5"/>
  <c r="S14" i="5"/>
  <c r="S94" i="5"/>
  <c r="S165" i="5"/>
  <c r="S180" i="5"/>
  <c r="S195" i="5"/>
  <c r="S61" i="5"/>
  <c r="S221" i="5"/>
  <c r="S239" i="5"/>
  <c r="S88" i="5"/>
  <c r="S231" i="5"/>
  <c r="S120" i="5"/>
  <c r="R120" i="5" s="1"/>
  <c r="S150" i="5"/>
  <c r="S107" i="5"/>
  <c r="S47" i="5"/>
  <c r="S184" i="5"/>
  <c r="S58" i="5"/>
  <c r="S71" i="5"/>
  <c r="S104" i="5"/>
  <c r="S157" i="5"/>
  <c r="S191" i="5"/>
  <c r="R192" i="5" s="1"/>
  <c r="S87"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S113" i="5"/>
  <c r="S163" i="5"/>
  <c r="S249" i="5"/>
  <c r="S37" i="5"/>
  <c r="S114" i="5"/>
  <c r="S193" i="5"/>
  <c r="R193" i="5" s="1"/>
  <c r="S11" i="5"/>
  <c r="S59" i="5"/>
  <c r="S124" i="5"/>
  <c r="S198" i="5"/>
  <c r="S76" i="5"/>
  <c r="S39" i="5"/>
  <c r="S109" i="5"/>
  <c r="S188" i="5"/>
  <c r="S143" i="5"/>
  <c r="S95" i="5"/>
  <c r="S144" i="5"/>
  <c r="S40" i="5"/>
  <c r="S152" i="5"/>
  <c r="S112" i="5"/>
  <c r="S140" i="5"/>
  <c r="S205" i="5"/>
  <c r="S12" i="5"/>
  <c r="S73" i="5"/>
  <c r="S141" i="5"/>
  <c r="S230" i="5"/>
  <c r="S82" i="5"/>
  <c r="S177" i="5"/>
  <c r="S26" i="5"/>
  <c r="S21" i="5"/>
  <c r="S123" i="5"/>
  <c r="S169" i="5"/>
  <c r="S29" i="5"/>
  <c r="R30" i="5" s="1"/>
  <c r="S43" i="5"/>
  <c r="S118" i="5"/>
  <c r="S203" i="5"/>
  <c r="S131" i="5"/>
  <c r="S65" i="5"/>
  <c r="S130" i="5"/>
  <c r="S208" i="5"/>
  <c r="S145" i="5"/>
  <c r="S44" i="5"/>
  <c r="S115" i="5"/>
  <c r="S204" i="5"/>
  <c r="S220" i="5"/>
  <c r="S36" i="5"/>
  <c r="S77" i="5"/>
  <c r="S172" i="5"/>
  <c r="S242" i="5"/>
  <c r="S98" i="5"/>
  <c r="S196" i="5"/>
  <c r="S66" i="5"/>
  <c r="S18" i="5"/>
  <c r="S128" i="5"/>
  <c r="S178" i="5"/>
  <c r="S85" i="5"/>
  <c r="S49" i="5"/>
  <c r="S129" i="5"/>
  <c r="S212" i="5"/>
  <c r="S9" i="5"/>
  <c r="S69" i="5"/>
  <c r="S134" i="5"/>
  <c r="S210" i="5"/>
  <c r="S54" i="5"/>
  <c r="S125" i="5"/>
  <c r="S209" i="5"/>
  <c r="S64" i="5"/>
  <c r="S176" i="5"/>
  <c r="S243" i="5"/>
  <c r="S225" i="5"/>
  <c r="R225" i="5" s="1"/>
  <c r="S86" i="5"/>
  <c r="S181" i="5"/>
  <c r="S214" i="5"/>
  <c r="S102" i="5"/>
  <c r="S202" i="5"/>
  <c r="S106" i="5"/>
  <c r="S22" i="5"/>
  <c r="S133" i="5"/>
  <c r="S182" i="5"/>
  <c r="S171" i="5"/>
  <c r="S53" i="5"/>
  <c r="S154" i="5"/>
  <c r="S227" i="5"/>
  <c r="S13" i="5"/>
  <c r="S75" i="5"/>
  <c r="S148" i="5"/>
  <c r="S223" i="5"/>
  <c r="S51" i="5"/>
  <c r="S60" i="5"/>
  <c r="S139" i="5"/>
  <c r="S219" i="5"/>
  <c r="S31" i="5"/>
  <c r="R31" i="5" s="1"/>
  <c r="S232" i="5"/>
  <c r="S247" i="5"/>
  <c r="S96" i="5"/>
  <c r="S167" i="5"/>
  <c r="S250" i="5"/>
  <c r="S160" i="5"/>
  <c r="S35" i="5"/>
  <c r="S162" i="5"/>
  <c r="S235" i="5"/>
  <c r="S45" i="5"/>
  <c r="S91" i="5"/>
  <c r="S186" i="5"/>
  <c r="S27" i="5"/>
  <c r="S117" i="5"/>
  <c r="S206" i="5"/>
  <c r="R207" i="5" s="1"/>
  <c r="S121" i="5"/>
  <c r="S62" i="5"/>
  <c r="S138" i="5"/>
  <c r="S197" i="5"/>
  <c r="S41" i="5"/>
  <c r="S74" i="5"/>
  <c r="S158" i="5"/>
  <c r="S233" i="5"/>
  <c r="S28" i="5"/>
  <c r="S84" i="5"/>
  <c r="S164" i="5"/>
  <c r="S234" i="5"/>
  <c r="S146" i="5"/>
  <c r="S70" i="5"/>
  <c r="S149" i="5"/>
  <c r="S228" i="5"/>
  <c r="S32" i="5"/>
  <c r="S24" i="5"/>
  <c r="S156" i="5"/>
  <c r="S42" i="5"/>
  <c r="S135" i="5"/>
  <c r="S215" i="5"/>
  <c r="R216" i="5" s="1"/>
  <c r="S72" i="5"/>
  <c r="S168" i="5"/>
  <c r="S240" i="5"/>
  <c r="S136" i="5"/>
  <c r="S23" i="5"/>
  <c r="S189" i="5"/>
  <c r="S166" i="5"/>
  <c r="S241" i="5"/>
  <c r="S52" i="5"/>
  <c r="S97" i="5"/>
  <c r="S190" i="5"/>
  <c r="S33" i="5"/>
  <c r="S132" i="5"/>
  <c r="S211" i="5"/>
  <c r="S8" i="5"/>
  <c r="R8" i="5" s="1"/>
  <c r="S68" i="5"/>
  <c r="S142" i="5"/>
  <c r="S218" i="5"/>
  <c r="S81" i="5"/>
  <c r="S79" i="5"/>
  <c r="S170" i="5"/>
  <c r="S55" i="5"/>
  <c r="S19" i="5"/>
  <c r="S89" i="5"/>
  <c r="S179" i="5"/>
  <c r="S238" i="5"/>
  <c r="S10" i="5"/>
  <c r="S90" i="5"/>
  <c r="S155" i="5"/>
  <c r="S245" i="5"/>
  <c r="Q81" i="1"/>
  <c r="Q94" i="1" a="1"/>
  <c r="Q107" i="1"/>
  <c r="Q122" i="1" s="1"/>
  <c r="Q120" i="1" a="1"/>
  <c r="Q120" i="1" s="1"/>
  <c r="Q121" i="1" s="1"/>
  <c r="R208" i="5" l="1"/>
  <c r="Q94" i="1"/>
  <c r="Q95" i="1" s="1"/>
  <c r="F9" i="1" s="1"/>
  <c r="R80" i="5"/>
  <c r="R81" i="5"/>
  <c r="R58" i="5"/>
  <c r="R15" i="5"/>
  <c r="R84" i="5"/>
  <c r="R102" i="5"/>
  <c r="R127" i="5"/>
  <c r="R17" i="5"/>
  <c r="R247" i="5"/>
  <c r="R101" i="5"/>
  <c r="R16" i="5"/>
  <c r="R46" i="5"/>
  <c r="R218" i="5"/>
  <c r="R202" i="5"/>
  <c r="R186" i="5"/>
  <c r="R181" i="5"/>
  <c r="R180" i="5"/>
  <c r="R137" i="5"/>
  <c r="R128" i="5"/>
  <c r="R64" i="5"/>
  <c r="R249" i="5"/>
  <c r="R111" i="5"/>
  <c r="R185" i="5"/>
  <c r="R230" i="5"/>
  <c r="R47" i="5"/>
  <c r="R196" i="5"/>
  <c r="R99" i="5"/>
  <c r="R94" i="5"/>
  <c r="R222" i="5"/>
  <c r="R100" i="5"/>
  <c r="R245" i="5"/>
  <c r="R223" i="5"/>
  <c r="R183" i="5"/>
  <c r="R148" i="5"/>
  <c r="R175" i="5"/>
  <c r="R174" i="5"/>
  <c r="R166" i="5"/>
  <c r="R95" i="5"/>
  <c r="R55" i="5"/>
  <c r="R39" i="5"/>
  <c r="R38" i="5"/>
  <c r="R14" i="5"/>
  <c r="R71" i="5"/>
  <c r="R228" i="5"/>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80" i="1"/>
  <c r="Q96" i="1"/>
  <c r="F6" i="1"/>
  <c r="F5" i="1" l="1"/>
  <c r="D2" i="5"/>
</calcChain>
</file>

<file path=xl/sharedStrings.xml><?xml version="1.0" encoding="utf-8"?>
<sst xmlns="http://schemas.openxmlformats.org/spreadsheetml/2006/main" count="905" uniqueCount="289">
  <si>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</si>
  <si>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</si>
  <si>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</si>
  <si>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</si>
  <si>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</si>
  <si>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</si>
  <si>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</si>
  <si>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</si>
  <si>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</si>
  <si>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</si>
  <si>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</si>
  <si>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</si>
  <si>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</si>
  <si>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</si>
  <si>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</si>
  <si>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</si>
  <si>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</si>
  <si>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</si>
  <si>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</si>
  <si>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</si>
  <si>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</si>
  <si>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</si>
  <si>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</si>
  <si>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</si>
  <si>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</si>
  <si>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</si>
  <si>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</si>
  <si>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</si>
  <si>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</si>
  <si>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</si>
  <si>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</si>
  <si>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</si>
  <si>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</si>
  <si>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</si>
  <si>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</si>
  <si>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</si>
  <si>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</si>
  <si>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</si>
  <si>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</si>
  <si>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</si>
  <si>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</si>
  <si>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</si>
  <si>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</si>
  <si>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</si>
  <si>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</si>
  <si>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</si>
  <si>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</si>
  <si>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</si>
  <si>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</si>
  <si>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</si>
  <si>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</si>
  <si>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</si>
  <si>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</si>
  <si>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</si>
  <si>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</si>
  <si>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</si>
  <si>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</si>
  <si>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</si>
  <si>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</si>
  <si>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</si>
  <si>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</si>
  <si>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</si>
  <si>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</si>
  <si>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</si>
  <si>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</si>
  <si>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</si>
  <si>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</si>
  <si>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</si>
  <si>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</si>
  <si>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</si>
  <si>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</si>
  <si>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</si>
  <si>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</si>
  <si>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</si>
  <si>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</si>
  <si>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</si>
  <si>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</si>
  <si>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</si>
  <si>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</si>
  <si>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</si>
  <si>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</si>
  <si>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</si>
  <si>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</si>
  <si>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</si>
  <si>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</si>
  <si>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</si>
  <si>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</si>
  <si>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</si>
  <si>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Total Market</t>
  </si>
  <si>
    <t>SweetspotTAM</t>
  </si>
  <si>
    <t>TotalTAM</t>
  </si>
  <si>
    <t>NicheSize</t>
  </si>
  <si>
    <t>Niche Market Share</t>
  </si>
  <si>
    <t>NicheMarketShare</t>
  </si>
  <si>
    <t>Niche Size - of sweetspot TAM</t>
  </si>
  <si>
    <t>m</t>
  </si>
  <si>
    <t>International TAM</t>
  </si>
  <si>
    <t>Standard seed</t>
  </si>
  <si>
    <t>4 princes</t>
  </si>
  <si>
    <t>1 king = 20%</t>
  </si>
  <si>
    <t>4 princes * 10% = 40%</t>
  </si>
  <si>
    <t>lower than average due to size of mkt</t>
  </si>
  <si>
    <t>Target Market TAM</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</si>
  <si>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</si>
  <si>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</si>
  <si>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</si>
  <si>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</si>
  <si>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</si>
  <si>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</si>
  <si>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</si>
  <si>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</si>
  <si>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</si>
  <si>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</si>
  <si>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</si>
  <si>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</si>
  <si>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</si>
  <si>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</si>
  <si>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</si>
  <si>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</si>
  <si>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</si>
  <si>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</si>
  <si>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</si>
  <si>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</si>
  <si>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6</t>
  </si>
  <si>
    <t>Output 7</t>
  </si>
  <si>
    <t>Output 8</t>
  </si>
  <si>
    <t>Output 9</t>
  </si>
  <si>
    <t>Output 10</t>
  </si>
  <si>
    <t>Select Output</t>
  </si>
  <si>
    <t>Combined Unc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</si>
  <si>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</si>
  <si>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</si>
  <si>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</si>
  <si>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</si>
  <si>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</si>
  <si>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</si>
  <si>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</si>
  <si>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</si>
  <si>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</si>
  <si>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</si>
  <si>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</si>
  <si>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</si>
  <si>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</si>
  <si>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</si>
  <si>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</si>
  <si>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</si>
  <si>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</si>
  <si>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</si>
  <si>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</si>
  <si>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</si>
  <si>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</si>
  <si>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</si>
  <si>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</si>
  <si>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</si>
  <si>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</si>
  <si>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</si>
  <si>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</si>
  <si>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</si>
  <si>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</si>
  <si>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</si>
  <si>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</si>
  <si>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</si>
  <si>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</si>
  <si>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</si>
  <si>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</si>
  <si>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</si>
  <si>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</si>
  <si>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</si>
  <si>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</si>
  <si>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</si>
  <si>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</si>
  <si>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</si>
  <si>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</si>
  <si>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</si>
  <si>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</si>
  <si>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</si>
  <si>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</si>
  <si>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</si>
  <si>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</si>
  <si>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</si>
  <si>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</si>
  <si>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</si>
  <si>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</si>
  <si>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</si>
  <si>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</si>
  <si>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</si>
  <si>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</si>
  <si>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</si>
  <si>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</si>
  <si>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</si>
  <si>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</si>
  <si>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</si>
  <si>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</si>
  <si>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</si>
  <si>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</si>
  <si>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</si>
  <si>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</si>
  <si>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</si>
  <si>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</si>
  <si>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</si>
  <si>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</si>
  <si>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</si>
  <si>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</si>
  <si>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</si>
  <si>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</si>
  <si>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</si>
  <si>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</si>
  <si>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</si>
  <si>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</si>
  <si>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</si>
  <si>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</si>
  <si>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</si>
  <si>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</si>
  <si>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</si>
  <si>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</si>
  <si>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</si>
  <si>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</si>
  <si>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</si>
  <si>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</si>
  <si>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</si>
  <si>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</si>
  <si>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</si>
  <si>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</si>
  <si>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</si>
  <si>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</si>
  <si>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</si>
  <si>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</si>
  <si>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</si>
  <si>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</si>
  <si>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</si>
  <si>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</si>
  <si>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</si>
  <si>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</si>
  <si>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</si>
  <si>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</si>
  <si>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</si>
  <si>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</si>
  <si>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</si>
  <si>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</si>
  <si>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</si>
  <si>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</si>
  <si>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</si>
  <si>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</si>
  <si>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</si>
  <si>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</si>
  <si>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</si>
  <si>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</si>
  <si>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</si>
  <si>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</si>
  <si>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</si>
  <si>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</si>
  <si>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</si>
  <si>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</si>
  <si>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</si>
  <si>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</si>
  <si>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</si>
  <si>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</si>
  <si>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</si>
  <si>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</si>
  <si>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</si>
  <si>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</si>
  <si>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</si>
  <si>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</si>
  <si>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</si>
  <si>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</si>
  <si>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</si>
  <si>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</si>
  <si>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</si>
  <si>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</si>
  <si>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</si>
  <si>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</si>
  <si>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</si>
  <si>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</si>
  <si>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</si>
  <si>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</si>
  <si>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</si>
  <si>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</si>
  <si>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Criteria for Success</t>
  </si>
  <si>
    <t>Assessment</t>
  </si>
  <si>
    <t>Supporting Proof Points/Concerns</t>
  </si>
  <si>
    <t>Company Name</t>
  </si>
  <si>
    <t>Truthy</t>
  </si>
  <si>
    <t xml:space="preserve">Life Stage Assessments </t>
  </si>
  <si>
    <t>10 major players, 1 King</t>
  </si>
  <si>
    <t>5 serfs * 4% = 20%</t>
  </si>
  <si>
    <t>Sweet Spot Market</t>
  </si>
  <si>
    <t>Sweet Spot Mkt: PWMOIC</t>
  </si>
  <si>
    <t>Output: Sweet Spot Mkt: PWMOIC</t>
  </si>
  <si>
    <t>Output: Sweet Spot TAM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</si>
</sst>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50"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
      <b/>
      <sz val="20"/>
      <color rgb="FF000000"/>
      <name val="Apple Chancery"/>
      <family val="4"/>
    </font>
    <font>
      <sz val="16"/>
      <color rgb="FF000000"/>
      <name val="Apple Chancery"/>
      <family val="4"/>
    </font>
    <font>
      <b/>
      <sz val="10"/>
      <name val="Geneva"/>
      <family val="2"/>
    </font>
    <font>
      <sz val="10"/>
      <color rgb="FF0070C0"/>
      <name val="Geneva"/>
      <family val="2"/>
    </font>
    <font>
      <b/>
      <sz val="10"/>
      <color rgb="FF0070C0"/>
      <name val="Geneva"/>
      <family val="2"/>
    </font>
    <font>
      <i/>
      <sz val="10"/>
      <color rgb="FF0070C0"/>
      <name val="Geneva"/>
      <family val="2"/>
    </font>
    <font>
      <sz val="10"/>
      <color rgb="FF0070C0"/>
      <name val="Geneva"/>
      <family val="2"/>
    </font>
  </fonts>
  <fills count="25">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theme="6" tint="0.39997558519241921"/>
        <bgColor indexed="64"/>
      </patternFill>
    </fill>
    <fill>
      <patternFill patternType="gray0625"/>
    </fill>
  </fills>
  <borders count="53">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72">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1" fontId="0" fillId="0" borderId="0" xfId="0" applyNumberFormat="1" applyAlignment="1">
      <alignment horizontal="center"/>
    </xf>
    <xf numFmtId="0" fontId="0" fillId="0" borderId="5" xfId="0" applyBorder="1"/>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8" xfId="0" applyNumberFormat="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0" fontId="4" fillId="20" borderId="0" xfId="0" applyFont="1" applyFill="1" applyBorder="1"/>
    <xf numFmtId="0" fontId="5" fillId="0" borderId="0" xfId="0" applyFont="1" applyFill="1" applyBorder="1" applyAlignment="1">
      <alignment horizontal="lef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0" fontId="0" fillId="20" borderId="0" xfId="0" applyFill="1" applyAlignment="1">
      <alignment wrapText="1"/>
    </xf>
    <xf numFmtId="9" fontId="0" fillId="20" borderId="0" xfId="40" applyFont="1" applyFill="1"/>
    <xf numFmtId="0" fontId="38" fillId="20" borderId="0" xfId="0" applyFont="1" applyFill="1" applyAlignment="1">
      <alignment wrapText="1"/>
    </xf>
    <xf numFmtId="0" fontId="34" fillId="20" borderId="0" xfId="0" applyFont="1" applyFill="1" applyAlignment="1">
      <alignment horizontal="left" vertical="center" wrapText="1" readingOrder="1"/>
    </xf>
    <xf numFmtId="0" fontId="38"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39"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0" fillId="20" borderId="22" xfId="211" applyFont="1" applyFill="1" applyBorder="1"/>
    <xf numFmtId="2" fontId="40"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 xfId="211" applyFont="1" applyFill="1" applyBorder="1"/>
    <xf numFmtId="0" fontId="5" fillId="20" borderId="5" xfId="211" applyFont="1" applyFill="1" applyBorder="1" applyAlignment="1">
      <alignment horizontal="right"/>
    </xf>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1" fillId="20" borderId="0" xfId="211" applyNumberFormat="1" applyFont="1" applyFill="1" applyAlignment="1">
      <alignment wrapText="1"/>
    </xf>
    <xf numFmtId="49" fontId="42" fillId="20" borderId="0" xfId="211" applyNumberFormat="1" applyFont="1" applyFill="1" applyAlignment="1">
      <alignment wrapText="1"/>
    </xf>
    <xf numFmtId="0" fontId="0" fillId="23" borderId="0" xfId="0" applyFill="1"/>
    <xf numFmtId="0" fontId="5" fillId="20" borderId="10" xfId="211" applyFill="1" applyBorder="1"/>
    <xf numFmtId="0" fontId="5" fillId="20" borderId="11" xfId="211" applyFill="1" applyBorder="1"/>
    <xf numFmtId="0" fontId="45" fillId="20" borderId="51" xfId="211" applyFont="1" applyFill="1" applyBorder="1"/>
    <xf numFmtId="0" fontId="45" fillId="20" borderId="22" xfId="211" applyFont="1" applyFill="1" applyBorder="1"/>
    <xf numFmtId="0" fontId="45" fillId="20" borderId="24" xfId="211" applyFont="1" applyFill="1" applyBorder="1" applyAlignment="1">
      <alignment horizontal="right"/>
    </xf>
    <xf numFmtId="0" fontId="45" fillId="20" borderId="11" xfId="211" applyFont="1" applyFill="1" applyBorder="1"/>
    <xf numFmtId="0" fontId="46" fillId="0" borderId="0" xfId="0" applyFont="1" applyBorder="1" applyAlignment="1">
      <alignment horizontal="center"/>
    </xf>
    <xf numFmtId="0" fontId="46" fillId="0" borderId="5" xfId="0" applyFont="1" applyBorder="1" applyAlignment="1">
      <alignment horizontal="center"/>
    </xf>
    <xf numFmtId="1" fontId="46" fillId="0" borderId="0" xfId="40" applyNumberFormat="1" applyFont="1" applyBorder="1" applyAlignment="1">
      <alignment horizontal="center"/>
    </xf>
    <xf numFmtId="1" fontId="46" fillId="0" borderId="5" xfId="40" applyNumberFormat="1" applyFont="1" applyBorder="1" applyAlignment="1">
      <alignment horizontal="center"/>
    </xf>
    <xf numFmtId="9" fontId="46" fillId="0" borderId="0" xfId="0" applyNumberFormat="1" applyFont="1" applyBorder="1" applyAlignment="1">
      <alignment horizontal="center"/>
    </xf>
    <xf numFmtId="9" fontId="46" fillId="0" borderId="5" xfId="0" applyNumberFormat="1" applyFont="1" applyBorder="1" applyAlignment="1">
      <alignment horizontal="center"/>
    </xf>
    <xf numFmtId="9" fontId="46" fillId="0" borderId="0" xfId="40" applyFont="1" applyBorder="1" applyAlignment="1">
      <alignment horizontal="center"/>
    </xf>
    <xf numFmtId="9" fontId="47" fillId="0" borderId="5" xfId="40" applyFont="1" applyBorder="1" applyAlignment="1">
      <alignment horizontal="center"/>
    </xf>
    <xf numFmtId="9" fontId="46" fillId="0" borderId="0" xfId="0" applyNumberFormat="1" applyFont="1" applyAlignment="1">
      <alignment horizontal="center"/>
    </xf>
    <xf numFmtId="1" fontId="46" fillId="0" borderId="0" xfId="0" applyNumberFormat="1" applyFont="1" applyAlignment="1">
      <alignment horizontal="center"/>
    </xf>
    <xf numFmtId="1" fontId="47" fillId="19" borderId="0" xfId="0" applyNumberFormat="1" applyFont="1" applyFill="1" applyAlignment="1">
      <alignment horizontal="center"/>
    </xf>
    <xf numFmtId="1" fontId="46" fillId="0" borderId="5" xfId="0" applyNumberFormat="1" applyFont="1" applyBorder="1" applyAlignment="1">
      <alignment horizontal="center"/>
    </xf>
    <xf numFmtId="0" fontId="48" fillId="0" borderId="0" xfId="0" applyFont="1" applyBorder="1" applyAlignment="1">
      <alignment horizontal="center"/>
    </xf>
    <xf numFmtId="9" fontId="46" fillId="0" borderId="5" xfId="40" applyFont="1" applyBorder="1" applyAlignment="1">
      <alignment horizontal="center"/>
    </xf>
    <xf numFmtId="9" fontId="47" fillId="0" borderId="0" xfId="40" applyFont="1" applyBorder="1" applyAlignment="1">
      <alignment horizontal="center"/>
    </xf>
    <xf numFmtId="1" fontId="46" fillId="0" borderId="7" xfId="0" applyNumberFormat="1" applyFont="1" applyFill="1" applyBorder="1" applyAlignment="1">
      <alignment horizontal="center"/>
    </xf>
    <xf numFmtId="1" fontId="46" fillId="0" borderId="8" xfId="0" applyNumberFormat="1" applyFont="1" applyFill="1" applyBorder="1" applyAlignment="1">
      <alignment horizontal="center"/>
    </xf>
    <xf numFmtId="0" fontId="46" fillId="0" borderId="10" xfId="0" applyFont="1" applyFill="1" applyBorder="1" applyAlignment="1">
      <alignment horizontal="center"/>
    </xf>
    <xf numFmtId="0" fontId="46" fillId="0" borderId="11" xfId="0" applyFont="1" applyFill="1" applyBorder="1" applyAlignment="1">
      <alignment horizontal="center"/>
    </xf>
    <xf numFmtId="0" fontId="45" fillId="23" borderId="0" xfId="0" applyFont="1" applyFill="1"/>
    <xf numFmtId="0" fontId="46" fillId="20" borderId="0" xfId="0" applyFont="1" applyFill="1" applyAlignment="1">
      <alignment wrapText="1"/>
    </xf>
    <xf numFmtId="9" fontId="46" fillId="20" borderId="7" xfId="40" applyFont="1" applyFill="1" applyBorder="1" applyAlignment="1">
      <alignment horizontal="center"/>
    </xf>
    <xf numFmtId="9" fontId="0" fillId="20" borderId="0" xfId="40" applyFont="1" applyFill="1" applyAlignment="1">
      <alignment horizontal="center"/>
    </xf>
    <xf numFmtId="0" fontId="0" fillId="20" borderId="0" xfId="0" applyFill="1" applyAlignment="1">
      <alignment horizontal="center"/>
    </xf>
    <xf numFmtId="0" fontId="45" fillId="23" borderId="0" xfId="0" applyFont="1" applyFill="1" applyAlignment="1">
      <alignment wrapText="1"/>
    </xf>
    <xf numFmtId="9" fontId="45" fillId="23" borderId="0" xfId="40" applyFont="1" applyFill="1" applyAlignment="1">
      <alignment horizontal="center"/>
    </xf>
    <xf numFmtId="0" fontId="49" fillId="0" borderId="0" xfId="0" applyFont="1" applyAlignment="1">
      <alignment wrapText="1"/>
    </xf>
    <xf numFmtId="9" fontId="5" fillId="20" borderId="46" xfId="40" applyFont="1" applyFill="1" applyBorder="1" applyAlignment="1">
      <alignment horizontal="center"/>
    </xf>
    <xf numFmtId="9" fontId="5" fillId="20" borderId="10" xfId="40" applyFont="1" applyFill="1" applyBorder="1" applyAlignment="1">
      <alignment horizontal="center"/>
    </xf>
    <xf numFmtId="9" fontId="5" fillId="20" borderId="11" xfId="40" applyFont="1" applyFill="1" applyBorder="1" applyAlignment="1">
      <alignment horizontal="center"/>
    </xf>
    <xf numFmtId="0" fontId="4" fillId="0" borderId="44" xfId="0" applyFont="1" applyBorder="1"/>
    <xf numFmtId="1" fontId="0" fillId="0" borderId="45" xfId="0" applyNumberFormat="1" applyFill="1" applyBorder="1" applyAlignment="1">
      <alignment horizontal="center"/>
    </xf>
    <xf numFmtId="14" fontId="0" fillId="0" borderId="0" xfId="0" applyNumberFormat="1" applyAlignment="1">
      <alignment horizontal="left"/>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2" xfId="211" applyFont="1" applyFill="1" applyBorder="1" applyAlignment="1">
      <alignment horizontal="center"/>
    </xf>
    <xf numFmtId="0" fontId="5" fillId="20" borderId="23" xfId="211" applyFill="1" applyBorder="1" applyAlignment="1">
      <alignment horizontal="center"/>
    </xf>
    <xf numFmtId="0" fontId="5" fillId="20" borderId="24" xfId="211" applyFill="1" applyBorder="1" applyAlignment="1">
      <alignment horizontal="center"/>
    </xf>
    <xf numFmtId="168" fontId="0" fillId="0" borderId="0" xfId="0" applyNumberFormat="1"/>
    <xf numFmtId="168" fontId="0" fillId="0" borderId="7" xfId="0" applyNumberFormat="1" applyBorder="1"/>
    <xf numFmtId="166" fontId="6" fillId="24" borderId="25" xfId="0" applyNumberFormat="1" applyFont="1" applyFill="1" applyBorder="1" applyAlignment="1">
      <alignment horizontal="right"/>
    </xf>
    <xf numFmtId="0" fontId="5" fillId="0" borderId="2" xfId="0" applyFont="1" applyFill="1" applyBorder="1" applyAlignment="1">
      <alignment horizontal="left"/>
    </xf>
    <xf numFmtId="168" fontId="0" fillId="0" borderId="0" xfId="40" applyNumberFormat="1" applyFont="1" applyFill="1" applyBorder="1" applyAlignment="1">
      <alignment horizontal="right"/>
    </xf>
    <xf numFmtId="168" fontId="0" fillId="0" borderId="0" xfId="28" applyNumberFormat="1" applyFont="1" applyFill="1" applyBorder="1" applyAlignment="1">
      <alignment horizontal="right"/>
    </xf>
    <xf numFmtId="168" fontId="0" fillId="0" borderId="28" xfId="0" applyNumberFormat="1" applyBorder="1" applyAlignment="1">
      <alignment horizontal="right"/>
    </xf>
    <xf numFmtId="168" fontId="5" fillId="0" borderId="0" xfId="0" applyNumberFormat="1" applyFont="1" applyFill="1" applyBorder="1" applyAlignment="1">
      <alignment horizontal="right"/>
    </xf>
    <xf numFmtId="168" fontId="5" fillId="0" borderId="0" xfId="0" applyNumberFormat="1" applyFont="1" applyBorder="1" applyAlignment="1">
      <alignment horizontal="right"/>
    </xf>
    <xf numFmtId="168" fontId="5" fillId="0" borderId="29" xfId="28" applyNumberFormat="1" applyFont="1" applyFill="1" applyBorder="1" applyAlignment="1">
      <alignment horizontal="right"/>
    </xf>
    <xf numFmtId="168" fontId="0" fillId="0" borderId="28" xfId="28" applyNumberFormat="1" applyFont="1" applyBorder="1" applyAlignment="1">
      <alignment horizontal="right"/>
    </xf>
    <xf numFmtId="168" fontId="5" fillId="0" borderId="0" xfId="28" applyNumberFormat="1" applyFont="1" applyFill="1" applyBorder="1" applyAlignment="1">
      <alignment horizontal="right"/>
    </xf>
    <xf numFmtId="168" fontId="5" fillId="0" borderId="0" xfId="28" applyNumberFormat="1" applyFont="1" applyBorder="1" applyAlignment="1">
      <alignment horizontal="right"/>
    </xf>
    <xf numFmtId="0" fontId="5" fillId="20" borderId="38" xfId="211" applyFill="1" applyBorder="1"/>
    <xf numFmtId="0" fontId="5" fillId="20" borderId="52" xfId="211" applyFill="1" applyBorder="1"/>
    <xf numFmtId="0" fontId="5" fillId="20" borderId="39" xfId="211" applyFill="1" applyBorder="1"/>
    <xf numFmtId="0" fontId="5" fillId="20" borderId="48" xfId="211" applyFill="1" applyBorder="1"/>
    <xf numFmtId="0" fontId="5" fillId="20" borderId="49" xfId="211" applyFill="1" applyBorder="1"/>
    <xf numFmtId="0" fontId="5" fillId="20" borderId="40" xfId="211" applyFill="1" applyBorder="1"/>
    <xf numFmtId="0" fontId="5" fillId="20" borderId="50" xfId="211" applyFill="1" applyBorder="1"/>
    <xf numFmtId="0" fontId="5" fillId="20" borderId="41" xfId="211" applyFill="1" applyBorder="1"/>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58">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Niche Exit Mult Disc</c:v>
              </c:pt>
              <c:pt idx="7">
                <c:v># of new hires/year - Small US </c:v>
              </c:pt>
              <c:pt idx="8">
                <c:v>Ethical Code Gen Fee/app - Small US </c:v>
              </c:pt>
              <c:pt idx="9">
                <c:v>Addressable Fraction - Small US </c:v>
              </c:pt>
              <c:pt idx="10">
                <c:v>Serf Market Share</c:v>
              </c:pt>
              <c:pt idx="11">
                <c:v>Avg # of applications/hire - Small US </c:v>
              </c:pt>
              <c:pt idx="12">
                <c:v># of companies - Small US </c:v>
              </c:pt>
              <c:pt idx="13">
                <c:v>King / Gorrilla Chance</c:v>
              </c:pt>
              <c:pt idx="14">
                <c:v>Prince / Monkey Chance</c:v>
              </c:pt>
              <c:pt idx="15">
                <c:v>King Market Share</c:v>
              </c:pt>
              <c:pt idx="16">
                <c:v>Addressable Fraction - Big US </c:v>
              </c:pt>
              <c:pt idx="17">
                <c:v># of companies - Med US </c:v>
              </c:pt>
              <c:pt idx="18">
                <c:v>Addressable Fraction - Med US </c:v>
              </c:pt>
              <c:pt idx="19">
                <c:v># of companies - Big US </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 of new hires/year - Big US </c:v>
              </c:pt>
              <c:pt idx="27">
                <c:v>Avg # of applications/hire - Big US </c:v>
              </c:pt>
              <c:pt idx="28">
                <c:v>Dilution</c:v>
              </c:pt>
            </c:strLit>
          </c:cat>
          <c:val>
            <c:numLit>
              <c:formatCode>General</c:formatCode>
              <c:ptCount val="29"/>
              <c:pt idx="0">
                <c:v>2.6303137858064507</c:v>
              </c:pt>
              <c:pt idx="1">
                <c:v>8.6857609083870955</c:v>
              </c:pt>
              <c:pt idx="2">
                <c:v>8.4954633909677408</c:v>
              </c:pt>
              <c:pt idx="3">
                <c:v>8.8760584258064519</c:v>
              </c:pt>
              <c:pt idx="4">
                <c:v>8.3051658735483862</c:v>
              </c:pt>
              <c:pt idx="5">
                <c:v>8.975286272</c:v>
              </c:pt>
              <c:pt idx="6">
                <c:v>8.3812848805161284</c:v>
              </c:pt>
              <c:pt idx="7">
                <c:v>8.3025655741935473</c:v>
              </c:pt>
              <c:pt idx="8">
                <c:v>8.3025655741935473</c:v>
              </c:pt>
              <c:pt idx="9">
                <c:v>8.4941632412903214</c:v>
              </c:pt>
              <c:pt idx="10">
                <c:v>7.1999038761290324</c:v>
              </c:pt>
              <c:pt idx="11">
                <c:v>8.3025655741935473</c:v>
              </c:pt>
              <c:pt idx="12">
                <c:v>7.9704629512258061</c:v>
              </c:pt>
              <c:pt idx="13">
                <c:v>8.0517952412903213</c:v>
              </c:pt>
              <c:pt idx="14">
                <c:v>7.4970752825806448</c:v>
              </c:pt>
              <c:pt idx="15">
                <c:v>7.6951895535483867</c:v>
              </c:pt>
              <c:pt idx="16">
                <c:v>7.1529795716129021</c:v>
              </c:pt>
              <c:pt idx="17">
                <c:v>7.24877840516129</c:v>
              </c:pt>
              <c:pt idx="18">
                <c:v>7.4084431277419363</c:v>
              </c:pt>
              <c:pt idx="19">
                <c:v>7.1529795716129021</c:v>
              </c:pt>
              <c:pt idx="20">
                <c:v>6.7697842374193549</c:v>
              </c:pt>
              <c:pt idx="21">
                <c:v>6.6420524593548382</c:v>
              </c:pt>
              <c:pt idx="22">
                <c:v>7.8933038245161287</c:v>
              </c:pt>
              <c:pt idx="23">
                <c:v>6.3865889032258067</c:v>
              </c:pt>
              <c:pt idx="24">
                <c:v>5.8117959019354846</c:v>
              </c:pt>
              <c:pt idx="25">
                <c:v>5.2114565450322576</c:v>
              </c:pt>
              <c:pt idx="26">
                <c:v>5.6201982348387105</c:v>
              </c:pt>
              <c:pt idx="27">
                <c:v>5.6201982348387105</c:v>
              </c:pt>
              <c:pt idx="28">
                <c:v>16.610331747096772</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20.948011602580642</c:v>
              </c:pt>
              <c:pt idx="1">
                <c:v>8.6857609083870955</c:v>
              </c:pt>
              <c:pt idx="2">
                <c:v>8.8760584258064519</c:v>
              </c:pt>
              <c:pt idx="3">
                <c:v>8.4003146322580644</c:v>
              </c:pt>
              <c:pt idx="4">
                <c:v>8.8760584258064519</c:v>
              </c:pt>
              <c:pt idx="5">
                <c:v>8.2848796356923078</c:v>
              </c:pt>
              <c:pt idx="6">
                <c:v>9.1424749501935487</c:v>
              </c:pt>
              <c:pt idx="7">
                <c:v>9.0689562425806436</c:v>
              </c:pt>
              <c:pt idx="8">
                <c:v>9.0689562425806436</c:v>
              </c:pt>
              <c:pt idx="9">
                <c:v>9.2605539096774212</c:v>
              </c:pt>
              <c:pt idx="10">
                <c:v>8.1904752309677402</c:v>
              </c:pt>
              <c:pt idx="11">
                <c:v>9.4521515767741935</c:v>
              </c:pt>
              <c:pt idx="12">
                <c:v>9.196688020645162</c:v>
              </c:pt>
              <c:pt idx="13">
                <c:v>9.4782179922580614</c:v>
              </c:pt>
              <c:pt idx="14">
                <c:v>9.2801037212903204</c:v>
              </c:pt>
              <c:pt idx="15">
                <c:v>9.676332263225806</c:v>
              </c:pt>
              <c:pt idx="16">
                <c:v>9.196688020645162</c:v>
              </c:pt>
              <c:pt idx="17">
                <c:v>9.6437492438709675</c:v>
              </c:pt>
              <c:pt idx="18">
                <c:v>9.9630786890322582</c:v>
              </c:pt>
              <c:pt idx="19">
                <c:v>9.707615132903225</c:v>
              </c:pt>
              <c:pt idx="20">
                <c:v>10.60173757935484</c:v>
              </c:pt>
              <c:pt idx="21">
                <c:v>10.729469357419354</c:v>
              </c:pt>
              <c:pt idx="22">
                <c:v>12.648046327741934</c:v>
              </c:pt>
              <c:pt idx="23">
                <c:v>12.51771425032258</c:v>
              </c:pt>
              <c:pt idx="24">
                <c:v>12.51771425032258</c:v>
              </c:pt>
              <c:pt idx="25">
                <c:v>12.160065271741935</c:v>
              </c:pt>
              <c:pt idx="26">
                <c:v>12.773177806451613</c:v>
              </c:pt>
              <c:pt idx="27">
                <c:v>12.773177806451613</c:v>
              </c:pt>
              <c:pt idx="28">
                <c:v>3.9310184051612898</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8.6857609083870955"/>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0.53762457599999991</c:v>
              </c:pt>
              <c:pt idx="1">
                <c:v>0.7457373150967741</c:v>
              </c:pt>
              <c:pt idx="2">
                <c:v>0.7457373150967741</c:v>
              </c:pt>
              <c:pt idx="3">
                <c:v>0.89604095999999989</c:v>
              </c:pt>
              <c:pt idx="4">
                <c:v>1.0232209672258064</c:v>
              </c:pt>
              <c:pt idx="5">
                <c:v>1.0232209672258064</c:v>
              </c:pt>
              <c:pt idx="6">
                <c:v>1.1879055360000002</c:v>
              </c:pt>
              <c:pt idx="7">
                <c:v>1.2428955251612901</c:v>
              </c:pt>
              <c:pt idx="8">
                <c:v>1.2428955251612901</c:v>
              </c:pt>
              <c:pt idx="9">
                <c:v>1.2544573439999998</c:v>
              </c:pt>
              <c:pt idx="10">
                <c:v>1.3180473476129031</c:v>
              </c:pt>
              <c:pt idx="11">
                <c:v>1.5261600867096772</c:v>
              </c:pt>
              <c:pt idx="12">
                <c:v>1.5261600867096772</c:v>
              </c:pt>
              <c:pt idx="13">
                <c:v>1.5781882714838709</c:v>
              </c:pt>
              <c:pt idx="14">
                <c:v>1.6477399370322581</c:v>
              </c:pt>
              <c:pt idx="15">
                <c:v>1.6477399370322581</c:v>
              </c:pt>
              <c:pt idx="16">
                <c:v>1.7053682787096773</c:v>
              </c:pt>
              <c:pt idx="17">
                <c:v>1.7053682787096773</c:v>
              </c:pt>
              <c:pt idx="18">
                <c:v>1.7400537352258061</c:v>
              </c:pt>
              <c:pt idx="19">
                <c:v>1.7400537352258061</c:v>
              </c:pt>
              <c:pt idx="20">
                <c:v>1.8036437388387094</c:v>
              </c:pt>
              <c:pt idx="21">
                <c:v>1.8036437388387094</c:v>
              </c:pt>
              <c:pt idx="22">
                <c:v>1.97984256</c:v>
              </c:pt>
              <c:pt idx="23">
                <c:v>2.1967455793548383</c:v>
              </c:pt>
              <c:pt idx="24">
                <c:v>2.260852471741936</c:v>
              </c:pt>
              <c:pt idx="25">
                <c:v>2.260852471741936</c:v>
              </c:pt>
              <c:pt idx="26">
                <c:v>2.2717071360000003</c:v>
              </c:pt>
              <c:pt idx="27">
                <c:v>2.3586110430967735</c:v>
              </c:pt>
              <c:pt idx="28">
                <c:v>2.3586110430967735</c:v>
              </c:pt>
              <c:pt idx="29">
                <c:v>2.3875155901935479</c:v>
              </c:pt>
              <c:pt idx="30">
                <c:v>2.3875155901935479</c:v>
              </c:pt>
              <c:pt idx="31">
                <c:v>2.5436001445161285</c:v>
              </c:pt>
              <c:pt idx="32">
                <c:v>2.5436001445161285</c:v>
              </c:pt>
              <c:pt idx="33">
                <c:v>2.5667237821935482</c:v>
              </c:pt>
              <c:pt idx="34">
                <c:v>2.5667237821935482</c:v>
              </c:pt>
              <c:pt idx="35">
                <c:v>2.6303137858064507</c:v>
              </c:pt>
              <c:pt idx="36">
                <c:v>2.6881228799999994</c:v>
              </c:pt>
              <c:pt idx="37">
                <c:v>2.6881228799999994</c:v>
              </c:pt>
              <c:pt idx="38">
                <c:v>2.7462332283870969</c:v>
              </c:pt>
              <c:pt idx="39">
                <c:v>2.7462332283870969</c:v>
              </c:pt>
              <c:pt idx="40">
                <c:v>2.7717795840000004</c:v>
              </c:pt>
              <c:pt idx="41">
                <c:v>2.8442074343225801</c:v>
              </c:pt>
              <c:pt idx="42">
                <c:v>2.8442074343225801</c:v>
              </c:pt>
              <c:pt idx="43">
                <c:v>2.9122845398709676</c:v>
              </c:pt>
              <c:pt idx="44">
                <c:v>3.0060728980645157</c:v>
              </c:pt>
              <c:pt idx="45">
                <c:v>3.0060728980645157</c:v>
              </c:pt>
              <c:pt idx="46">
                <c:v>3.0754438110967737</c:v>
              </c:pt>
              <c:pt idx="47">
                <c:v>3.1510776402580642</c:v>
              </c:pt>
              <c:pt idx="48">
                <c:v>3.1510776402580642</c:v>
              </c:pt>
              <c:pt idx="49">
                <c:v>3.3721189409032264</c:v>
              </c:pt>
              <c:pt idx="50">
                <c:v>3.3721189409032264</c:v>
              </c:pt>
              <c:pt idx="51">
                <c:v>3.3991747385806446</c:v>
              </c:pt>
              <c:pt idx="52">
                <c:v>3.4685456516129025</c:v>
              </c:pt>
              <c:pt idx="53">
                <c:v>3.4685456516129025</c:v>
              </c:pt>
              <c:pt idx="54">
                <c:v>3.4870775411612898</c:v>
              </c:pt>
              <c:pt idx="55">
                <c:v>3.5610402023225802</c:v>
              </c:pt>
              <c:pt idx="56">
                <c:v>3.5610402023225802</c:v>
              </c:pt>
              <c:pt idx="57">
                <c:v>3.6824393001290314</c:v>
              </c:pt>
              <c:pt idx="58">
                <c:v>3.7680874529032256</c:v>
              </c:pt>
              <c:pt idx="59">
                <c:v>3.7680874529032256</c:v>
              </c:pt>
              <c:pt idx="60">
                <c:v>3.7861785599999997</c:v>
              </c:pt>
              <c:pt idx="61">
                <c:v>3.8447265197419354</c:v>
              </c:pt>
              <c:pt idx="62">
                <c:v>3.8447265197419354</c:v>
              </c:pt>
              <c:pt idx="63">
                <c:v>3.9310184051612898</c:v>
              </c:pt>
              <c:pt idx="64">
                <c:v>3.9310184051612898</c:v>
              </c:pt>
              <c:pt idx="65">
                <c:v>3.985231475612903</c:v>
              </c:pt>
              <c:pt idx="66">
                <c:v>3.985231475612903</c:v>
              </c:pt>
              <c:pt idx="67">
                <c:v>4.208502057290322</c:v>
              </c:pt>
              <c:pt idx="68">
                <c:v>4.208502057290322</c:v>
              </c:pt>
              <c:pt idx="69">
                <c:v>4.27787297032258</c:v>
              </c:pt>
              <c:pt idx="70">
                <c:v>4.27787297032258</c:v>
              </c:pt>
              <c:pt idx="71">
                <c:v>4.3235716459354849</c:v>
              </c:pt>
              <c:pt idx="72">
                <c:v>4.3235716459354849</c:v>
              </c:pt>
              <c:pt idx="73">
                <c:v>4.4802047999999992</c:v>
              </c:pt>
              <c:pt idx="74">
                <c:v>4.4802047999999992</c:v>
              </c:pt>
              <c:pt idx="75">
                <c:v>4.509109347096774</c:v>
              </c:pt>
              <c:pt idx="76">
                <c:v>4.509109347096774</c:v>
              </c:pt>
              <c:pt idx="77">
                <c:v>4.7403457238709672</c:v>
              </c:pt>
              <c:pt idx="78">
                <c:v>4.7403457238709672</c:v>
              </c:pt>
              <c:pt idx="79">
                <c:v>4.8538075664516125</c:v>
              </c:pt>
              <c:pt idx="80">
                <c:v>4.9079920970322579</c:v>
              </c:pt>
              <c:pt idx="81">
                <c:v>5.2114565450322576</c:v>
              </c:pt>
              <c:pt idx="82">
                <c:v>5.2114565450322576</c:v>
              </c:pt>
              <c:pt idx="83">
                <c:v>5.251796067096774</c:v>
              </c:pt>
              <c:pt idx="84">
                <c:v>5.251796067096774</c:v>
              </c:pt>
              <c:pt idx="85">
                <c:v>5.275322434064516</c:v>
              </c:pt>
              <c:pt idx="86">
                <c:v>5.275322434064516</c:v>
              </c:pt>
              <c:pt idx="87">
                <c:v>5.3006499840000005</c:v>
              </c:pt>
              <c:pt idx="88">
                <c:v>5.5034257672258056</c:v>
              </c:pt>
              <c:pt idx="89">
                <c:v>5.5034257672258056</c:v>
              </c:pt>
              <c:pt idx="90">
                <c:v>5.5693465269677418</c:v>
              </c:pt>
              <c:pt idx="91">
                <c:v>5.6201982348387105</c:v>
              </c:pt>
              <c:pt idx="92">
                <c:v>5.6201982348387105</c:v>
              </c:pt>
              <c:pt idx="93">
                <c:v>5.6652912309677408</c:v>
              </c:pt>
              <c:pt idx="94">
                <c:v>5.6712909460645164</c:v>
              </c:pt>
              <c:pt idx="95">
                <c:v>5.6712909460645164</c:v>
              </c:pt>
              <c:pt idx="96">
                <c:v>5.6884148686451601</c:v>
              </c:pt>
              <c:pt idx="97">
                <c:v>5.7809094193548383</c:v>
              </c:pt>
              <c:pt idx="98">
                <c:v>5.7809094193548383</c:v>
              </c:pt>
              <c:pt idx="99">
                <c:v>5.8117959019354846</c:v>
              </c:pt>
              <c:pt idx="100">
                <c:v>5.9395276799999994</c:v>
              </c:pt>
              <c:pt idx="101">
                <c:v>5.9395276799999994</c:v>
              </c:pt>
              <c:pt idx="102">
                <c:v>5.9890221584516121</c:v>
              </c:pt>
              <c:pt idx="103">
                <c:v>5.9890221584516121</c:v>
              </c:pt>
              <c:pt idx="104">
                <c:v>6.2722867199999994</c:v>
              </c:pt>
              <c:pt idx="105">
                <c:v>6.2722867199999994</c:v>
              </c:pt>
              <c:pt idx="106">
                <c:v>6.2844034807741931</c:v>
              </c:pt>
              <c:pt idx="107">
                <c:v>6.2844034807741931</c:v>
              </c:pt>
              <c:pt idx="108">
                <c:v>6.4487170312258071</c:v>
              </c:pt>
              <c:pt idx="109">
                <c:v>6.4487170312258071</c:v>
              </c:pt>
              <c:pt idx="110">
                <c:v>6.636484013419353</c:v>
              </c:pt>
              <c:pt idx="111">
                <c:v>6.636484013419353</c:v>
              </c:pt>
              <c:pt idx="112">
                <c:v>6.6420524593548382</c:v>
              </c:pt>
              <c:pt idx="113">
                <c:v>6.6420524593548382</c:v>
              </c:pt>
              <c:pt idx="114">
                <c:v>6.668559657290321</c:v>
              </c:pt>
              <c:pt idx="115">
                <c:v>6.7289785641290312</c:v>
              </c:pt>
              <c:pt idx="116">
                <c:v>6.7953305930322578</c:v>
              </c:pt>
              <c:pt idx="117">
                <c:v>7.2059527432258061</c:v>
              </c:pt>
              <c:pt idx="118">
                <c:v>7.2059527432258061</c:v>
              </c:pt>
              <c:pt idx="119">
                <c:v>7.3525144939354838</c:v>
              </c:pt>
              <c:pt idx="120">
                <c:v>7.3525144939354838</c:v>
              </c:pt>
              <c:pt idx="121">
                <c:v>7.510628550193549</c:v>
              </c:pt>
              <c:pt idx="122">
                <c:v>7.515182245161288</c:v>
              </c:pt>
              <c:pt idx="123">
                <c:v>7.515182245161288</c:v>
              </c:pt>
              <c:pt idx="124">
                <c:v>7.621211036903226</c:v>
              </c:pt>
              <c:pt idx="125">
                <c:v>7.621211036903226</c:v>
              </c:pt>
              <c:pt idx="126">
                <c:v>7.6639066838709677</c:v>
              </c:pt>
              <c:pt idx="127">
                <c:v>7.6639066838709677</c:v>
              </c:pt>
              <c:pt idx="128">
                <c:v>7.8682775287741942</c:v>
              </c:pt>
              <c:pt idx="129">
                <c:v>7.8682775287741942</c:v>
              </c:pt>
              <c:pt idx="130">
                <c:v>7.9314077233548375</c:v>
              </c:pt>
              <c:pt idx="131">
                <c:v>8.0932731870967718</c:v>
              </c:pt>
              <c:pt idx="132">
                <c:v>8.0932731870967718</c:v>
              </c:pt>
              <c:pt idx="133">
                <c:v>8.136514262709678</c:v>
              </c:pt>
              <c:pt idx="134">
                <c:v>8.1799868283870953</c:v>
              </c:pt>
              <c:pt idx="135">
                <c:v>8.6857609083870955</c:v>
              </c:pt>
              <c:pt idx="136">
                <c:v>8.6857609083870955</c:v>
              </c:pt>
              <c:pt idx="137">
                <c:v>9.2822442116129036</c:v>
              </c:pt>
              <c:pt idx="138">
                <c:v>9.2988734430967757</c:v>
              </c:pt>
              <c:pt idx="139">
                <c:v>9.2988734430967757</c:v>
              </c:pt>
              <c:pt idx="140">
                <c:v>9.4521515767741935</c:v>
              </c:pt>
              <c:pt idx="141">
                <c:v>9.4521515767741935</c:v>
              </c:pt>
              <c:pt idx="142">
                <c:v>9.4806914477419344</c:v>
              </c:pt>
              <c:pt idx="143">
                <c:v>9.899212799999999</c:v>
              </c:pt>
              <c:pt idx="144">
                <c:v>9.899212799999999</c:v>
              </c:pt>
              <c:pt idx="145">
                <c:v>9.9630786890322582</c:v>
              </c:pt>
              <c:pt idx="146">
                <c:v>9.9630786890322582</c:v>
              </c:pt>
              <c:pt idx="147">
                <c:v>9.9661990482580638</c:v>
              </c:pt>
              <c:pt idx="148">
                <c:v>9.9661990482580638</c:v>
              </c:pt>
              <c:pt idx="149">
                <c:v>10.08833384051613</c:v>
              </c:pt>
              <c:pt idx="150">
                <c:v>10.08833384051613</c:v>
              </c:pt>
              <c:pt idx="151">
                <c:v>10.474005801290321</c:v>
              </c:pt>
              <c:pt idx="152">
                <c:v>10.474005801290321</c:v>
              </c:pt>
              <c:pt idx="153">
                <c:v>10.521255143225803</c:v>
              </c:pt>
              <c:pt idx="154">
                <c:v>10.521255143225803</c:v>
              </c:pt>
              <c:pt idx="155">
                <c:v>10.747861718709679</c:v>
              </c:pt>
              <c:pt idx="156">
                <c:v>10.747861718709679</c:v>
              </c:pt>
              <c:pt idx="157">
                <c:v>10.84442795767742</c:v>
              </c:pt>
              <c:pt idx="158">
                <c:v>10.84556955251613</c:v>
              </c:pt>
              <c:pt idx="159">
                <c:v>10.84556955251613</c:v>
              </c:pt>
              <c:pt idx="160">
                <c:v>11.114266095483872</c:v>
              </c:pt>
              <c:pt idx="161">
                <c:v>11.214964273548386</c:v>
              </c:pt>
              <c:pt idx="162">
                <c:v>11.358535679999999</c:v>
              </c:pt>
              <c:pt idx="163">
                <c:v>11.358535679999999</c:v>
              </c:pt>
              <c:pt idx="164">
                <c:v>11.451981559741935</c:v>
              </c:pt>
              <c:pt idx="165">
                <c:v>12.018063558193548</c:v>
              </c:pt>
              <c:pt idx="166">
                <c:v>12.018063558193548</c:v>
              </c:pt>
              <c:pt idx="167">
                <c:v>12.160065271741935</c:v>
              </c:pt>
              <c:pt idx="168">
                <c:v>12.160065271741935</c:v>
              </c:pt>
              <c:pt idx="169">
                <c:v>12.51771425032258</c:v>
              </c:pt>
              <c:pt idx="170">
                <c:v>12.568806961548386</c:v>
              </c:pt>
              <c:pt idx="171">
                <c:v>12.70201839483871</c:v>
              </c:pt>
              <c:pt idx="172">
                <c:v>12.70201839483871</c:v>
              </c:pt>
              <c:pt idx="173">
                <c:v>12.773177806451613</c:v>
              </c:pt>
              <c:pt idx="174">
                <c:v>12.773177806451613</c:v>
              </c:pt>
              <c:pt idx="175">
                <c:v>12.995141896258064</c:v>
              </c:pt>
              <c:pt idx="176">
                <c:v>13.233012207483871</c:v>
              </c:pt>
              <c:pt idx="177">
                <c:v>13.233012207483871</c:v>
              </c:pt>
              <c:pt idx="178">
                <c:v>13.272968026838706</c:v>
              </c:pt>
              <c:pt idx="179">
                <c:v>13.85889792</c:v>
              </c:pt>
              <c:pt idx="180">
                <c:v>13.85889792</c:v>
              </c:pt>
              <c:pt idx="181">
                <c:v>14.363051569548389</c:v>
              </c:pt>
              <c:pt idx="182">
                <c:v>14.656175070967743</c:v>
              </c:pt>
              <c:pt idx="183">
                <c:v>14.656175070967743</c:v>
              </c:pt>
              <c:pt idx="184">
                <c:v>14.663608121806453</c:v>
              </c:pt>
              <c:pt idx="185">
                <c:v>14.663608121806453</c:v>
              </c:pt>
              <c:pt idx="186">
                <c:v>14.867978966709678</c:v>
              </c:pt>
              <c:pt idx="187">
                <c:v>15.04700640619355</c:v>
              </c:pt>
              <c:pt idx="188">
                <c:v>15.04700640619355</c:v>
              </c:pt>
              <c:pt idx="189">
                <c:v>15.559972533677419</c:v>
              </c:pt>
              <c:pt idx="190">
                <c:v>15.700949982967739</c:v>
              </c:pt>
              <c:pt idx="191">
                <c:v>16.605131148387095</c:v>
              </c:pt>
              <c:pt idx="192">
                <c:v>16.605131148387095</c:v>
              </c:pt>
              <c:pt idx="193">
                <c:v>16.610331747096772</c:v>
              </c:pt>
              <c:pt idx="194">
                <c:v>16.610331747096772</c:v>
              </c:pt>
              <c:pt idx="195">
                <c:v>17.524799950451612</c:v>
              </c:pt>
              <c:pt idx="196">
                <c:v>17.782825752774194</c:v>
              </c:pt>
              <c:pt idx="197">
                <c:v>17.782825752774194</c:v>
              </c:pt>
              <c:pt idx="198">
                <c:v>17.882448929032257</c:v>
              </c:pt>
              <c:pt idx="199">
                <c:v>17.882448929032257</c:v>
              </c:pt>
              <c:pt idx="200">
                <c:v>18.074046596129033</c:v>
              </c:pt>
              <c:pt idx="201">
                <c:v>18.075949254193546</c:v>
              </c:pt>
              <c:pt idx="202">
                <c:v>18.075949254193546</c:v>
              </c:pt>
              <c:pt idx="203">
                <c:v>18.930892799999999</c:v>
              </c:pt>
              <c:pt idx="204">
                <c:v>18.930892799999999</c:v>
              </c:pt>
              <c:pt idx="205">
                <c:v>19.053027592258065</c:v>
              </c:pt>
              <c:pt idx="206">
                <c:v>19.053027592258065</c:v>
              </c:pt>
              <c:pt idx="207">
                <c:v>20.030105930322581</c:v>
              </c:pt>
              <c:pt idx="208">
                <c:v>20.030105930322581</c:v>
              </c:pt>
              <c:pt idx="209">
                <c:v>20.738487725419358</c:v>
              </c:pt>
              <c:pt idx="210">
                <c:v>20.948011602580642</c:v>
              </c:pt>
              <c:pt idx="211">
                <c:v>23.247183607741938</c:v>
              </c:pt>
              <c:pt idx="212">
                <c:v>23.247183607741938</c:v>
              </c:pt>
              <c:pt idx="213">
                <c:v>23.254464445935483</c:v>
              </c:pt>
              <c:pt idx="214">
                <c:v>23.254464445935483</c:v>
              </c:pt>
              <c:pt idx="215">
                <c:v>23.938419282580647</c:v>
              </c:pt>
              <c:pt idx="216">
                <c:v>24.036127116387096</c:v>
              </c:pt>
              <c:pt idx="217">
                <c:v>24.426958451612904</c:v>
              </c:pt>
              <c:pt idx="218">
                <c:v>24.426958451612904</c:v>
              </c:pt>
              <c:pt idx="219">
                <c:v>24.779964944516127</c:v>
              </c:pt>
              <c:pt idx="220">
                <c:v>25.303665234580645</c:v>
              </c:pt>
              <c:pt idx="221">
                <c:v>25.306328955870967</c:v>
              </c:pt>
              <c:pt idx="222">
                <c:v>25.306328955870967</c:v>
              </c:pt>
              <c:pt idx="223">
                <c:v>26.503249919999998</c:v>
              </c:pt>
              <c:pt idx="224">
                <c:v>26.503249919999998</c:v>
              </c:pt>
              <c:pt idx="225">
                <c:v>28.042148302451615</c:v>
              </c:pt>
              <c:pt idx="226">
                <c:v>28.042148302451615</c:v>
              </c:pt>
              <c:pt idx="227">
                <c:v>28.432979637677423</c:v>
              </c:pt>
              <c:pt idx="228">
                <c:v>29.327216243612906</c:v>
              </c:pt>
              <c:pt idx="229">
                <c:v>31.755045987096771</c:v>
              </c:pt>
              <c:pt idx="230">
                <c:v>31.755045987096771</c:v>
              </c:pt>
              <c:pt idx="231">
                <c:v>33.513786995612904</c:v>
              </c:pt>
              <c:pt idx="232">
                <c:v>34.197741832258068</c:v>
              </c:pt>
              <c:pt idx="233">
                <c:v>34.197741832258068</c:v>
              </c:pt>
              <c:pt idx="234">
                <c:v>34.564146209032259</c:v>
              </c:pt>
              <c:pt idx="235">
                <c:v>34.691950922322583</c:v>
              </c:pt>
              <c:pt idx="236">
                <c:v>40.060211860645161</c:v>
              </c:pt>
              <c:pt idx="237">
                <c:v>44.457064381935488</c:v>
              </c:pt>
              <c:pt idx="238">
                <c:v>44.457064381935488</c:v>
              </c:pt>
              <c:pt idx="239">
                <c:v>47.388299396129028</c:v>
              </c:pt>
              <c:pt idx="240">
                <c:v>48.389804692645157</c:v>
              </c:pt>
              <c:pt idx="241">
                <c:v>56.08429660490323</c:v>
              </c:pt>
              <c:pt idx="242">
                <c:v>66.343619154580651</c:v>
              </c:pt>
            </c:numLit>
          </c:xVal>
          <c:yVal>
            <c:numLit>
              <c:formatCode>General</c:formatCode>
              <c:ptCount val="243"/>
              <c:pt idx="0">
                <c:v>9.765625E-4</c:v>
              </c:pt>
              <c:pt idx="1">
                <c:v>2.9296875E-3</c:v>
              </c:pt>
              <c:pt idx="2">
                <c:v>4.8828125E-3</c:v>
              </c:pt>
              <c:pt idx="3">
                <c:v>6.8359375E-3</c:v>
              </c:pt>
              <c:pt idx="4">
                <c:v>7.8125E-3</c:v>
              </c:pt>
              <c:pt idx="5">
                <c:v>8.7890625E-3</c:v>
              </c:pt>
              <c:pt idx="6">
                <c:v>1.07421875E-2</c:v>
              </c:pt>
              <c:pt idx="7">
                <c:v>1.46484375E-2</c:v>
              </c:pt>
              <c:pt idx="8">
                <c:v>1.85546875E-2</c:v>
              </c:pt>
              <c:pt idx="9">
                <c:v>1.953125E-2</c:v>
              </c:pt>
              <c:pt idx="10">
                <c:v>2.1484375E-2</c:v>
              </c:pt>
              <c:pt idx="11">
                <c:v>2.5390625E-2</c:v>
              </c:pt>
              <c:pt idx="12">
                <c:v>2.9296875E-2</c:v>
              </c:pt>
              <c:pt idx="13">
                <c:v>3.3203125E-2</c:v>
              </c:pt>
              <c:pt idx="14">
                <c:v>3.7109375E-2</c:v>
              </c:pt>
              <c:pt idx="15">
                <c:v>4.1015625E-2</c:v>
              </c:pt>
              <c:pt idx="16">
                <c:v>4.296875E-2</c:v>
              </c:pt>
              <c:pt idx="17">
                <c:v>4.4921875E-2</c:v>
              </c:pt>
              <c:pt idx="18">
                <c:v>4.6875E-2</c:v>
              </c:pt>
              <c:pt idx="19">
                <c:v>4.8828125E-2</c:v>
              </c:pt>
              <c:pt idx="20">
                <c:v>5.078125E-2</c:v>
              </c:pt>
              <c:pt idx="21">
                <c:v>5.2734375E-2</c:v>
              </c:pt>
              <c:pt idx="22">
                <c:v>5.6640625E-2</c:v>
              </c:pt>
              <c:pt idx="23">
                <c:v>6.0546875E-2</c:v>
              </c:pt>
              <c:pt idx="24">
                <c:v>6.25E-2</c:v>
              </c:pt>
              <c:pt idx="25">
                <c:v>6.4453125E-2</c:v>
              </c:pt>
              <c:pt idx="26">
                <c:v>6.54296875E-2</c:v>
              </c:pt>
              <c:pt idx="27">
                <c:v>7.32421875E-2</c:v>
              </c:pt>
              <c:pt idx="28">
                <c:v>7.421875E-2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0.115234375</c:v>
              </c:pt>
              <c:pt idx="39">
                <c:v>0.123046875</c:v>
              </c:pt>
              <c:pt idx="40">
                <c:v>0.125</c:v>
              </c:pt>
              <c:pt idx="41">
                <c:v>0.1259765625</c:v>
              </c:pt>
              <c:pt idx="42">
                <c:v>0.126953125</c:v>
              </c:pt>
              <c:pt idx="43">
                <c:v>0.130859375</c:v>
              </c:pt>
              <c:pt idx="44">
                <c:v>0.134765625</c:v>
              </c:pt>
              <c:pt idx="45">
                <c:v>0.138671875</c:v>
              </c:pt>
              <c:pt idx="46">
                <c:v>0.140625</c:v>
              </c:pt>
              <c:pt idx="47">
                <c:v>0.142578125</c:v>
              </c:pt>
              <c:pt idx="48">
                <c:v>0.14453125</c:v>
              </c:pt>
              <c:pt idx="49">
                <c:v>0.15234375</c:v>
              </c:pt>
              <c:pt idx="50">
                <c:v>0.16015625</c:v>
              </c:pt>
              <c:pt idx="51">
                <c:v>0.1640625</c:v>
              </c:pt>
              <c:pt idx="52">
                <c:v>0.16796875</c:v>
              </c:pt>
              <c:pt idx="53">
                <c:v>0.171875</c:v>
              </c:pt>
              <c:pt idx="54">
                <c:v>0.1796875</c:v>
              </c:pt>
              <c:pt idx="55">
                <c:v>0.18359375</c:v>
              </c:pt>
              <c:pt idx="56">
                <c:v>0.1875</c:v>
              </c:pt>
              <c:pt idx="57">
                <c:v>0.19140625</c:v>
              </c:pt>
              <c:pt idx="58">
                <c:v>0.1953125</c:v>
              </c:pt>
              <c:pt idx="59">
                <c:v>0.19921875</c:v>
              </c:pt>
              <c:pt idx="60">
                <c:v>0.201171875</c:v>
              </c:pt>
              <c:pt idx="61">
                <c:v>0.205078125</c:v>
              </c:pt>
              <c:pt idx="62">
                <c:v>0.208984375</c:v>
              </c:pt>
              <c:pt idx="63">
                <c:v>0.224609375</c:v>
              </c:pt>
              <c:pt idx="64">
                <c:v>0.2265625</c:v>
              </c:pt>
              <c:pt idx="65">
                <c:v>0.23046875</c:v>
              </c:pt>
              <c:pt idx="66">
                <c:v>0.234375</c:v>
              </c:pt>
              <c:pt idx="67">
                <c:v>0.236328125</c:v>
              </c:pt>
              <c:pt idx="68">
                <c:v>0.23828125</c:v>
              </c:pt>
              <c:pt idx="69">
                <c:v>0.2421875</c:v>
              </c:pt>
              <c:pt idx="70">
                <c:v>0.24609375</c:v>
              </c:pt>
              <c:pt idx="71">
                <c:v>0.2470703125</c:v>
              </c:pt>
              <c:pt idx="72">
                <c:v>0.248046875</c:v>
              </c:pt>
              <c:pt idx="73">
                <c:v>0.251953125</c:v>
              </c:pt>
              <c:pt idx="74">
                <c:v>0.255859375</c:v>
              </c:pt>
              <c:pt idx="75">
                <c:v>0.2578125</c:v>
              </c:pt>
              <c:pt idx="76">
                <c:v>0.259765625</c:v>
              </c:pt>
              <c:pt idx="77">
                <c:v>0.26171875</c:v>
              </c:pt>
              <c:pt idx="78">
                <c:v>0.263671875</c:v>
              </c:pt>
              <c:pt idx="79">
                <c:v>0.271484375</c:v>
              </c:pt>
              <c:pt idx="80">
                <c:v>0.2724609375</c:v>
              </c:pt>
              <c:pt idx="81">
                <c:v>0.2744140625</c:v>
              </c:pt>
              <c:pt idx="82">
                <c:v>0.2900390625</c:v>
              </c:pt>
              <c:pt idx="83">
                <c:v>0.2939453125</c:v>
              </c:pt>
              <c:pt idx="84">
                <c:v>0.2978515625</c:v>
              </c:pt>
              <c:pt idx="85">
                <c:v>0.2998046875</c:v>
              </c:pt>
              <c:pt idx="86">
                <c:v>0.3017578125</c:v>
              </c:pt>
              <c:pt idx="87">
                <c:v>0.302734375</c:v>
              </c:pt>
              <c:pt idx="88">
                <c:v>0.310546875</c:v>
              </c:pt>
              <c:pt idx="89">
                <c:v>0.3115234375</c:v>
              </c:pt>
              <c:pt idx="90">
                <c:v>0.3134765625</c:v>
              </c:pt>
              <c:pt idx="91">
                <c:v>0.3291015625</c:v>
              </c:pt>
              <c:pt idx="92">
                <c:v>0.3447265625</c:v>
              </c:pt>
              <c:pt idx="93">
                <c:v>0.3525390625</c:v>
              </c:pt>
              <c:pt idx="94">
                <c:v>0.3564453125</c:v>
              </c:pt>
              <c:pt idx="95">
                <c:v>0.3603515625</c:v>
              </c:pt>
              <c:pt idx="96">
                <c:v>0.3623046875</c:v>
              </c:pt>
              <c:pt idx="97">
                <c:v>0.3701171875</c:v>
              </c:pt>
              <c:pt idx="98">
                <c:v>0.3779296875</c:v>
              </c:pt>
              <c:pt idx="99">
                <c:v>0.3935546875</c:v>
              </c:pt>
              <c:pt idx="100">
                <c:v>0.3974609375</c:v>
              </c:pt>
              <c:pt idx="101">
                <c:v>0.4013671875</c:v>
              </c:pt>
              <c:pt idx="102">
                <c:v>0.4033203125</c:v>
              </c:pt>
              <c:pt idx="103">
                <c:v>0.4052734375</c:v>
              </c:pt>
              <c:pt idx="104">
                <c:v>0.4072265625</c:v>
              </c:pt>
              <c:pt idx="105">
                <c:v>0.4091796875</c:v>
              </c:pt>
              <c:pt idx="106">
                <c:v>0.4111328125</c:v>
              </c:pt>
              <c:pt idx="107">
                <c:v>0.4130859375</c:v>
              </c:pt>
              <c:pt idx="108">
                <c:v>0.4169921875</c:v>
              </c:pt>
              <c:pt idx="109">
                <c:v>0.4208984375</c:v>
              </c:pt>
              <c:pt idx="110">
                <c:v>0.421875</c:v>
              </c:pt>
              <c:pt idx="111">
                <c:v>0.4228515625</c:v>
              </c:pt>
              <c:pt idx="112">
                <c:v>0.4306640625</c:v>
              </c:pt>
              <c:pt idx="113">
                <c:v>0.4384765625</c:v>
              </c:pt>
              <c:pt idx="114">
                <c:v>0.4423828125</c:v>
              </c:pt>
              <c:pt idx="115">
                <c:v>0.443359375</c:v>
              </c:pt>
              <c:pt idx="116">
                <c:v>0.447265625</c:v>
              </c:pt>
              <c:pt idx="117">
                <c:v>0.44921875</c:v>
              </c:pt>
              <c:pt idx="118">
                <c:v>0.451171875</c:v>
              </c:pt>
              <c:pt idx="119">
                <c:v>0.453125</c:v>
              </c:pt>
              <c:pt idx="120">
                <c:v>0.455078125</c:v>
              </c:pt>
              <c:pt idx="121">
                <c:v>0.462890625</c:v>
              </c:pt>
              <c:pt idx="122">
                <c:v>0.466796875</c:v>
              </c:pt>
              <c:pt idx="123">
                <c:v>0.470703125</c:v>
              </c:pt>
              <c:pt idx="124">
                <c:v>0.47265625</c:v>
              </c:pt>
              <c:pt idx="125">
                <c:v>0.474609375</c:v>
              </c:pt>
              <c:pt idx="126">
                <c:v>0.482421875</c:v>
              </c:pt>
              <c:pt idx="127">
                <c:v>0.490234375</c:v>
              </c:pt>
              <c:pt idx="128">
                <c:v>0.498046875</c:v>
              </c:pt>
              <c:pt idx="129">
                <c:v>0.505859375</c:v>
              </c:pt>
              <c:pt idx="130">
                <c:v>0.509765625</c:v>
              </c:pt>
              <c:pt idx="131">
                <c:v>0.513671875</c:v>
              </c:pt>
              <c:pt idx="132">
                <c:v>0.517578125</c:v>
              </c:pt>
              <c:pt idx="133">
                <c:v>0.525390625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0.61328125</c:v>
              </c:pt>
              <c:pt idx="146">
                <c:v>0.6171875</c:v>
              </c:pt>
              <c:pt idx="147">
                <c:v>0.625</c:v>
              </c:pt>
              <c:pt idx="148">
                <c:v>0.6259765625</c:v>
              </c:pt>
              <c:pt idx="149">
                <c:v>0.626953125</c:v>
              </c:pt>
              <c:pt idx="150">
                <c:v>0.6279296875</c:v>
              </c:pt>
              <c:pt idx="151">
                <c:v>0.6318359375</c:v>
              </c:pt>
              <c:pt idx="152">
                <c:v>0.6357421875</c:v>
              </c:pt>
              <c:pt idx="153">
                <c:v>0.6376953125</c:v>
              </c:pt>
              <c:pt idx="154">
                <c:v>0.6396484375</c:v>
              </c:pt>
              <c:pt idx="155">
                <c:v>0.6474609375</c:v>
              </c:pt>
              <c:pt idx="156">
                <c:v>0.6552734375</c:v>
              </c:pt>
              <c:pt idx="157">
                <c:v>0.6572265625</c:v>
              </c:pt>
              <c:pt idx="158">
                <c:v>0.6591796875</c:v>
              </c:pt>
              <c:pt idx="159">
                <c:v>0.6611328125</c:v>
              </c:pt>
              <c:pt idx="160">
                <c:v>0.6689453125</c:v>
              </c:pt>
              <c:pt idx="161">
                <c:v>0.6708984375</c:v>
              </c:pt>
              <c:pt idx="162">
                <c:v>0.6728515625</c:v>
              </c:pt>
              <c:pt idx="163">
                <c:v>0.6748046875</c:v>
              </c:pt>
              <c:pt idx="164">
                <c:v>0.67578125</c:v>
              </c:pt>
              <c:pt idx="165">
                <c:v>0.6767578125</c:v>
              </c:pt>
              <c:pt idx="166">
                <c:v>0.677734375</c:v>
              </c:pt>
              <c:pt idx="167">
                <c:v>0.6796875</c:v>
              </c:pt>
              <c:pt idx="168">
                <c:v>0.6953125</c:v>
              </c:pt>
              <c:pt idx="169">
                <c:v>0.7109375</c:v>
              </c:pt>
              <c:pt idx="170">
                <c:v>0.71484375</c:v>
              </c:pt>
              <c:pt idx="171">
                <c:v>0.71875</c:v>
              </c:pt>
              <c:pt idx="172">
                <c:v>0.72265625</c:v>
              </c:pt>
              <c:pt idx="173">
                <c:v>0.73828125</c:v>
              </c:pt>
              <c:pt idx="174">
                <c:v>0.75390625</c:v>
              </c:pt>
              <c:pt idx="175">
                <c:v>0.755859375</c:v>
              </c:pt>
              <c:pt idx="176">
                <c:v>0.759765625</c:v>
              </c:pt>
              <c:pt idx="177">
                <c:v>0.763671875</c:v>
              </c:pt>
              <c:pt idx="178">
                <c:v>0.765625</c:v>
              </c:pt>
              <c:pt idx="179">
                <c:v>0.76953125</c:v>
              </c:pt>
              <c:pt idx="180">
                <c:v>0.7734375</c:v>
              </c:pt>
              <c:pt idx="181">
                <c:v>0.77734375</c:v>
              </c:pt>
              <c:pt idx="182">
                <c:v>0.78125</c:v>
              </c:pt>
              <c:pt idx="183">
                <c:v>0.78515625</c:v>
              </c:pt>
              <c:pt idx="184">
                <c:v>0.787109375</c:v>
              </c:pt>
              <c:pt idx="185">
                <c:v>0.7890625</c:v>
              </c:pt>
              <c:pt idx="186">
                <c:v>0.791015625</c:v>
              </c:pt>
              <c:pt idx="187">
                <c:v>0.794921875</c:v>
              </c:pt>
              <c:pt idx="188">
                <c:v>0.798828125</c:v>
              </c:pt>
              <c:pt idx="189">
                <c:v>0.802734375</c:v>
              </c:pt>
              <c:pt idx="190">
                <c:v>0.8037109375</c:v>
              </c:pt>
              <c:pt idx="191">
                <c:v>0.8115234375</c:v>
              </c:pt>
              <c:pt idx="192">
                <c:v>0.8193359375</c:v>
              </c:pt>
              <c:pt idx="193">
                <c:v>0.8212890625</c:v>
              </c:pt>
              <c:pt idx="194">
                <c:v>0.8369140625</c:v>
              </c:pt>
              <c:pt idx="195">
                <c:v>0.8447265625</c:v>
              </c:pt>
              <c:pt idx="196">
                <c:v>0.8466796875</c:v>
              </c:pt>
              <c:pt idx="197">
                <c:v>0.8486328125</c:v>
              </c:pt>
              <c:pt idx="198">
                <c:v>0.8564453125</c:v>
              </c:pt>
              <c:pt idx="199">
                <c:v>0.8642578125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0.892578125</c:v>
              </c:pt>
              <c:pt idx="210">
                <c:v>0.900390625</c:v>
              </c:pt>
              <c:pt idx="211">
                <c:v>0.904296875</c:v>
              </c:pt>
              <c:pt idx="212">
                <c:v>0.908203125</c:v>
              </c:pt>
              <c:pt idx="213">
                <c:v>0.916015625</c:v>
              </c:pt>
              <c:pt idx="214">
                <c:v>0.9169921875</c:v>
              </c:pt>
              <c:pt idx="215">
                <c:v>0.9248046875</c:v>
              </c:pt>
              <c:pt idx="216">
                <c:v>0.9267578125</c:v>
              </c:pt>
              <c:pt idx="217">
                <c:v>0.9345703125</c:v>
              </c:pt>
              <c:pt idx="218">
                <c:v>0.9423828125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0.978515625</c:v>
              </c:pt>
              <c:pt idx="233">
                <c:v>0.982421875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1.7500799999999996</c:v>
                </c:pt>
                <c:pt idx="3">
                  <c:v>2.4275303225806448</c:v>
                </c:pt>
                <c:pt idx="4">
                  <c:v>2.4275303225806448</c:v>
                </c:pt>
                <c:pt idx="5">
                  <c:v>2.9167999999999994</c:v>
                </c:pt>
                <c:pt idx="6">
                  <c:v>3.330797419354838</c:v>
                </c:pt>
                <c:pt idx="7">
                  <c:v>3.330797419354838</c:v>
                </c:pt>
                <c:pt idx="8">
                  <c:v>3.8668800000000001</c:v>
                </c:pt>
                <c:pt idx="9">
                  <c:v>4.0458838709677405</c:v>
                </c:pt>
                <c:pt idx="10">
                  <c:v>4.0458838709677405</c:v>
                </c:pt>
                <c:pt idx="11">
                  <c:v>4.0835199999999992</c:v>
                </c:pt>
                <c:pt idx="12">
                  <c:v>4.2905187096774187</c:v>
                </c:pt>
                <c:pt idx="13">
                  <c:v>4.967969032258063</c:v>
                </c:pt>
                <c:pt idx="14">
                  <c:v>4.967969032258063</c:v>
                </c:pt>
                <c:pt idx="15">
                  <c:v>5.1373316129032247</c:v>
                </c:pt>
                <c:pt idx="16">
                  <c:v>5.3637367741935478</c:v>
                </c:pt>
                <c:pt idx="17">
                  <c:v>5.3637367741935478</c:v>
                </c:pt>
                <c:pt idx="18">
                  <c:v>5.5513290322580637</c:v>
                </c:pt>
                <c:pt idx="19">
                  <c:v>5.5513290322580637</c:v>
                </c:pt>
                <c:pt idx="20">
                  <c:v>5.664237419354837</c:v>
                </c:pt>
                <c:pt idx="21">
                  <c:v>5.664237419354837</c:v>
                </c:pt>
                <c:pt idx="22">
                  <c:v>5.8712361290322566</c:v>
                </c:pt>
                <c:pt idx="23">
                  <c:v>5.8712361290322566</c:v>
                </c:pt>
                <c:pt idx="24">
                  <c:v>6.4447999999999999</c:v>
                </c:pt>
                <c:pt idx="25">
                  <c:v>7.1508645161290305</c:v>
                </c:pt>
                <c:pt idx="26">
                  <c:v>7.3595458064516137</c:v>
                </c:pt>
                <c:pt idx="27">
                  <c:v>7.3595458064516137</c:v>
                </c:pt>
                <c:pt idx="28">
                  <c:v>7.3948800000000006</c:v>
                </c:pt>
                <c:pt idx="29">
                  <c:v>7.677770322580642</c:v>
                </c:pt>
                <c:pt idx="30">
                  <c:v>7.677770322580642</c:v>
                </c:pt>
                <c:pt idx="31">
                  <c:v>7.7718606451612882</c:v>
                </c:pt>
                <c:pt idx="32">
                  <c:v>7.7718606451612882</c:v>
                </c:pt>
                <c:pt idx="33">
                  <c:v>8.2799483870967716</c:v>
                </c:pt>
                <c:pt idx="34">
                  <c:v>8.2799483870967716</c:v>
                </c:pt>
                <c:pt idx="35">
                  <c:v>8.3552206451612889</c:v>
                </c:pt>
                <c:pt idx="36">
                  <c:v>8.3552206451612889</c:v>
                </c:pt>
                <c:pt idx="37">
                  <c:v>8.5622193548387067</c:v>
                </c:pt>
                <c:pt idx="38">
                  <c:v>8.7503999999999973</c:v>
                </c:pt>
                <c:pt idx="39">
                  <c:v>8.7503999999999973</c:v>
                </c:pt>
                <c:pt idx="40">
                  <c:v>8.9395612903225796</c:v>
                </c:pt>
                <c:pt idx="41">
                  <c:v>8.9395612903225796</c:v>
                </c:pt>
                <c:pt idx="42">
                  <c:v>9.0227199999999996</c:v>
                </c:pt>
                <c:pt idx="43">
                  <c:v>9.2584877419354807</c:v>
                </c:pt>
                <c:pt idx="44">
                  <c:v>9.2584877419354807</c:v>
                </c:pt>
                <c:pt idx="45">
                  <c:v>9.4800929032258043</c:v>
                </c:pt>
                <c:pt idx="46">
                  <c:v>9.7853935483870949</c:v>
                </c:pt>
                <c:pt idx="47">
                  <c:v>9.7853935483870949</c:v>
                </c:pt>
                <c:pt idx="48">
                  <c:v>10.011210322580643</c:v>
                </c:pt>
                <c:pt idx="49">
                  <c:v>10.257414193548385</c:v>
                </c:pt>
                <c:pt idx="50">
                  <c:v>10.257414193548385</c:v>
                </c:pt>
                <c:pt idx="51">
                  <c:v>10.976949677419356</c:v>
                </c:pt>
                <c:pt idx="52">
                  <c:v>10.976949677419356</c:v>
                </c:pt>
                <c:pt idx="53">
                  <c:v>11.065021935483868</c:v>
                </c:pt>
                <c:pt idx="54">
                  <c:v>11.290838709677416</c:v>
                </c:pt>
                <c:pt idx="55">
                  <c:v>11.290838709677416</c:v>
                </c:pt>
                <c:pt idx="56">
                  <c:v>11.351163870967738</c:v>
                </c:pt>
                <c:pt idx="57">
                  <c:v>11.591927741935482</c:v>
                </c:pt>
                <c:pt idx="58">
                  <c:v>11.591927741935482</c:v>
                </c:pt>
                <c:pt idx="59">
                  <c:v>11.98710709677419</c:v>
                </c:pt>
                <c:pt idx="60">
                  <c:v>12.265909677419353</c:v>
                </c:pt>
                <c:pt idx="61">
                  <c:v>12.265909677419353</c:v>
                </c:pt>
                <c:pt idx="62">
                  <c:v>12.324799999999998</c:v>
                </c:pt>
                <c:pt idx="63">
                  <c:v>12.515385806451611</c:v>
                </c:pt>
                <c:pt idx="64">
                  <c:v>12.515385806451611</c:v>
                </c:pt>
                <c:pt idx="65">
                  <c:v>12.79628387096774</c:v>
                </c:pt>
                <c:pt idx="66">
                  <c:v>12.79628387096774</c:v>
                </c:pt>
                <c:pt idx="67">
                  <c:v>12.972758709677418</c:v>
                </c:pt>
                <c:pt idx="68">
                  <c:v>12.972758709677418</c:v>
                </c:pt>
                <c:pt idx="69">
                  <c:v>13.699550967741933</c:v>
                </c:pt>
                <c:pt idx="70">
                  <c:v>13.699550967741933</c:v>
                </c:pt>
                <c:pt idx="71">
                  <c:v>13.92536774193548</c:v>
                </c:pt>
                <c:pt idx="72">
                  <c:v>13.92536774193548</c:v>
                </c:pt>
                <c:pt idx="73">
                  <c:v>14.074126451612905</c:v>
                </c:pt>
                <c:pt idx="74">
                  <c:v>14.074126451612905</c:v>
                </c:pt>
                <c:pt idx="75">
                  <c:v>14.583999999999996</c:v>
                </c:pt>
                <c:pt idx="76">
                  <c:v>14.583999999999996</c:v>
                </c:pt>
                <c:pt idx="77">
                  <c:v>14.678090322580644</c:v>
                </c:pt>
                <c:pt idx="78">
                  <c:v>14.678090322580644</c:v>
                </c:pt>
                <c:pt idx="79">
                  <c:v>15.430812903225803</c:v>
                </c:pt>
                <c:pt idx="80">
                  <c:v>15.430812903225803</c:v>
                </c:pt>
                <c:pt idx="81">
                  <c:v>15.800154838709675</c:v>
                </c:pt>
                <c:pt idx="82">
                  <c:v>15.976536774193546</c:v>
                </c:pt>
                <c:pt idx="83">
                  <c:v>16.964376774193546</c:v>
                </c:pt>
                <c:pt idx="84">
                  <c:v>16.964376774193546</c:v>
                </c:pt>
                <c:pt idx="85">
                  <c:v>17.095690322580644</c:v>
                </c:pt>
                <c:pt idx="86">
                  <c:v>17.095690322580644</c:v>
                </c:pt>
                <c:pt idx="87">
                  <c:v>17.172273548387096</c:v>
                </c:pt>
                <c:pt idx="88">
                  <c:v>17.172273548387096</c:v>
                </c:pt>
                <c:pt idx="89">
                  <c:v>17.254719999999999</c:v>
                </c:pt>
                <c:pt idx="90">
                  <c:v>17.914797419354834</c:v>
                </c:pt>
                <c:pt idx="91">
                  <c:v>17.914797419354834</c:v>
                </c:pt>
                <c:pt idx="92">
                  <c:v>18.12938322580645</c:v>
                </c:pt>
                <c:pt idx="93">
                  <c:v>18.294916129032259</c:v>
                </c:pt>
                <c:pt idx="94">
                  <c:v>18.294916129032259</c:v>
                </c:pt>
                <c:pt idx="95">
                  <c:v>18.441703225806446</c:v>
                </c:pt>
                <c:pt idx="96">
                  <c:v>18.461233548387096</c:v>
                </c:pt>
                <c:pt idx="97">
                  <c:v>18.461233548387096</c:v>
                </c:pt>
                <c:pt idx="98">
                  <c:v>18.516975483870961</c:v>
                </c:pt>
                <c:pt idx="99">
                  <c:v>18.818064516129031</c:v>
                </c:pt>
                <c:pt idx="100">
                  <c:v>18.818064516129031</c:v>
                </c:pt>
                <c:pt idx="101">
                  <c:v>18.918606451612902</c:v>
                </c:pt>
                <c:pt idx="102">
                  <c:v>19.334399999999995</c:v>
                </c:pt>
                <c:pt idx="103">
                  <c:v>19.334399999999995</c:v>
                </c:pt>
                <c:pt idx="104">
                  <c:v>19.495514838709674</c:v>
                </c:pt>
                <c:pt idx="105">
                  <c:v>19.495514838709674</c:v>
                </c:pt>
                <c:pt idx="106">
                  <c:v>20.417599999999997</c:v>
                </c:pt>
                <c:pt idx="107">
                  <c:v>20.417599999999997</c:v>
                </c:pt>
                <c:pt idx="108">
                  <c:v>20.457042580645158</c:v>
                </c:pt>
                <c:pt idx="109">
                  <c:v>20.457042580645158</c:v>
                </c:pt>
                <c:pt idx="110">
                  <c:v>20.991917419354838</c:v>
                </c:pt>
                <c:pt idx="111">
                  <c:v>20.991917419354838</c:v>
                </c:pt>
                <c:pt idx="112">
                  <c:v>21.60313806451612</c:v>
                </c:pt>
                <c:pt idx="113">
                  <c:v>21.60313806451612</c:v>
                </c:pt>
                <c:pt idx="114">
                  <c:v>21.621264516129028</c:v>
                </c:pt>
                <c:pt idx="115">
                  <c:v>21.621264516129028</c:v>
                </c:pt>
                <c:pt idx="116">
                  <c:v>21.707550967741927</c:v>
                </c:pt>
                <c:pt idx="117">
                  <c:v>21.904227096774189</c:v>
                </c:pt>
                <c:pt idx="118">
                  <c:v>22.120216774193544</c:v>
                </c:pt>
                <c:pt idx="119">
                  <c:v>23.456877419354836</c:v>
                </c:pt>
                <c:pt idx="120">
                  <c:v>23.456877419354836</c:v>
                </c:pt>
                <c:pt idx="121">
                  <c:v>23.9339664516129</c:v>
                </c:pt>
                <c:pt idx="122">
                  <c:v>23.9339664516129</c:v>
                </c:pt>
                <c:pt idx="123">
                  <c:v>24.44866064516129</c:v>
                </c:pt>
                <c:pt idx="124">
                  <c:v>24.463483870967732</c:v>
                </c:pt>
                <c:pt idx="125">
                  <c:v>24.463483870967732</c:v>
                </c:pt>
                <c:pt idx="126">
                  <c:v>24.808629677419354</c:v>
                </c:pt>
                <c:pt idx="127">
                  <c:v>24.808629677419354</c:v>
                </c:pt>
                <c:pt idx="128">
                  <c:v>24.947612903225803</c:v>
                </c:pt>
                <c:pt idx="129">
                  <c:v>24.947612903225803</c:v>
                </c:pt>
                <c:pt idx="130">
                  <c:v>25.612882580645159</c:v>
                </c:pt>
                <c:pt idx="131">
                  <c:v>25.612882580645159</c:v>
                </c:pt>
                <c:pt idx="132">
                  <c:v>25.818384516129026</c:v>
                </c:pt>
                <c:pt idx="133">
                  <c:v>26.345290322580635</c:v>
                </c:pt>
                <c:pt idx="134">
                  <c:v>26.345290322580635</c:v>
                </c:pt>
                <c:pt idx="135">
                  <c:v>26.486049032258062</c:v>
                </c:pt>
                <c:pt idx="136">
                  <c:v>26.627561290322575</c:v>
                </c:pt>
                <c:pt idx="137">
                  <c:v>28.273961290322575</c:v>
                </c:pt>
                <c:pt idx="138">
                  <c:v>28.273961290322575</c:v>
                </c:pt>
                <c:pt idx="139">
                  <c:v>30.215638709677417</c:v>
                </c:pt>
                <c:pt idx="140">
                  <c:v>30.269770322580648</c:v>
                </c:pt>
                <c:pt idx="141">
                  <c:v>30.269770322580648</c:v>
                </c:pt>
                <c:pt idx="142">
                  <c:v>30.768722580645157</c:v>
                </c:pt>
                <c:pt idx="143">
                  <c:v>30.768722580645157</c:v>
                </c:pt>
                <c:pt idx="144">
                  <c:v>30.861625806451606</c:v>
                </c:pt>
                <c:pt idx="145">
                  <c:v>32.223999999999997</c:v>
                </c:pt>
                <c:pt idx="146">
                  <c:v>32.223999999999997</c:v>
                </c:pt>
                <c:pt idx="147">
                  <c:v>32.431896774193547</c:v>
                </c:pt>
                <c:pt idx="148">
                  <c:v>32.431896774193547</c:v>
                </c:pt>
                <c:pt idx="149">
                  <c:v>32.44205419354838</c:v>
                </c:pt>
                <c:pt idx="150">
                  <c:v>32.44205419354838</c:v>
                </c:pt>
                <c:pt idx="151">
                  <c:v>32.839628387096774</c:v>
                </c:pt>
                <c:pt idx="152">
                  <c:v>32.839628387096774</c:v>
                </c:pt>
                <c:pt idx="153">
                  <c:v>34.095070967741925</c:v>
                </c:pt>
                <c:pt idx="154">
                  <c:v>34.095070967741925</c:v>
                </c:pt>
                <c:pt idx="155">
                  <c:v>34.248877419354827</c:v>
                </c:pt>
                <c:pt idx="156">
                  <c:v>34.248877419354827</c:v>
                </c:pt>
                <c:pt idx="157">
                  <c:v>34.986529032258069</c:v>
                </c:pt>
                <c:pt idx="158">
                  <c:v>34.986529032258069</c:v>
                </c:pt>
                <c:pt idx="159">
                  <c:v>35.300872258064516</c:v>
                </c:pt>
                <c:pt idx="160">
                  <c:v>35.304588387096771</c:v>
                </c:pt>
                <c:pt idx="161">
                  <c:v>35.304588387096771</c:v>
                </c:pt>
                <c:pt idx="162">
                  <c:v>36.179251612903229</c:v>
                </c:pt>
                <c:pt idx="163">
                  <c:v>36.507045161290314</c:v>
                </c:pt>
                <c:pt idx="164">
                  <c:v>36.974399999999996</c:v>
                </c:pt>
                <c:pt idx="165">
                  <c:v>36.974399999999996</c:v>
                </c:pt>
                <c:pt idx="166">
                  <c:v>37.278585806451609</c:v>
                </c:pt>
                <c:pt idx="167">
                  <c:v>39.121300645161284</c:v>
                </c:pt>
                <c:pt idx="168">
                  <c:v>39.121300645161284</c:v>
                </c:pt>
                <c:pt idx="169">
                  <c:v>39.58354580645161</c:v>
                </c:pt>
                <c:pt idx="170">
                  <c:v>39.58354580645161</c:v>
                </c:pt>
                <c:pt idx="171">
                  <c:v>40.747767741935476</c:v>
                </c:pt>
                <c:pt idx="172">
                  <c:v>40.914085161290316</c:v>
                </c:pt>
                <c:pt idx="173">
                  <c:v>41.347716129032257</c:v>
                </c:pt>
                <c:pt idx="174">
                  <c:v>41.347716129032257</c:v>
                </c:pt>
                <c:pt idx="175">
                  <c:v>41.579354838709676</c:v>
                </c:pt>
                <c:pt idx="176">
                  <c:v>41.579354838709676</c:v>
                </c:pt>
                <c:pt idx="177">
                  <c:v>42.301894193548378</c:v>
                </c:pt>
                <c:pt idx="178">
                  <c:v>43.076211612903222</c:v>
                </c:pt>
                <c:pt idx="179">
                  <c:v>43.076211612903222</c:v>
                </c:pt>
                <c:pt idx="180">
                  <c:v>43.20627612903224</c:v>
                </c:pt>
                <c:pt idx="181">
                  <c:v>45.113599999999998</c:v>
                </c:pt>
                <c:pt idx="182">
                  <c:v>45.113599999999998</c:v>
                </c:pt>
                <c:pt idx="183">
                  <c:v>46.754725161290324</c:v>
                </c:pt>
                <c:pt idx="184">
                  <c:v>47.708903225806452</c:v>
                </c:pt>
                <c:pt idx="185">
                  <c:v>47.708903225806452</c:v>
                </c:pt>
                <c:pt idx="186">
                  <c:v>47.733099354838707</c:v>
                </c:pt>
                <c:pt idx="187">
                  <c:v>47.733099354838707</c:v>
                </c:pt>
                <c:pt idx="188">
                  <c:v>48.39836903225806</c:v>
                </c:pt>
                <c:pt idx="189">
                  <c:v>48.98114064516129</c:v>
                </c:pt>
                <c:pt idx="190">
                  <c:v>48.98114064516129</c:v>
                </c:pt>
                <c:pt idx="191">
                  <c:v>50.650952258064507</c:v>
                </c:pt>
                <c:pt idx="192">
                  <c:v>51.109863225806436</c:v>
                </c:pt>
                <c:pt idx="193">
                  <c:v>54.053161290322571</c:v>
                </c:pt>
                <c:pt idx="194">
                  <c:v>54.053161290322571</c:v>
                </c:pt>
                <c:pt idx="195">
                  <c:v>54.070090322580633</c:v>
                </c:pt>
                <c:pt idx="196">
                  <c:v>54.070090322580633</c:v>
                </c:pt>
                <c:pt idx="197">
                  <c:v>57.04687483870967</c:v>
                </c:pt>
                <c:pt idx="198">
                  <c:v>57.88680258064516</c:v>
                </c:pt>
                <c:pt idx="199">
                  <c:v>57.88680258064516</c:v>
                </c:pt>
                <c:pt idx="200">
                  <c:v>58.211096774193543</c:v>
                </c:pt>
                <c:pt idx="201">
                  <c:v>58.211096774193543</c:v>
                </c:pt>
                <c:pt idx="202">
                  <c:v>58.834787096774193</c:v>
                </c:pt>
                <c:pt idx="203">
                  <c:v>58.840980645161274</c:v>
                </c:pt>
                <c:pt idx="204">
                  <c:v>58.840980645161274</c:v>
                </c:pt>
                <c:pt idx="205">
                  <c:v>61.623999999999988</c:v>
                </c:pt>
                <c:pt idx="206">
                  <c:v>61.623999999999988</c:v>
                </c:pt>
                <c:pt idx="207">
                  <c:v>62.021574193548382</c:v>
                </c:pt>
                <c:pt idx="208">
                  <c:v>62.021574193548382</c:v>
                </c:pt>
                <c:pt idx="209">
                  <c:v>65.202167741935483</c:v>
                </c:pt>
                <c:pt idx="210">
                  <c:v>65.202167741935483</c:v>
                </c:pt>
                <c:pt idx="211">
                  <c:v>67.508098064516133</c:v>
                </c:pt>
                <c:pt idx="212">
                  <c:v>68.190141935483851</c:v>
                </c:pt>
                <c:pt idx="213">
                  <c:v>75.674425806451609</c:v>
                </c:pt>
                <c:pt idx="214">
                  <c:v>75.674425806451609</c:v>
                </c:pt>
                <c:pt idx="215">
                  <c:v>75.698126451612893</c:v>
                </c:pt>
                <c:pt idx="216">
                  <c:v>75.698126451612893</c:v>
                </c:pt>
                <c:pt idx="217">
                  <c:v>77.924541935483873</c:v>
                </c:pt>
                <c:pt idx="218">
                  <c:v>78.242601290322568</c:v>
                </c:pt>
                <c:pt idx="219">
                  <c:v>79.51483870967742</c:v>
                </c:pt>
                <c:pt idx="220">
                  <c:v>79.51483870967742</c:v>
                </c:pt>
                <c:pt idx="221">
                  <c:v>80.663948387096767</c:v>
                </c:pt>
                <c:pt idx="222">
                  <c:v>82.36870193548387</c:v>
                </c:pt>
                <c:pt idx="223">
                  <c:v>82.37737290322579</c:v>
                </c:pt>
                <c:pt idx="224">
                  <c:v>82.37737290322579</c:v>
                </c:pt>
                <c:pt idx="225">
                  <c:v>86.273599999999988</c:v>
                </c:pt>
                <c:pt idx="226">
                  <c:v>86.273599999999988</c:v>
                </c:pt>
                <c:pt idx="227">
                  <c:v>91.283034838709682</c:v>
                </c:pt>
                <c:pt idx="228">
                  <c:v>91.283034838709682</c:v>
                </c:pt>
                <c:pt idx="229">
                  <c:v>92.55527225806452</c:v>
                </c:pt>
                <c:pt idx="230">
                  <c:v>95.466198709677414</c:v>
                </c:pt>
                <c:pt idx="231">
                  <c:v>103.36929032258062</c:v>
                </c:pt>
                <c:pt idx="232">
                  <c:v>103.36929032258062</c:v>
                </c:pt>
                <c:pt idx="233">
                  <c:v>109.09435870967741</c:v>
                </c:pt>
                <c:pt idx="234">
                  <c:v>111.32077419354839</c:v>
                </c:pt>
                <c:pt idx="235">
                  <c:v>111.32077419354839</c:v>
                </c:pt>
                <c:pt idx="236">
                  <c:v>112.51349677419354</c:v>
                </c:pt>
                <c:pt idx="237">
                  <c:v>112.92952774193549</c:v>
                </c:pt>
                <c:pt idx="238">
                  <c:v>130.40433548387097</c:v>
                </c:pt>
                <c:pt idx="239">
                  <c:v>144.71700645161292</c:v>
                </c:pt>
                <c:pt idx="240">
                  <c:v>144.71700645161292</c:v>
                </c:pt>
                <c:pt idx="241">
                  <c:v>154.25878709677417</c:v>
                </c:pt>
                <c:pt idx="242">
                  <c:v>157.51889548387095</c:v>
                </c:pt>
                <c:pt idx="243">
                  <c:v>182.56606967741936</c:v>
                </c:pt>
                <c:pt idx="244">
                  <c:v>215.96230193548388</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0.69609999999999994</c:v>
                </c:pt>
                <c:pt idx="9">
                  <c:v>0.69729999999999992</c:v>
                </c:pt>
                <c:pt idx="10">
                  <c:v>0.69850000000000001</c:v>
                </c:pt>
                <c:pt idx="11">
                  <c:v>0.69879999999999998</c:v>
                </c:pt>
                <c:pt idx="12">
                  <c:v>0.69940000000000002</c:v>
                </c:pt>
                <c:pt idx="13">
                  <c:v>0.7006</c:v>
                </c:pt>
                <c:pt idx="14">
                  <c:v>0.70179999999999998</c:v>
                </c:pt>
                <c:pt idx="15">
                  <c:v>0.70299999999999996</c:v>
                </c:pt>
                <c:pt idx="16">
                  <c:v>0.70419999999999994</c:v>
                </c:pt>
                <c:pt idx="17">
                  <c:v>0.70540000000000003</c:v>
                </c:pt>
                <c:pt idx="18">
                  <c:v>0.70599999999999996</c:v>
                </c:pt>
                <c:pt idx="19">
                  <c:v>0.70660000000000001</c:v>
                </c:pt>
                <c:pt idx="20">
                  <c:v>0.70719999999999994</c:v>
                </c:pt>
                <c:pt idx="21">
                  <c:v>0.70779999999999998</c:v>
                </c:pt>
                <c:pt idx="22">
                  <c:v>0.70839999999999992</c:v>
                </c:pt>
                <c:pt idx="23">
                  <c:v>0.70899999999999996</c:v>
                </c:pt>
                <c:pt idx="24">
                  <c:v>0.71019999999999994</c:v>
                </c:pt>
                <c:pt idx="25">
                  <c:v>0.71139999999999992</c:v>
                </c:pt>
                <c:pt idx="26">
                  <c:v>0.71199999999999997</c:v>
                </c:pt>
                <c:pt idx="27">
                  <c:v>0.71260000000000001</c:v>
                </c:pt>
                <c:pt idx="28">
                  <c:v>0.71289999999999998</c:v>
                </c:pt>
                <c:pt idx="29">
                  <c:v>0.71529999999999994</c:v>
                </c:pt>
                <c:pt idx="30">
                  <c:v>0.71560000000000001</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0.72819999999999996</c:v>
                </c:pt>
                <c:pt idx="41">
                  <c:v>0.73059999999999992</c:v>
                </c:pt>
                <c:pt idx="42">
                  <c:v>0.73119999999999996</c:v>
                </c:pt>
                <c:pt idx="43">
                  <c:v>0.73149999999999993</c:v>
                </c:pt>
                <c:pt idx="44">
                  <c:v>0.73180000000000001</c:v>
                </c:pt>
                <c:pt idx="45">
                  <c:v>0.73299999999999998</c:v>
                </c:pt>
                <c:pt idx="46">
                  <c:v>0.73419999999999996</c:v>
                </c:pt>
                <c:pt idx="47">
                  <c:v>0.73539999999999994</c:v>
                </c:pt>
                <c:pt idx="48">
                  <c:v>0.73599999999999999</c:v>
                </c:pt>
                <c:pt idx="49">
                  <c:v>0.73659999999999992</c:v>
                </c:pt>
                <c:pt idx="50">
                  <c:v>0.73719999999999997</c:v>
                </c:pt>
                <c:pt idx="51">
                  <c:v>0.73959999999999992</c:v>
                </c:pt>
                <c:pt idx="52">
                  <c:v>0.74199999999999999</c:v>
                </c:pt>
                <c:pt idx="53">
                  <c:v>0.74319999999999997</c:v>
                </c:pt>
                <c:pt idx="54">
                  <c:v>0.74439999999999995</c:v>
                </c:pt>
                <c:pt idx="55">
                  <c:v>0.74559999999999993</c:v>
                </c:pt>
                <c:pt idx="56">
                  <c:v>0.748</c:v>
                </c:pt>
                <c:pt idx="57">
                  <c:v>0.74919999999999998</c:v>
                </c:pt>
                <c:pt idx="58">
                  <c:v>0.75039999999999996</c:v>
                </c:pt>
                <c:pt idx="59">
                  <c:v>0.75159999999999993</c:v>
                </c:pt>
                <c:pt idx="60">
                  <c:v>0.75280000000000002</c:v>
                </c:pt>
                <c:pt idx="61">
                  <c:v>0.754</c:v>
                </c:pt>
                <c:pt idx="62">
                  <c:v>0.75459999999999994</c:v>
                </c:pt>
                <c:pt idx="63">
                  <c:v>0.75580000000000003</c:v>
                </c:pt>
                <c:pt idx="64">
                  <c:v>0.75700000000000001</c:v>
                </c:pt>
                <c:pt idx="65">
                  <c:v>0.76180000000000003</c:v>
                </c:pt>
                <c:pt idx="66">
                  <c:v>0.76239999999999997</c:v>
                </c:pt>
                <c:pt idx="67">
                  <c:v>0.76359999999999995</c:v>
                </c:pt>
                <c:pt idx="68">
                  <c:v>0.76479999999999992</c:v>
                </c:pt>
                <c:pt idx="69">
                  <c:v>0.76539999999999997</c:v>
                </c:pt>
                <c:pt idx="70">
                  <c:v>0.76600000000000001</c:v>
                </c:pt>
                <c:pt idx="71">
                  <c:v>0.76719999999999999</c:v>
                </c:pt>
                <c:pt idx="72">
                  <c:v>0.76839999999999997</c:v>
                </c:pt>
                <c:pt idx="73">
                  <c:v>0.76869999999999994</c:v>
                </c:pt>
                <c:pt idx="74">
                  <c:v>0.76900000000000002</c:v>
                </c:pt>
                <c:pt idx="75">
                  <c:v>0.7702</c:v>
                </c:pt>
                <c:pt idx="76">
                  <c:v>0.77139999999999997</c:v>
                </c:pt>
                <c:pt idx="77">
                  <c:v>0.77200000000000002</c:v>
                </c:pt>
                <c:pt idx="78">
                  <c:v>0.77259999999999995</c:v>
                </c:pt>
                <c:pt idx="79">
                  <c:v>0.7732</c:v>
                </c:pt>
                <c:pt idx="80">
                  <c:v>0.77379999999999993</c:v>
                </c:pt>
                <c:pt idx="81">
                  <c:v>0.7762</c:v>
                </c:pt>
                <c:pt idx="82">
                  <c:v>0.77649999999999997</c:v>
                </c:pt>
                <c:pt idx="83">
                  <c:v>0.77710000000000001</c:v>
                </c:pt>
                <c:pt idx="84">
                  <c:v>0.78190000000000004</c:v>
                </c:pt>
                <c:pt idx="85">
                  <c:v>0.78310000000000002</c:v>
                </c:pt>
                <c:pt idx="86">
                  <c:v>0.7843</c:v>
                </c:pt>
                <c:pt idx="87">
                  <c:v>0.78489999999999993</c:v>
                </c:pt>
                <c:pt idx="88">
                  <c:v>0.78549999999999998</c:v>
                </c:pt>
                <c:pt idx="89">
                  <c:v>0.78579999999999994</c:v>
                </c:pt>
                <c:pt idx="90">
                  <c:v>0.78820000000000001</c:v>
                </c:pt>
                <c:pt idx="91">
                  <c:v>0.78849999999999998</c:v>
                </c:pt>
                <c:pt idx="92">
                  <c:v>0.78910000000000002</c:v>
                </c:pt>
                <c:pt idx="93">
                  <c:v>0.79389999999999994</c:v>
                </c:pt>
                <c:pt idx="94">
                  <c:v>0.79869999999999997</c:v>
                </c:pt>
                <c:pt idx="95">
                  <c:v>0.80109999999999992</c:v>
                </c:pt>
                <c:pt idx="96">
                  <c:v>0.80230000000000001</c:v>
                </c:pt>
                <c:pt idx="97">
                  <c:v>0.80349999999999999</c:v>
                </c:pt>
                <c:pt idx="98">
                  <c:v>0.80410000000000004</c:v>
                </c:pt>
                <c:pt idx="99">
                  <c:v>0.80649999999999999</c:v>
                </c:pt>
                <c:pt idx="100">
                  <c:v>0.80889999999999995</c:v>
                </c:pt>
                <c:pt idx="101">
                  <c:v>0.81369999999999998</c:v>
                </c:pt>
                <c:pt idx="102">
                  <c:v>0.81489999999999996</c:v>
                </c:pt>
                <c:pt idx="103">
                  <c:v>0.81609999999999994</c:v>
                </c:pt>
                <c:pt idx="104">
                  <c:v>0.81669999999999998</c:v>
                </c:pt>
                <c:pt idx="105">
                  <c:v>0.81730000000000003</c:v>
                </c:pt>
                <c:pt idx="106">
                  <c:v>0.81789999999999996</c:v>
                </c:pt>
                <c:pt idx="107">
                  <c:v>0.81850000000000001</c:v>
                </c:pt>
                <c:pt idx="108">
                  <c:v>0.81909999999999994</c:v>
                </c:pt>
                <c:pt idx="109">
                  <c:v>0.81969999999999998</c:v>
                </c:pt>
                <c:pt idx="110">
                  <c:v>0.82089999999999996</c:v>
                </c:pt>
                <c:pt idx="111">
                  <c:v>0.82209999999999994</c:v>
                </c:pt>
                <c:pt idx="112">
                  <c:v>0.82240000000000002</c:v>
                </c:pt>
                <c:pt idx="113">
                  <c:v>0.82269999999999999</c:v>
                </c:pt>
                <c:pt idx="114">
                  <c:v>0.82509999999999994</c:v>
                </c:pt>
                <c:pt idx="115">
                  <c:v>0.82750000000000001</c:v>
                </c:pt>
                <c:pt idx="116">
                  <c:v>0.82869999999999999</c:v>
                </c:pt>
                <c:pt idx="117">
                  <c:v>0.82899999999999996</c:v>
                </c:pt>
                <c:pt idx="118">
                  <c:v>0.83020000000000005</c:v>
                </c:pt>
                <c:pt idx="119">
                  <c:v>0.83079999999999998</c:v>
                </c:pt>
                <c:pt idx="120">
                  <c:v>0.83139999999999992</c:v>
                </c:pt>
                <c:pt idx="121">
                  <c:v>0.83199999999999996</c:v>
                </c:pt>
                <c:pt idx="122">
                  <c:v>0.83260000000000001</c:v>
                </c:pt>
                <c:pt idx="123">
                  <c:v>0.83499999999999996</c:v>
                </c:pt>
                <c:pt idx="124">
                  <c:v>0.83619999999999994</c:v>
                </c:pt>
                <c:pt idx="125">
                  <c:v>0.83739999999999992</c:v>
                </c:pt>
                <c:pt idx="126">
                  <c:v>0.83799999999999997</c:v>
                </c:pt>
                <c:pt idx="127">
                  <c:v>0.83860000000000001</c:v>
                </c:pt>
                <c:pt idx="128">
                  <c:v>0.84099999999999997</c:v>
                </c:pt>
                <c:pt idx="129">
                  <c:v>0.84339999999999993</c:v>
                </c:pt>
                <c:pt idx="130">
                  <c:v>0.8458</c:v>
                </c:pt>
                <c:pt idx="131">
                  <c:v>0.84819999999999995</c:v>
                </c:pt>
                <c:pt idx="132">
                  <c:v>0.84939999999999993</c:v>
                </c:pt>
                <c:pt idx="133">
                  <c:v>0.85060000000000002</c:v>
                </c:pt>
                <c:pt idx="134">
                  <c:v>0.8518</c:v>
                </c:pt>
                <c:pt idx="135">
                  <c:v>0.85419999999999996</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0.88119999999999998</c:v>
                </c:pt>
                <c:pt idx="148">
                  <c:v>0.88239999999999996</c:v>
                </c:pt>
                <c:pt idx="149">
                  <c:v>0.88480000000000003</c:v>
                </c:pt>
                <c:pt idx="150">
                  <c:v>0.8851</c:v>
                </c:pt>
                <c:pt idx="151">
                  <c:v>0.88539999999999996</c:v>
                </c:pt>
                <c:pt idx="152">
                  <c:v>0.88569999999999993</c:v>
                </c:pt>
                <c:pt idx="153">
                  <c:v>0.88690000000000002</c:v>
                </c:pt>
                <c:pt idx="154">
                  <c:v>0.8881</c:v>
                </c:pt>
                <c:pt idx="155">
                  <c:v>0.88870000000000005</c:v>
                </c:pt>
                <c:pt idx="156">
                  <c:v>0.88929999999999998</c:v>
                </c:pt>
                <c:pt idx="157">
                  <c:v>0.89169999999999994</c:v>
                </c:pt>
                <c:pt idx="158">
                  <c:v>0.89410000000000001</c:v>
                </c:pt>
                <c:pt idx="159">
                  <c:v>0.89470000000000005</c:v>
                </c:pt>
                <c:pt idx="160">
                  <c:v>0.89529999999999998</c:v>
                </c:pt>
                <c:pt idx="161">
                  <c:v>0.89590000000000003</c:v>
                </c:pt>
                <c:pt idx="162">
                  <c:v>0.89829999999999999</c:v>
                </c:pt>
                <c:pt idx="163">
                  <c:v>0.89890000000000003</c:v>
                </c:pt>
                <c:pt idx="164">
                  <c:v>0.89949999999999997</c:v>
                </c:pt>
                <c:pt idx="165">
                  <c:v>0.90010000000000001</c:v>
                </c:pt>
                <c:pt idx="166">
                  <c:v>0.90039999999999998</c:v>
                </c:pt>
                <c:pt idx="167">
                  <c:v>0.90070000000000006</c:v>
                </c:pt>
                <c:pt idx="168">
                  <c:v>0.90100000000000002</c:v>
                </c:pt>
                <c:pt idx="169">
                  <c:v>0.90159999999999996</c:v>
                </c:pt>
                <c:pt idx="170">
                  <c:v>0.90639999999999998</c:v>
                </c:pt>
                <c:pt idx="171">
                  <c:v>0.91120000000000001</c:v>
                </c:pt>
                <c:pt idx="172">
                  <c:v>0.91239999999999999</c:v>
                </c:pt>
                <c:pt idx="173">
                  <c:v>0.91359999999999997</c:v>
                </c:pt>
                <c:pt idx="174">
                  <c:v>0.91480000000000006</c:v>
                </c:pt>
                <c:pt idx="175">
                  <c:v>0.91959999999999997</c:v>
                </c:pt>
                <c:pt idx="176">
                  <c:v>0.9244</c:v>
                </c:pt>
                <c:pt idx="177">
                  <c:v>0.92500000000000004</c:v>
                </c:pt>
                <c:pt idx="178">
                  <c:v>0.92620000000000002</c:v>
                </c:pt>
                <c:pt idx="179">
                  <c:v>0.9274</c:v>
                </c:pt>
                <c:pt idx="180">
                  <c:v>0.92799999999999994</c:v>
                </c:pt>
                <c:pt idx="181">
                  <c:v>0.92920000000000003</c:v>
                </c:pt>
                <c:pt idx="182">
                  <c:v>0.9304</c:v>
                </c:pt>
                <c:pt idx="183">
                  <c:v>0.93159999999999998</c:v>
                </c:pt>
                <c:pt idx="184">
                  <c:v>0.93279999999999996</c:v>
                </c:pt>
                <c:pt idx="185">
                  <c:v>0.93399999999999994</c:v>
                </c:pt>
                <c:pt idx="186">
                  <c:v>0.93459999999999999</c:v>
                </c:pt>
                <c:pt idx="187">
                  <c:v>0.93520000000000003</c:v>
                </c:pt>
                <c:pt idx="188">
                  <c:v>0.93579999999999997</c:v>
                </c:pt>
                <c:pt idx="189">
                  <c:v>0.93700000000000006</c:v>
                </c:pt>
                <c:pt idx="190">
                  <c:v>0.93820000000000003</c:v>
                </c:pt>
                <c:pt idx="191">
                  <c:v>0.93940000000000001</c:v>
                </c:pt>
                <c:pt idx="192">
                  <c:v>0.93969999999999998</c:v>
                </c:pt>
                <c:pt idx="193">
                  <c:v>0.94209999999999994</c:v>
                </c:pt>
                <c:pt idx="194">
                  <c:v>0.94450000000000001</c:v>
                </c:pt>
                <c:pt idx="195">
                  <c:v>0.94510000000000005</c:v>
                </c:pt>
                <c:pt idx="196">
                  <c:v>0.94989999999999997</c:v>
                </c:pt>
                <c:pt idx="197">
                  <c:v>0.95229999999999992</c:v>
                </c:pt>
                <c:pt idx="198">
                  <c:v>0.95289999999999997</c:v>
                </c:pt>
                <c:pt idx="199">
                  <c:v>0.95350000000000001</c:v>
                </c:pt>
                <c:pt idx="200">
                  <c:v>0.95589999999999997</c:v>
                </c:pt>
                <c:pt idx="201">
                  <c:v>0.95829999999999993</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0.96699999999999997</c:v>
                </c:pt>
                <c:pt idx="212">
                  <c:v>0.96940000000000004</c:v>
                </c:pt>
                <c:pt idx="213">
                  <c:v>0.97060000000000002</c:v>
                </c:pt>
                <c:pt idx="214">
                  <c:v>0.9718</c:v>
                </c:pt>
                <c:pt idx="215">
                  <c:v>0.97419999999999995</c:v>
                </c:pt>
                <c:pt idx="216">
                  <c:v>0.97449999999999992</c:v>
                </c:pt>
                <c:pt idx="217">
                  <c:v>0.97689999999999999</c:v>
                </c:pt>
                <c:pt idx="218">
                  <c:v>0.97750000000000004</c:v>
                </c:pt>
                <c:pt idx="219">
                  <c:v>0.97989999999999999</c:v>
                </c:pt>
                <c:pt idx="220">
                  <c:v>0.98229999999999995</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0.99340000000000006</c:v>
                </c:pt>
                <c:pt idx="235">
                  <c:v>0.99459999999999993</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9</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omik/PycharmProjects/VCDA/spreadsheets/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Full Distribution"/>
      <sheetName val="Sheet1"/>
    </sheetNames>
    <sheetDataSet>
      <sheetData sheetId="0"/>
      <sheetData sheetId="1" refreshError="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efreshError="1">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27" sqref="B27"/>
    </sheetView>
  </sheetViews>
  <sheetFormatPr baseColWidth="10" defaultColWidth="10.7109375" defaultRowHeight="14" x14ac:dyDescent="0.2"/>
  <cols>
    <col min="1" max="1" width="10.7109375" style="258"/>
    <col min="2" max="2" width="181.85546875" style="258" customWidth="1"/>
    <col min="3" max="16384" width="10.7109375" style="258"/>
  </cols>
  <sheetData>
    <row r="6" spans="2:2" ht="24" x14ac:dyDescent="0.25">
      <c r="B6" s="297" t="s">
        <v>272</v>
      </c>
    </row>
    <row r="7" spans="2:2" ht="19" x14ac:dyDescent="0.2">
      <c r="B7" s="298" t="s">
        <v>273</v>
      </c>
    </row>
    <row r="8" spans="2:2" ht="57" x14ac:dyDescent="0.2">
      <c r="B8" s="298" t="s">
        <v>274</v>
      </c>
    </row>
    <row r="9" spans="2:2" ht="19" x14ac:dyDescent="0.2">
      <c r="B9" s="298" t="s">
        <v>275</v>
      </c>
    </row>
    <row r="10" spans="2:2" ht="76" x14ac:dyDescent="0.2">
      <c r="B10" s="298" t="s">
        <v>276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3"/>
  <sheetViews>
    <sheetView showGridLines="0" tabSelected="1" zoomScale="115" zoomScaleNormal="110" zoomScalePageLayoutView="110" workbookViewId="0">
      <selection activeCell="J7" sqref="J7"/>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710937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2.7109375" customWidth="1"/>
  </cols>
  <sheetData>
    <row r="1" spans="1:18" s="7" customFormat="1" ht="16" x14ac:dyDescent="0.2">
      <c r="A1" s="73" t="str">
        <f>CONCATENATE(CompanyName,": Series Seed")</f>
        <v>Truthy: Series Seed</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1" t="s">
        <v>61</v>
      </c>
    </row>
    <row r="3" spans="1:18" s="17" customFormat="1" ht="16" x14ac:dyDescent="0.2">
      <c r="A3" s="47" t="s">
        <v>42</v>
      </c>
      <c r="C3" s="45"/>
      <c r="D3" s="45"/>
      <c r="E3" s="45"/>
      <c r="F3" s="46"/>
      <c r="G3" s="45"/>
      <c r="H3" s="158"/>
      <c r="I3" s="20"/>
      <c r="J3" s="123"/>
      <c r="K3" s="122"/>
      <c r="L3" s="122"/>
      <c r="M3" s="48"/>
      <c r="N3" s="48"/>
      <c r="P3" s="216" t="s">
        <v>176</v>
      </c>
    </row>
    <row r="4" spans="1:18" s="5" customFormat="1" ht="18" customHeight="1" thickBot="1" x14ac:dyDescent="0.25">
      <c r="A4" s="41"/>
      <c r="B4" s="80" t="s">
        <v>8</v>
      </c>
      <c r="C4" s="4"/>
      <c r="D4" s="34"/>
      <c r="E4" s="4"/>
      <c r="F4" s="177" t="s">
        <v>9</v>
      </c>
      <c r="G4" s="152" t="s">
        <v>107</v>
      </c>
      <c r="H4" s="178" t="s">
        <v>115</v>
      </c>
      <c r="I4" s="179" t="s">
        <v>116</v>
      </c>
      <c r="J4" s="180" t="s">
        <v>117</v>
      </c>
      <c r="K4" s="154"/>
      <c r="L4" s="159"/>
      <c r="M4" s="18"/>
      <c r="N4" s="18"/>
      <c r="P4" s="70" t="str">
        <f>CONCATENATE("Values as of EOY ",2024)</f>
        <v>Values as of EOY 2024</v>
      </c>
    </row>
    <row r="5" spans="1:18" ht="17" thickTop="1" x14ac:dyDescent="0.2">
      <c r="A5" s="24"/>
      <c r="B5" s="354" t="s">
        <v>286</v>
      </c>
      <c r="C5" s="78"/>
      <c r="D5" s="63" t="s">
        <v>58</v>
      </c>
      <c r="E5" s="12"/>
      <c r="F5" s="175">
        <f>Q94</f>
        <v>8.6857609083870955</v>
      </c>
      <c r="G5" s="353">
        <v>10.314531344516126</v>
      </c>
      <c r="H5" s="181">
        <v>2.6303137858064507</v>
      </c>
      <c r="I5" s="182">
        <v>7.8682775287741942</v>
      </c>
      <c r="J5" s="183">
        <v>20.948011602580642</v>
      </c>
      <c r="K5" s="159"/>
      <c r="L5" s="159"/>
      <c r="M5" s="18"/>
      <c r="N5" s="18"/>
      <c r="P5" s="338">
        <v>41973</v>
      </c>
    </row>
    <row r="6" spans="1:18" x14ac:dyDescent="0.2">
      <c r="A6" s="24"/>
      <c r="B6" s="68" t="s">
        <v>103</v>
      </c>
      <c r="C6" s="3"/>
      <c r="D6" s="25" t="s">
        <v>2</v>
      </c>
      <c r="E6" s="2"/>
      <c r="F6" s="176">
        <f>Q120</f>
        <v>23.787704980645163</v>
      </c>
      <c r="G6" s="187">
        <v>30.062901677419354</v>
      </c>
      <c r="H6" s="184">
        <v>7.2859515870967728</v>
      </c>
      <c r="I6" s="185">
        <v>22.202790812903224</v>
      </c>
      <c r="J6" s="186">
        <v>65.275164077419362</v>
      </c>
      <c r="K6" s="159"/>
      <c r="L6" s="159"/>
      <c r="M6" s="18"/>
      <c r="N6" s="18"/>
    </row>
    <row r="7" spans="1:18" x14ac:dyDescent="0.2">
      <c r="A7" s="24"/>
      <c r="B7" s="255" t="s">
        <v>254</v>
      </c>
      <c r="C7" s="3"/>
      <c r="D7" s="214" t="s">
        <v>86</v>
      </c>
      <c r="E7" s="2"/>
      <c r="F7" s="355">
        <f>SweetspotTAM</f>
        <v>5440</v>
      </c>
      <c r="G7" s="357">
        <v>6175</v>
      </c>
      <c r="H7" s="358">
        <v>2080</v>
      </c>
      <c r="I7" s="359">
        <v>5440</v>
      </c>
      <c r="J7" s="360">
        <v>11040</v>
      </c>
      <c r="K7" s="159"/>
      <c r="L7" s="159"/>
      <c r="M7" s="18"/>
      <c r="N7" s="18"/>
    </row>
    <row r="8" spans="1:18" ht="12.75" customHeight="1" x14ac:dyDescent="0.2">
      <c r="A8" s="24"/>
      <c r="B8" s="155" t="s">
        <v>104</v>
      </c>
      <c r="C8" s="3"/>
      <c r="D8" s="25" t="s">
        <v>86</v>
      </c>
      <c r="E8" s="2"/>
      <c r="F8" s="356">
        <f>E120</f>
        <v>16320</v>
      </c>
      <c r="G8" s="361">
        <v>20068.75</v>
      </c>
      <c r="H8" s="362">
        <v>6240</v>
      </c>
      <c r="I8" s="363">
        <v>16400</v>
      </c>
      <c r="J8" s="360">
        <v>39200</v>
      </c>
      <c r="K8" s="159"/>
      <c r="L8" s="159"/>
      <c r="M8" s="54"/>
      <c r="N8" s="54"/>
    </row>
    <row r="9" spans="1:18" ht="15" thickBot="1" x14ac:dyDescent="0.25">
      <c r="A9" s="22"/>
      <c r="B9" s="248" t="s">
        <v>231</v>
      </c>
      <c r="C9" s="79"/>
      <c r="D9" s="249" t="s">
        <v>2</v>
      </c>
      <c r="E9" s="13"/>
      <c r="F9" s="250">
        <f>Q95</f>
        <v>28.273961290322575</v>
      </c>
      <c r="G9" s="251">
        <v>33.575948387096794</v>
      </c>
      <c r="H9" s="252">
        <v>8.5622193548387067</v>
      </c>
      <c r="I9" s="253">
        <v>25.612882580645159</v>
      </c>
      <c r="J9" s="254">
        <v>68.190141935483851</v>
      </c>
      <c r="K9" s="159"/>
      <c r="L9" s="159"/>
      <c r="M9" s="18"/>
      <c r="N9" s="18"/>
    </row>
    <row r="10" spans="1:18" ht="15" thickTop="1" x14ac:dyDescent="0.2">
      <c r="A10" s="22"/>
      <c r="B10" s="54"/>
      <c r="C10" s="3"/>
      <c r="D10" s="25"/>
      <c r="E10" s="2"/>
      <c r="F10" s="160"/>
      <c r="G10"/>
      <c r="H10" s="130"/>
      <c r="I10" s="20"/>
      <c r="J10" s="156"/>
      <c r="K10" s="159"/>
      <c r="L10" s="159"/>
      <c r="M10" s="18"/>
      <c r="N10" s="18"/>
    </row>
    <row r="11" spans="1:18" x14ac:dyDescent="0.2">
      <c r="A11" s="36"/>
      <c r="B11" s="18"/>
      <c r="C11" s="18"/>
      <c r="D11" s="54"/>
      <c r="E11" s="22"/>
      <c r="F11" s="54"/>
      <c r="G11" s="51"/>
      <c r="H11" s="130"/>
      <c r="I11" s="20"/>
      <c r="J11" s="156"/>
      <c r="K11" s="159"/>
      <c r="L11" s="159"/>
      <c r="P11" s="26"/>
    </row>
    <row r="12" spans="1:18" s="7" customFormat="1" ht="16" x14ac:dyDescent="0.2">
      <c r="A12" s="44" t="s">
        <v>28</v>
      </c>
      <c r="B12" s="55"/>
      <c r="C12" s="56"/>
      <c r="D12" s="27"/>
      <c r="E12" s="56"/>
      <c r="F12" s="29">
        <v>1</v>
      </c>
      <c r="G12" s="29">
        <v>2</v>
      </c>
      <c r="H12" s="29">
        <v>3</v>
      </c>
      <c r="I12" s="29">
        <v>4</v>
      </c>
      <c r="J12" s="27"/>
      <c r="K12" s="56"/>
      <c r="L12" s="56"/>
      <c r="M12" s="69"/>
      <c r="N12" s="69"/>
      <c r="O12" s="6" t="s">
        <v>9</v>
      </c>
    </row>
    <row r="13" spans="1:18" s="4" customFormat="1" x14ac:dyDescent="0.2">
      <c r="A13" s="36"/>
      <c r="B13" s="57"/>
      <c r="C13" s="57" t="s">
        <v>8</v>
      </c>
      <c r="D13" s="29" t="s">
        <v>10</v>
      </c>
      <c r="E13" s="29" t="s">
        <v>13</v>
      </c>
      <c r="F13" s="29" t="s">
        <v>14</v>
      </c>
      <c r="G13" s="29" t="s">
        <v>15</v>
      </c>
      <c r="H13" s="29" t="s">
        <v>16</v>
      </c>
      <c r="I13" s="29" t="s">
        <v>34</v>
      </c>
      <c r="J13" s="57" t="s">
        <v>35</v>
      </c>
      <c r="K13" s="34"/>
      <c r="L13" s="34"/>
      <c r="M13" s="48" t="s">
        <v>20</v>
      </c>
      <c r="N13" s="48"/>
      <c r="O13" s="14" t="s">
        <v>12</v>
      </c>
      <c r="P13" s="14" t="s">
        <v>11</v>
      </c>
    </row>
    <row r="14" spans="1:18" ht="12" customHeight="1" x14ac:dyDescent="0.2">
      <c r="A14" s="36"/>
      <c r="B14" s="58"/>
      <c r="C14" s="59"/>
      <c r="D14" s="63"/>
      <c r="E14" s="64"/>
      <c r="F14" s="31"/>
      <c r="G14" s="31"/>
      <c r="H14" s="32"/>
      <c r="I14" s="60"/>
      <c r="J14" s="49"/>
      <c r="K14" s="59"/>
      <c r="L14" s="50"/>
      <c r="M14" s="18"/>
      <c r="N14" s="18"/>
      <c r="O14" s="71"/>
      <c r="P14" s="114"/>
      <c r="Q14" s="115"/>
      <c r="R14" s="5"/>
    </row>
    <row r="15" spans="1:18" ht="12" customHeight="1" x14ac:dyDescent="0.2">
      <c r="A15" s="36"/>
      <c r="B15" s="37" t="s">
        <v>7</v>
      </c>
      <c r="C15" s="18"/>
      <c r="D15" s="25"/>
      <c r="E15" s="81"/>
      <c r="F15" s="30"/>
      <c r="G15" s="30"/>
      <c r="H15" s="82"/>
      <c r="I15" s="25"/>
      <c r="J15" s="68"/>
      <c r="K15" s="18"/>
      <c r="L15" s="39"/>
      <c r="M15" s="18"/>
      <c r="N15" s="18"/>
      <c r="O15" s="83"/>
      <c r="P15" s="116"/>
      <c r="Q15" s="117"/>
      <c r="R15" s="5"/>
    </row>
    <row r="16" spans="1:18" ht="12" customHeight="1" x14ac:dyDescent="0.2">
      <c r="A16" s="36"/>
      <c r="B16" s="74"/>
      <c r="C16" s="144" t="s">
        <v>133</v>
      </c>
      <c r="D16" s="25"/>
      <c r="E16" s="65"/>
      <c r="F16" s="3"/>
      <c r="G16" s="3"/>
      <c r="H16" s="76"/>
      <c r="I16" s="33"/>
      <c r="J16" s="68"/>
      <c r="K16" s="18"/>
      <c r="L16" s="39"/>
      <c r="M16" s="18"/>
      <c r="N16" s="18"/>
      <c r="O16" s="43"/>
      <c r="P16" s="116"/>
      <c r="Q16" s="117"/>
      <c r="R16" s="5"/>
    </row>
    <row r="17" spans="1:18" ht="12" customHeight="1" x14ac:dyDescent="0.2">
      <c r="A17" s="36"/>
      <c r="B17" s="74"/>
      <c r="C17" s="18" t="s">
        <v>134</v>
      </c>
      <c r="D17" s="25" t="s">
        <v>139</v>
      </c>
      <c r="E17" s="323">
        <v>2</v>
      </c>
      <c r="F17" s="306">
        <v>500</v>
      </c>
      <c r="G17" s="306">
        <v>800</v>
      </c>
      <c r="H17" s="307">
        <v>1000</v>
      </c>
      <c r="I17" s="33"/>
      <c r="J17" s="68"/>
      <c r="K17" s="18"/>
      <c r="L17" s="39"/>
      <c r="M17" s="18"/>
      <c r="N17" s="18"/>
      <c r="O17" s="43">
        <v>800</v>
      </c>
      <c r="P17" s="116" t="s">
        <v>146</v>
      </c>
      <c r="Q17" s="117"/>
      <c r="R17" s="5"/>
    </row>
    <row r="18" spans="1:18" ht="12" customHeight="1" x14ac:dyDescent="0.2">
      <c r="A18" s="36"/>
      <c r="B18" s="74"/>
      <c r="C18" s="18" t="s">
        <v>135</v>
      </c>
      <c r="D18" s="25" t="s">
        <v>139</v>
      </c>
      <c r="E18" s="323">
        <v>2</v>
      </c>
      <c r="F18" s="308">
        <v>500</v>
      </c>
      <c r="G18" s="308">
        <v>2000</v>
      </c>
      <c r="H18" s="309">
        <v>4000</v>
      </c>
      <c r="I18" s="33"/>
      <c r="J18" s="68"/>
      <c r="K18" s="18"/>
      <c r="L18" s="39"/>
      <c r="M18" s="18"/>
      <c r="N18" s="18"/>
      <c r="O18" s="43">
        <v>2000</v>
      </c>
      <c r="P18" s="116" t="s">
        <v>147</v>
      </c>
      <c r="Q18" s="117"/>
      <c r="R18" s="5"/>
    </row>
    <row r="19" spans="1:18" ht="12" customHeight="1" x14ac:dyDescent="0.2">
      <c r="A19" s="36"/>
      <c r="B19" s="74"/>
      <c r="C19" s="18" t="s">
        <v>136</v>
      </c>
      <c r="D19" s="25" t="s">
        <v>139</v>
      </c>
      <c r="E19" s="323">
        <v>2</v>
      </c>
      <c r="F19" s="308">
        <v>5</v>
      </c>
      <c r="G19" s="308">
        <v>20</v>
      </c>
      <c r="H19" s="309">
        <v>40</v>
      </c>
      <c r="I19" s="33"/>
      <c r="J19" s="68"/>
      <c r="K19" s="18"/>
      <c r="L19" s="39"/>
      <c r="M19" s="18"/>
      <c r="N19" s="18"/>
      <c r="O19" s="43">
        <v>20</v>
      </c>
      <c r="P19" s="116" t="s">
        <v>148</v>
      </c>
      <c r="Q19" s="117"/>
      <c r="R19" s="5"/>
    </row>
    <row r="20" spans="1:18" ht="12" customHeight="1" x14ac:dyDescent="0.2">
      <c r="A20" s="36"/>
      <c r="B20" s="74"/>
      <c r="C20" s="18" t="s">
        <v>137</v>
      </c>
      <c r="D20" s="25" t="s">
        <v>140</v>
      </c>
      <c r="E20" s="323">
        <v>2</v>
      </c>
      <c r="F20" s="306">
        <v>50</v>
      </c>
      <c r="G20" s="306">
        <v>100</v>
      </c>
      <c r="H20" s="307">
        <v>150</v>
      </c>
      <c r="I20" s="33"/>
      <c r="J20" s="68"/>
      <c r="K20" s="18"/>
      <c r="L20" s="39"/>
      <c r="M20" s="18"/>
      <c r="N20" s="18"/>
      <c r="O20" s="43">
        <v>100</v>
      </c>
      <c r="P20" s="116" t="s">
        <v>149</v>
      </c>
      <c r="Q20" s="117"/>
      <c r="R20" s="5"/>
    </row>
    <row r="21" spans="1:18" ht="12" customHeight="1" x14ac:dyDescent="0.2">
      <c r="A21" s="36"/>
      <c r="B21" s="74"/>
      <c r="C21" s="18" t="s">
        <v>138</v>
      </c>
      <c r="D21" s="25" t="s">
        <v>141</v>
      </c>
      <c r="E21" s="323">
        <v>2</v>
      </c>
      <c r="F21" s="310">
        <v>0.5</v>
      </c>
      <c r="G21" s="310">
        <v>0.8</v>
      </c>
      <c r="H21" s="311">
        <v>0.9</v>
      </c>
      <c r="I21" s="33"/>
      <c r="J21" s="68"/>
      <c r="K21" s="18"/>
      <c r="L21" s="39"/>
      <c r="M21" s="18"/>
      <c r="N21" s="18"/>
      <c r="O21" s="89">
        <v>0.8</v>
      </c>
      <c r="P21" s="116" t="s">
        <v>150</v>
      </c>
      <c r="Q21" s="117"/>
      <c r="R21" s="5"/>
    </row>
    <row r="22" spans="1:18" ht="12" customHeight="1" x14ac:dyDescent="0.2">
      <c r="A22" s="36"/>
      <c r="B22" s="74"/>
      <c r="C22" s="18"/>
      <c r="D22" s="25"/>
      <c r="E22" s="323"/>
      <c r="F22" s="306"/>
      <c r="G22" s="310"/>
      <c r="H22" s="307"/>
      <c r="I22" s="33"/>
      <c r="J22" s="68"/>
      <c r="K22" s="18"/>
      <c r="L22" s="39"/>
      <c r="M22" s="18"/>
      <c r="N22" s="18"/>
      <c r="O22" s="43"/>
      <c r="P22" s="116"/>
      <c r="Q22" s="117"/>
      <c r="R22" s="5"/>
    </row>
    <row r="23" spans="1:18" ht="12" customHeight="1" x14ac:dyDescent="0.2">
      <c r="A23" s="36"/>
      <c r="B23" s="74"/>
      <c r="C23" s="144" t="s">
        <v>142</v>
      </c>
      <c r="D23" s="25"/>
      <c r="E23" s="323"/>
      <c r="F23" s="312"/>
      <c r="G23" s="310"/>
      <c r="H23" s="313"/>
      <c r="I23" s="33"/>
      <c r="J23" s="68"/>
      <c r="K23" s="18"/>
      <c r="L23" s="39"/>
      <c r="M23" s="18"/>
      <c r="N23" s="18"/>
      <c r="O23" s="43"/>
      <c r="P23" s="116"/>
      <c r="Q23" s="117"/>
      <c r="R23" s="5"/>
    </row>
    <row r="24" spans="1:18" ht="12" customHeight="1" x14ac:dyDescent="0.2">
      <c r="A24" s="36"/>
      <c r="B24" s="74"/>
      <c r="C24" s="170" t="s">
        <v>233</v>
      </c>
      <c r="D24" s="25" t="s">
        <v>139</v>
      </c>
      <c r="E24" s="323">
        <v>2</v>
      </c>
      <c r="F24" s="306">
        <v>2500</v>
      </c>
      <c r="G24" s="306">
        <v>4000</v>
      </c>
      <c r="H24" s="307">
        <v>5000</v>
      </c>
      <c r="I24" s="33"/>
      <c r="J24" s="68"/>
      <c r="K24" s="18"/>
      <c r="L24" s="39"/>
      <c r="M24" s="18"/>
      <c r="N24" s="18"/>
      <c r="O24" s="43">
        <v>4000</v>
      </c>
      <c r="P24" s="116" t="s">
        <v>151</v>
      </c>
      <c r="Q24" s="117"/>
      <c r="R24" s="5"/>
    </row>
    <row r="25" spans="1:18" ht="12" customHeight="1" x14ac:dyDescent="0.2">
      <c r="A25" s="36"/>
      <c r="B25" s="74"/>
      <c r="C25" s="170" t="s">
        <v>234</v>
      </c>
      <c r="D25" s="25" t="s">
        <v>139</v>
      </c>
      <c r="E25" s="323">
        <v>2</v>
      </c>
      <c r="F25" s="308">
        <v>200</v>
      </c>
      <c r="G25" s="308">
        <v>500</v>
      </c>
      <c r="H25" s="309">
        <v>1000</v>
      </c>
      <c r="I25" s="33"/>
      <c r="J25" s="68"/>
      <c r="K25" s="18"/>
      <c r="L25" s="39"/>
      <c r="M25" s="18"/>
      <c r="N25" s="18"/>
      <c r="O25" s="43">
        <v>500</v>
      </c>
      <c r="P25" s="116" t="s">
        <v>152</v>
      </c>
      <c r="Q25" s="117"/>
      <c r="R25" s="5"/>
    </row>
    <row r="26" spans="1:18" ht="12" customHeight="1" x14ac:dyDescent="0.2">
      <c r="A26" s="36"/>
      <c r="B26" s="74"/>
      <c r="C26" s="170" t="s">
        <v>235</v>
      </c>
      <c r="D26" s="25" t="s">
        <v>139</v>
      </c>
      <c r="E26" s="323">
        <v>2</v>
      </c>
      <c r="F26" s="308">
        <v>5</v>
      </c>
      <c r="G26" s="308">
        <v>20</v>
      </c>
      <c r="H26" s="309">
        <v>40</v>
      </c>
      <c r="I26" s="166"/>
      <c r="J26" s="127"/>
      <c r="L26" s="167"/>
      <c r="O26" s="43">
        <v>20</v>
      </c>
      <c r="P26" s="116" t="s">
        <v>153</v>
      </c>
      <c r="Q26" s="117"/>
      <c r="R26" s="5"/>
    </row>
    <row r="27" spans="1:18" ht="12" customHeight="1" x14ac:dyDescent="0.2">
      <c r="A27" s="36"/>
      <c r="B27" s="74"/>
      <c r="C27" s="170" t="s">
        <v>236</v>
      </c>
      <c r="D27" s="25" t="s">
        <v>140</v>
      </c>
      <c r="E27" s="323">
        <v>2</v>
      </c>
      <c r="F27" s="306">
        <v>50</v>
      </c>
      <c r="G27" s="306">
        <v>100</v>
      </c>
      <c r="H27" s="307">
        <v>150</v>
      </c>
      <c r="I27" s="166"/>
      <c r="J27" s="127"/>
      <c r="L27" s="167"/>
      <c r="O27" s="43">
        <v>100</v>
      </c>
      <c r="P27" s="116" t="s">
        <v>154</v>
      </c>
      <c r="Q27" s="117"/>
      <c r="R27" s="5"/>
    </row>
    <row r="28" spans="1:18" ht="12" customHeight="1" x14ac:dyDescent="0.2">
      <c r="A28" s="36"/>
      <c r="B28" s="74"/>
      <c r="C28" s="170" t="s">
        <v>237</v>
      </c>
      <c r="D28" s="25" t="s">
        <v>141</v>
      </c>
      <c r="E28" s="323">
        <v>2</v>
      </c>
      <c r="F28" s="310">
        <v>0.4</v>
      </c>
      <c r="G28" s="310">
        <v>0.6</v>
      </c>
      <c r="H28" s="311">
        <v>0.8</v>
      </c>
      <c r="I28" s="166"/>
      <c r="J28" s="127"/>
      <c r="L28" s="167"/>
      <c r="O28" s="89">
        <v>0.6</v>
      </c>
      <c r="P28" s="116" t="s">
        <v>155</v>
      </c>
      <c r="Q28" s="117"/>
      <c r="R28" s="5"/>
    </row>
    <row r="29" spans="1:18" ht="12" customHeight="1" x14ac:dyDescent="0.2">
      <c r="A29" s="36"/>
      <c r="B29" s="74"/>
      <c r="C29" s="18"/>
      <c r="D29" s="25"/>
      <c r="E29" s="323"/>
      <c r="F29" s="314"/>
      <c r="G29" s="310"/>
      <c r="H29" s="311"/>
      <c r="I29" s="166"/>
      <c r="J29" s="127"/>
      <c r="L29" s="167"/>
      <c r="O29" s="43"/>
      <c r="P29" s="116"/>
      <c r="Q29" s="117"/>
      <c r="R29" s="5"/>
    </row>
    <row r="30" spans="1:18" ht="12" customHeight="1" x14ac:dyDescent="0.2">
      <c r="A30" s="36"/>
      <c r="B30" s="74"/>
      <c r="C30" s="144" t="s">
        <v>143</v>
      </c>
      <c r="D30" s="25"/>
      <c r="E30" s="323"/>
      <c r="F30" s="314"/>
      <c r="G30" s="310"/>
      <c r="H30" s="311"/>
      <c r="I30" s="166"/>
      <c r="J30" s="127"/>
      <c r="L30" s="167"/>
      <c r="O30" s="43"/>
      <c r="P30" s="116"/>
      <c r="Q30" s="117"/>
      <c r="R30" s="5"/>
    </row>
    <row r="31" spans="1:18" ht="12" customHeight="1" x14ac:dyDescent="0.2">
      <c r="A31" s="36"/>
      <c r="B31" s="74"/>
      <c r="C31" s="170" t="s">
        <v>238</v>
      </c>
      <c r="D31" s="25" t="s">
        <v>139</v>
      </c>
      <c r="E31" s="323">
        <v>2</v>
      </c>
      <c r="F31" s="306">
        <v>2000</v>
      </c>
      <c r="G31" s="306">
        <v>30000</v>
      </c>
      <c r="H31" s="307">
        <v>50000</v>
      </c>
      <c r="I31" s="166"/>
      <c r="J31" s="127"/>
      <c r="L31" s="167"/>
      <c r="O31" s="43">
        <v>30000</v>
      </c>
      <c r="P31" s="116" t="s">
        <v>156</v>
      </c>
      <c r="Q31" s="117"/>
      <c r="R31" s="5"/>
    </row>
    <row r="32" spans="1:18" ht="12" customHeight="1" x14ac:dyDescent="0.2">
      <c r="A32" s="36"/>
      <c r="B32" s="74"/>
      <c r="C32" s="170" t="s">
        <v>239</v>
      </c>
      <c r="D32" s="25" t="s">
        <v>139</v>
      </c>
      <c r="E32" s="323">
        <v>2</v>
      </c>
      <c r="F32" s="308">
        <v>10</v>
      </c>
      <c r="G32" s="308">
        <v>20</v>
      </c>
      <c r="H32" s="309">
        <v>30</v>
      </c>
      <c r="I32" s="166"/>
      <c r="J32" s="127"/>
      <c r="L32" s="167"/>
      <c r="O32" s="43">
        <v>20</v>
      </c>
      <c r="P32" s="116" t="s">
        <v>157</v>
      </c>
      <c r="Q32" s="117"/>
      <c r="R32" s="5"/>
    </row>
    <row r="33" spans="1:18" ht="12" customHeight="1" x14ac:dyDescent="0.2">
      <c r="A33" s="36"/>
      <c r="B33" s="74"/>
      <c r="C33" s="170" t="s">
        <v>240</v>
      </c>
      <c r="D33" s="25" t="s">
        <v>139</v>
      </c>
      <c r="E33" s="323">
        <v>2</v>
      </c>
      <c r="F33" s="308">
        <v>10</v>
      </c>
      <c r="G33" s="308">
        <v>20</v>
      </c>
      <c r="H33" s="309">
        <v>40</v>
      </c>
      <c r="I33" s="166"/>
      <c r="J33" s="127"/>
      <c r="L33" s="167"/>
      <c r="O33" s="43">
        <v>20</v>
      </c>
      <c r="P33" s="116" t="s">
        <v>158</v>
      </c>
      <c r="Q33" s="117"/>
      <c r="R33" s="5"/>
    </row>
    <row r="34" spans="1:18" ht="12" customHeight="1" x14ac:dyDescent="0.2">
      <c r="A34" s="36"/>
      <c r="B34" s="74"/>
      <c r="C34" s="170" t="s">
        <v>241</v>
      </c>
      <c r="D34" s="25" t="s">
        <v>140</v>
      </c>
      <c r="E34" s="323">
        <v>2</v>
      </c>
      <c r="F34" s="306">
        <v>50</v>
      </c>
      <c r="G34" s="306">
        <v>100</v>
      </c>
      <c r="H34" s="307">
        <v>150</v>
      </c>
      <c r="I34" s="33"/>
      <c r="J34" s="68"/>
      <c r="K34" s="18"/>
      <c r="L34" s="39"/>
      <c r="M34" s="18"/>
      <c r="N34" s="18"/>
      <c r="O34" s="43">
        <v>100</v>
      </c>
      <c r="P34" s="116" t="s">
        <v>159</v>
      </c>
      <c r="Q34" s="117"/>
      <c r="R34" s="5"/>
    </row>
    <row r="35" spans="1:18" ht="12" customHeight="1" x14ac:dyDescent="0.2">
      <c r="A35" s="36"/>
      <c r="B35" s="74"/>
      <c r="C35" s="170" t="s">
        <v>242</v>
      </c>
      <c r="D35" s="25" t="s">
        <v>141</v>
      </c>
      <c r="E35" s="323">
        <v>2</v>
      </c>
      <c r="F35" s="310">
        <v>0.3</v>
      </c>
      <c r="G35" s="310">
        <v>0.4</v>
      </c>
      <c r="H35" s="311">
        <v>0.7</v>
      </c>
      <c r="I35" s="33"/>
      <c r="J35" s="68"/>
      <c r="K35" s="18"/>
      <c r="L35" s="39"/>
      <c r="M35" s="18"/>
      <c r="N35" s="18"/>
      <c r="O35" s="89">
        <v>0.4</v>
      </c>
      <c r="P35" s="116" t="s">
        <v>160</v>
      </c>
      <c r="Q35" s="117"/>
      <c r="R35" s="5"/>
    </row>
    <row r="36" spans="1:18" ht="12" customHeight="1" x14ac:dyDescent="0.2">
      <c r="A36" s="36"/>
      <c r="B36" s="74"/>
      <c r="C36" s="18"/>
      <c r="D36" s="25"/>
      <c r="E36" s="323"/>
      <c r="F36" s="306"/>
      <c r="G36" s="306"/>
      <c r="H36" s="307"/>
      <c r="I36" s="33"/>
      <c r="J36" s="68"/>
      <c r="K36" s="18"/>
      <c r="L36" s="39"/>
      <c r="M36" s="18"/>
      <c r="N36" s="18"/>
      <c r="O36" s="43"/>
      <c r="P36" s="116"/>
      <c r="Q36" s="117"/>
      <c r="R36" s="5"/>
    </row>
    <row r="37" spans="1:18" ht="12" customHeight="1" x14ac:dyDescent="0.2">
      <c r="A37" s="36"/>
      <c r="B37" s="74"/>
      <c r="C37" s="170" t="s">
        <v>144</v>
      </c>
      <c r="D37" s="214" t="s">
        <v>145</v>
      </c>
      <c r="E37" s="323">
        <v>2</v>
      </c>
      <c r="F37" s="315">
        <v>1</v>
      </c>
      <c r="G37" s="316">
        <v>2</v>
      </c>
      <c r="H37" s="317">
        <v>4</v>
      </c>
      <c r="I37" s="166"/>
      <c r="J37" s="127"/>
      <c r="L37" s="167"/>
      <c r="O37" s="43">
        <v>2</v>
      </c>
      <c r="P37" s="116" t="s">
        <v>161</v>
      </c>
      <c r="Q37" s="117"/>
      <c r="R37" s="5"/>
    </row>
    <row r="38" spans="1:18" ht="12" customHeight="1" x14ac:dyDescent="0.2">
      <c r="A38" s="36"/>
      <c r="B38" s="74"/>
      <c r="C38" s="18"/>
      <c r="D38" s="25"/>
      <c r="E38" s="323"/>
      <c r="F38" s="306"/>
      <c r="G38" s="306"/>
      <c r="H38" s="307"/>
      <c r="I38" s="33"/>
      <c r="J38" s="68"/>
      <c r="K38" s="18"/>
      <c r="L38" s="39"/>
      <c r="M38" s="18"/>
      <c r="N38" s="18"/>
      <c r="O38" s="43"/>
      <c r="P38" s="116"/>
      <c r="Q38" s="117"/>
      <c r="R38" s="5"/>
    </row>
    <row r="39" spans="1:18" ht="12" customHeight="1" x14ac:dyDescent="0.2">
      <c r="A39" s="36"/>
      <c r="B39" s="74" t="s">
        <v>36</v>
      </c>
      <c r="C39" s="2"/>
      <c r="D39" s="3"/>
      <c r="E39" s="323"/>
      <c r="F39" s="306"/>
      <c r="G39" s="306"/>
      <c r="H39" s="307"/>
      <c r="I39" s="33"/>
      <c r="J39" s="68"/>
      <c r="K39" s="18"/>
      <c r="L39" s="39"/>
      <c r="M39" s="18"/>
      <c r="N39" s="18"/>
      <c r="O39" s="72"/>
      <c r="P39" s="116"/>
      <c r="Q39" s="117"/>
      <c r="R39" s="5"/>
    </row>
    <row r="40" spans="1:18" ht="12" customHeight="1" x14ac:dyDescent="0.2">
      <c r="A40" s="36"/>
      <c r="B40" s="74"/>
      <c r="C40" s="2" t="s">
        <v>80</v>
      </c>
      <c r="D40" s="75" t="s">
        <v>18</v>
      </c>
      <c r="E40" s="323">
        <v>2</v>
      </c>
      <c r="F40" s="306"/>
      <c r="G40" s="306">
        <v>0.5</v>
      </c>
      <c r="H40" s="307"/>
      <c r="I40" s="33"/>
      <c r="J40" s="68"/>
      <c r="K40" s="18"/>
      <c r="L40" s="39"/>
      <c r="M40" s="18"/>
      <c r="N40" s="18"/>
      <c r="O40" s="72">
        <v>0.5</v>
      </c>
      <c r="P40" s="116" t="s">
        <v>1</v>
      </c>
      <c r="Q40" s="117"/>
      <c r="R40" s="5"/>
    </row>
    <row r="41" spans="1:18" ht="12" customHeight="1" x14ac:dyDescent="0.2">
      <c r="A41" s="36"/>
      <c r="B41" s="74"/>
      <c r="C41" s="2" t="s">
        <v>81</v>
      </c>
      <c r="D41" s="3" t="s">
        <v>18</v>
      </c>
      <c r="E41" s="323">
        <v>2</v>
      </c>
      <c r="F41" s="318"/>
      <c r="G41" s="306">
        <v>5</v>
      </c>
      <c r="H41" s="307"/>
      <c r="I41" s="157"/>
      <c r="J41" s="68"/>
      <c r="K41" s="18"/>
      <c r="L41" s="39"/>
      <c r="M41" s="18"/>
      <c r="N41" s="18"/>
      <c r="O41" s="43">
        <v>5</v>
      </c>
      <c r="P41" s="116" t="s">
        <v>21</v>
      </c>
      <c r="Q41" s="117"/>
      <c r="R41" s="5"/>
    </row>
    <row r="42" spans="1:18" ht="12" customHeight="1" x14ac:dyDescent="0.2">
      <c r="A42" s="36"/>
      <c r="B42" s="74"/>
      <c r="C42" s="18" t="s">
        <v>82</v>
      </c>
      <c r="D42" s="3" t="s">
        <v>18</v>
      </c>
      <c r="E42" s="323">
        <v>2</v>
      </c>
      <c r="F42" s="306">
        <v>1</v>
      </c>
      <c r="G42" s="306">
        <v>1.2</v>
      </c>
      <c r="H42" s="307">
        <v>1.5</v>
      </c>
      <c r="I42" s="33"/>
      <c r="J42" s="68"/>
      <c r="K42" s="18"/>
      <c r="L42" s="39"/>
      <c r="M42" s="18"/>
      <c r="N42" s="18"/>
      <c r="O42" s="72">
        <v>1.2</v>
      </c>
      <c r="P42" s="116" t="s">
        <v>22</v>
      </c>
      <c r="Q42" s="117"/>
      <c r="R42" s="5"/>
    </row>
    <row r="43" spans="1:18" ht="12" customHeight="1" x14ac:dyDescent="0.2">
      <c r="A43" s="36"/>
      <c r="B43" s="74"/>
      <c r="C43" s="18" t="s">
        <v>25</v>
      </c>
      <c r="D43" s="3" t="s">
        <v>19</v>
      </c>
      <c r="E43" s="323">
        <v>2</v>
      </c>
      <c r="F43" s="312">
        <v>0.5</v>
      </c>
      <c r="G43" s="312">
        <v>0.75</v>
      </c>
      <c r="H43" s="319">
        <v>0.9</v>
      </c>
      <c r="I43" s="33"/>
      <c r="J43" s="68" t="s">
        <v>97</v>
      </c>
      <c r="K43" s="18"/>
      <c r="L43" s="39"/>
      <c r="M43" s="18"/>
      <c r="N43" s="18"/>
      <c r="O43" s="89">
        <v>0.75</v>
      </c>
      <c r="P43" s="116" t="s">
        <v>25</v>
      </c>
      <c r="Q43" s="117"/>
      <c r="R43" s="5"/>
    </row>
    <row r="44" spans="1:18" ht="12" customHeight="1" x14ac:dyDescent="0.2">
      <c r="A44" s="36"/>
      <c r="B44" s="74"/>
      <c r="C44" s="18" t="s">
        <v>47</v>
      </c>
      <c r="D44" s="3" t="s">
        <v>19</v>
      </c>
      <c r="E44" s="323">
        <v>2</v>
      </c>
      <c r="F44" s="312">
        <v>0.5</v>
      </c>
      <c r="G44" s="312">
        <v>0.6</v>
      </c>
      <c r="H44" s="319">
        <v>0.75</v>
      </c>
      <c r="I44" s="33"/>
      <c r="J44" s="68"/>
      <c r="K44" s="18"/>
      <c r="L44" s="39"/>
      <c r="M44" s="18"/>
      <c r="N44" s="18"/>
      <c r="O44" s="89">
        <v>0.6</v>
      </c>
      <c r="P44" s="116" t="s">
        <v>48</v>
      </c>
      <c r="Q44" s="117"/>
      <c r="R44" s="5"/>
    </row>
    <row r="45" spans="1:18" ht="12" customHeight="1" x14ac:dyDescent="0.2">
      <c r="A45" s="36"/>
      <c r="B45" s="74"/>
      <c r="C45" s="2"/>
      <c r="D45" s="3"/>
      <c r="E45" s="323"/>
      <c r="F45" s="306"/>
      <c r="G45" s="306"/>
      <c r="H45" s="307"/>
      <c r="I45" s="33"/>
      <c r="J45" s="68"/>
      <c r="K45" s="18"/>
      <c r="L45" s="39"/>
      <c r="M45" s="18"/>
      <c r="N45" s="18"/>
      <c r="O45" s="43"/>
      <c r="P45" s="116"/>
      <c r="Q45" s="117"/>
      <c r="R45" s="5"/>
    </row>
    <row r="46" spans="1:18" ht="12" customHeight="1" x14ac:dyDescent="0.2">
      <c r="A46" s="36"/>
      <c r="B46" s="74" t="s">
        <v>26</v>
      </c>
      <c r="C46" s="2"/>
      <c r="D46" s="3"/>
      <c r="E46" s="323"/>
      <c r="F46" s="306"/>
      <c r="G46" s="306"/>
      <c r="H46" s="307"/>
      <c r="I46" s="33"/>
      <c r="J46" s="68"/>
      <c r="K46" s="18"/>
      <c r="L46" s="39"/>
      <c r="M46" s="18"/>
      <c r="N46" s="18"/>
      <c r="O46" s="43"/>
      <c r="P46" s="116"/>
      <c r="Q46" s="117"/>
      <c r="R46" s="5"/>
    </row>
    <row r="47" spans="1:18" ht="12" customHeight="1" x14ac:dyDescent="0.2">
      <c r="A47" s="36"/>
      <c r="B47" s="74"/>
      <c r="C47" s="18" t="s">
        <v>68</v>
      </c>
      <c r="D47" s="3" t="s">
        <v>19</v>
      </c>
      <c r="E47" s="323">
        <v>2</v>
      </c>
      <c r="F47" s="312">
        <v>0.06</v>
      </c>
      <c r="G47" s="320">
        <v>0.1</v>
      </c>
      <c r="H47" s="319">
        <v>0.15</v>
      </c>
      <c r="I47" s="33"/>
      <c r="J47" s="255" t="s">
        <v>283</v>
      </c>
      <c r="K47" s="18"/>
      <c r="L47" s="39"/>
      <c r="M47" s="18"/>
      <c r="N47" s="18"/>
      <c r="O47" s="89">
        <v>0.1</v>
      </c>
      <c r="P47" s="116" t="s">
        <v>69</v>
      </c>
      <c r="Q47" s="117"/>
      <c r="R47" s="5"/>
    </row>
    <row r="48" spans="1:18" ht="12" customHeight="1" x14ac:dyDescent="0.2">
      <c r="A48" s="36"/>
      <c r="B48" s="74"/>
      <c r="C48" s="18" t="s">
        <v>70</v>
      </c>
      <c r="D48" s="3" t="s">
        <v>19</v>
      </c>
      <c r="E48" s="323">
        <v>2</v>
      </c>
      <c r="F48" s="312">
        <v>0.2</v>
      </c>
      <c r="G48" s="312">
        <v>0.4</v>
      </c>
      <c r="H48" s="319">
        <v>0.5</v>
      </c>
      <c r="I48" s="33"/>
      <c r="J48" s="255" t="s">
        <v>98</v>
      </c>
      <c r="K48" s="18"/>
      <c r="L48" s="39"/>
      <c r="M48" s="18"/>
      <c r="N48" s="18"/>
      <c r="O48" s="89">
        <v>0.4</v>
      </c>
      <c r="P48" s="116" t="s">
        <v>71</v>
      </c>
      <c r="Q48" s="117"/>
      <c r="R48" s="5"/>
    </row>
    <row r="49" spans="1:18" ht="12" customHeight="1" x14ac:dyDescent="0.2">
      <c r="A49" s="36"/>
      <c r="B49" s="74"/>
      <c r="C49" s="2"/>
      <c r="D49" s="3"/>
      <c r="E49" s="323"/>
      <c r="F49" s="312"/>
      <c r="G49" s="312"/>
      <c r="H49" s="319"/>
      <c r="I49" s="33"/>
      <c r="J49" s="68"/>
      <c r="K49" s="18"/>
      <c r="L49" s="39"/>
      <c r="M49" s="18"/>
      <c r="N49" s="18"/>
      <c r="O49" s="89"/>
      <c r="P49" s="116"/>
      <c r="Q49" s="117"/>
      <c r="R49" s="5"/>
    </row>
    <row r="50" spans="1:18" ht="12" customHeight="1" x14ac:dyDescent="0.2">
      <c r="A50" s="36"/>
      <c r="B50" s="74" t="s">
        <v>72</v>
      </c>
      <c r="C50" s="2"/>
      <c r="D50" s="3"/>
      <c r="E50" s="323"/>
      <c r="F50" s="312"/>
      <c r="G50" s="312"/>
      <c r="H50" s="319"/>
      <c r="I50" s="33"/>
      <c r="J50" s="68"/>
      <c r="K50" s="18"/>
      <c r="L50" s="39"/>
      <c r="M50" s="18"/>
      <c r="N50" s="18"/>
      <c r="O50" s="89"/>
      <c r="P50" s="116"/>
      <c r="Q50" s="117"/>
      <c r="R50" s="5"/>
    </row>
    <row r="51" spans="1:18" ht="12" customHeight="1" x14ac:dyDescent="0.2">
      <c r="A51" s="36"/>
      <c r="B51" s="74"/>
      <c r="C51" s="18" t="s">
        <v>73</v>
      </c>
      <c r="D51" s="3" t="s">
        <v>19</v>
      </c>
      <c r="E51" s="323">
        <v>2</v>
      </c>
      <c r="F51" s="312">
        <v>0.1</v>
      </c>
      <c r="G51" s="312">
        <v>0.2</v>
      </c>
      <c r="H51" s="319">
        <v>0.3</v>
      </c>
      <c r="I51" s="33"/>
      <c r="J51" s="255" t="s">
        <v>99</v>
      </c>
      <c r="K51" s="18"/>
      <c r="L51" s="39"/>
      <c r="M51" s="18"/>
      <c r="N51" s="18"/>
      <c r="O51" s="89">
        <v>0.2</v>
      </c>
      <c r="P51" s="116" t="s">
        <v>74</v>
      </c>
      <c r="Q51" s="117"/>
      <c r="R51" s="5"/>
    </row>
    <row r="52" spans="1:18" ht="12" customHeight="1" x14ac:dyDescent="0.2">
      <c r="A52" s="36"/>
      <c r="B52" s="74"/>
      <c r="C52" s="18" t="s">
        <v>75</v>
      </c>
      <c r="D52" s="3" t="s">
        <v>19</v>
      </c>
      <c r="E52" s="323">
        <v>2</v>
      </c>
      <c r="F52" s="312">
        <v>0.08</v>
      </c>
      <c r="G52" s="312">
        <v>0.1</v>
      </c>
      <c r="H52" s="319">
        <v>0.2</v>
      </c>
      <c r="I52" s="33"/>
      <c r="J52" s="68" t="s">
        <v>100</v>
      </c>
      <c r="K52" s="18"/>
      <c r="L52" s="39"/>
      <c r="M52" s="18"/>
      <c r="N52" s="18"/>
      <c r="O52" s="89">
        <v>0.1</v>
      </c>
      <c r="P52" s="116" t="s">
        <v>76</v>
      </c>
      <c r="Q52" s="117"/>
      <c r="R52" s="5"/>
    </row>
    <row r="53" spans="1:18" x14ac:dyDescent="0.2">
      <c r="A53" s="36"/>
      <c r="B53" s="74"/>
      <c r="C53" s="18" t="s">
        <v>77</v>
      </c>
      <c r="D53" s="3" t="s">
        <v>19</v>
      </c>
      <c r="E53" s="323">
        <v>2</v>
      </c>
      <c r="F53" s="312">
        <v>0.01</v>
      </c>
      <c r="G53" s="312">
        <v>0.04</v>
      </c>
      <c r="H53" s="319">
        <v>0.03</v>
      </c>
      <c r="I53" s="33"/>
      <c r="J53" s="255" t="s">
        <v>284</v>
      </c>
      <c r="K53" s="143"/>
      <c r="L53" s="39"/>
      <c r="M53" s="18"/>
      <c r="N53" s="18"/>
      <c r="O53" s="89">
        <v>0.04</v>
      </c>
      <c r="P53" s="116" t="s">
        <v>78</v>
      </c>
      <c r="Q53" s="117"/>
    </row>
    <row r="54" spans="1:18" x14ac:dyDescent="0.2">
      <c r="A54" s="36"/>
      <c r="B54" s="74"/>
      <c r="C54" s="18" t="s">
        <v>94</v>
      </c>
      <c r="D54" s="3" t="s">
        <v>19</v>
      </c>
      <c r="E54" s="323">
        <v>2</v>
      </c>
      <c r="F54" s="312">
        <v>0.15</v>
      </c>
      <c r="G54" s="312">
        <v>0.2</v>
      </c>
      <c r="H54" s="319">
        <v>0.25</v>
      </c>
      <c r="I54" s="33"/>
      <c r="J54" s="68" t="s">
        <v>101</v>
      </c>
      <c r="K54" s="18"/>
      <c r="L54" s="39"/>
      <c r="M54" s="18"/>
      <c r="N54" s="18"/>
      <c r="O54" s="89">
        <v>0.2</v>
      </c>
      <c r="P54" s="116" t="s">
        <v>91</v>
      </c>
      <c r="Q54" s="117"/>
      <c r="R54" s="5"/>
    </row>
    <row r="55" spans="1:18" x14ac:dyDescent="0.2">
      <c r="A55" s="36"/>
      <c r="B55" s="74"/>
      <c r="C55" s="18" t="s">
        <v>92</v>
      </c>
      <c r="D55" s="3" t="s">
        <v>19</v>
      </c>
      <c r="E55" s="323">
        <v>2</v>
      </c>
      <c r="F55" s="312">
        <v>0.01</v>
      </c>
      <c r="G55" s="312">
        <v>0.02</v>
      </c>
      <c r="H55" s="319">
        <v>2.5000000000000001E-2</v>
      </c>
      <c r="I55" s="33"/>
      <c r="J55" s="68" t="s">
        <v>101</v>
      </c>
      <c r="K55" s="18"/>
      <c r="L55" s="39"/>
      <c r="M55" s="18"/>
      <c r="N55" s="18"/>
      <c r="O55" s="89">
        <v>0.02</v>
      </c>
      <c r="P55" s="116" t="s">
        <v>93</v>
      </c>
      <c r="Q55" s="117"/>
      <c r="R55" s="5"/>
    </row>
    <row r="56" spans="1:18" x14ac:dyDescent="0.2">
      <c r="A56" s="36"/>
      <c r="B56" s="74"/>
      <c r="C56" s="2"/>
      <c r="D56" s="3"/>
      <c r="E56" s="323"/>
      <c r="F56" s="306"/>
      <c r="G56" s="306"/>
      <c r="H56" s="307"/>
      <c r="I56" s="33"/>
      <c r="J56" s="68"/>
      <c r="K56" s="18"/>
      <c r="L56" s="39"/>
      <c r="M56" s="18"/>
      <c r="N56" s="18"/>
      <c r="O56" s="43"/>
      <c r="P56" s="116"/>
      <c r="Q56" s="117"/>
      <c r="R56" s="5"/>
    </row>
    <row r="57" spans="1:18" x14ac:dyDescent="0.2">
      <c r="A57" s="36"/>
      <c r="B57" s="74" t="s">
        <v>27</v>
      </c>
      <c r="C57" s="2"/>
      <c r="D57" s="3"/>
      <c r="E57" s="323"/>
      <c r="F57" s="306"/>
      <c r="G57" s="306"/>
      <c r="H57" s="307"/>
      <c r="I57" s="33"/>
      <c r="J57" s="68"/>
      <c r="K57" s="18"/>
      <c r="L57" s="39"/>
      <c r="M57" s="18"/>
      <c r="N57" s="18"/>
      <c r="O57" s="43"/>
      <c r="P57" s="116"/>
      <c r="Q57" s="117"/>
      <c r="R57" s="5"/>
    </row>
    <row r="58" spans="1:18" x14ac:dyDescent="0.2">
      <c r="A58" s="36"/>
      <c r="B58" s="74"/>
      <c r="C58" s="18" t="s">
        <v>59</v>
      </c>
      <c r="D58" s="3" t="s">
        <v>2</v>
      </c>
      <c r="E58" s="323">
        <v>2</v>
      </c>
      <c r="F58" s="306">
        <v>3</v>
      </c>
      <c r="G58" s="306">
        <v>5</v>
      </c>
      <c r="H58" s="307">
        <v>7</v>
      </c>
      <c r="I58" s="33"/>
      <c r="J58" s="38"/>
      <c r="K58" s="18"/>
      <c r="L58" s="39"/>
      <c r="M58" s="18"/>
      <c r="N58" s="18"/>
      <c r="O58" s="43">
        <v>5</v>
      </c>
      <c r="P58" s="116" t="s">
        <v>60</v>
      </c>
      <c r="Q58" s="117"/>
      <c r="R58" s="5"/>
    </row>
    <row r="59" spans="1:18" x14ac:dyDescent="0.2">
      <c r="A59" s="36"/>
      <c r="B59" s="74"/>
      <c r="C59" s="18" t="s">
        <v>53</v>
      </c>
      <c r="D59" s="3" t="s">
        <v>19</v>
      </c>
      <c r="E59" s="323">
        <v>2</v>
      </c>
      <c r="F59" s="312">
        <v>0.3</v>
      </c>
      <c r="G59" s="312">
        <v>0.5</v>
      </c>
      <c r="H59" s="319">
        <v>0.8</v>
      </c>
      <c r="I59" s="33"/>
      <c r="J59" s="127"/>
      <c r="K59" s="18"/>
      <c r="L59" s="39"/>
      <c r="M59" s="18"/>
      <c r="N59" s="18"/>
      <c r="O59" s="120">
        <v>0.5</v>
      </c>
      <c r="P59" s="116" t="s">
        <v>50</v>
      </c>
      <c r="Q59" s="117"/>
      <c r="R59" s="5"/>
    </row>
    <row r="60" spans="1:18" x14ac:dyDescent="0.2">
      <c r="A60" s="36"/>
      <c r="B60" s="74"/>
      <c r="C60" s="18"/>
      <c r="D60" s="3"/>
      <c r="E60" s="323"/>
      <c r="F60" s="312"/>
      <c r="G60" s="312"/>
      <c r="H60" s="319"/>
      <c r="I60" s="33"/>
      <c r="J60" s="127"/>
      <c r="K60" s="18"/>
      <c r="L60" s="39"/>
      <c r="M60" s="18"/>
      <c r="N60" s="18"/>
      <c r="O60" s="120"/>
      <c r="P60" s="116"/>
      <c r="Q60" s="117"/>
      <c r="R60" s="5"/>
    </row>
    <row r="61" spans="1:18" x14ac:dyDescent="0.2">
      <c r="A61" s="36"/>
      <c r="B61" s="74" t="s">
        <v>259</v>
      </c>
      <c r="C61" s="18"/>
      <c r="D61" s="3"/>
      <c r="E61" s="323"/>
      <c r="F61" s="312"/>
      <c r="G61" s="312"/>
      <c r="H61" s="319"/>
      <c r="I61" s="33"/>
      <c r="J61" s="127"/>
      <c r="K61" s="18"/>
      <c r="L61" s="39"/>
      <c r="M61" s="18"/>
      <c r="N61" s="18"/>
      <c r="O61" s="120"/>
      <c r="P61" s="116"/>
      <c r="Q61" s="117"/>
      <c r="R61" s="5"/>
    </row>
    <row r="62" spans="1:18" x14ac:dyDescent="0.2">
      <c r="A62" s="36"/>
      <c r="B62" s="74"/>
      <c r="C62" s="170" t="s">
        <v>260</v>
      </c>
      <c r="D62" s="20" t="s">
        <v>261</v>
      </c>
      <c r="E62" s="323">
        <v>2</v>
      </c>
      <c r="F62" s="312"/>
      <c r="G62" s="308">
        <v>2024</v>
      </c>
      <c r="H62" s="319"/>
      <c r="I62" s="33"/>
      <c r="J62" s="127"/>
      <c r="K62" s="18"/>
      <c r="L62" s="39"/>
      <c r="M62" s="18"/>
      <c r="N62" s="18"/>
      <c r="O62" s="295">
        <v>2024</v>
      </c>
      <c r="P62" s="116" t="s">
        <v>264</v>
      </c>
      <c r="Q62" s="117"/>
      <c r="R62" s="5"/>
    </row>
    <row r="63" spans="1:18" x14ac:dyDescent="0.2">
      <c r="A63" s="36"/>
      <c r="B63" s="74"/>
      <c r="C63" s="170"/>
      <c r="D63" s="3"/>
      <c r="E63" s="323"/>
      <c r="F63" s="312"/>
      <c r="G63" s="312"/>
      <c r="H63" s="319"/>
      <c r="I63" s="33"/>
      <c r="J63" s="127"/>
      <c r="K63" s="18"/>
      <c r="L63" s="39"/>
      <c r="M63" s="18"/>
      <c r="N63" s="18"/>
      <c r="O63" s="120"/>
      <c r="P63" s="116"/>
      <c r="Q63" s="117"/>
      <c r="R63" s="5"/>
    </row>
    <row r="64" spans="1:18" x14ac:dyDescent="0.2">
      <c r="A64" s="36"/>
      <c r="B64" s="74" t="s">
        <v>262</v>
      </c>
      <c r="C64" s="18"/>
      <c r="D64" s="3"/>
      <c r="E64" s="323"/>
      <c r="F64" s="312"/>
      <c r="G64" s="312"/>
      <c r="H64" s="319"/>
      <c r="I64" s="33"/>
      <c r="J64" s="127"/>
      <c r="K64" s="18"/>
      <c r="L64" s="39"/>
      <c r="M64" s="18"/>
      <c r="N64" s="18"/>
      <c r="O64" s="120"/>
      <c r="P64" s="116"/>
      <c r="Q64" s="117"/>
      <c r="R64" s="5"/>
    </row>
    <row r="65" spans="1:19" x14ac:dyDescent="0.2">
      <c r="A65" s="36"/>
      <c r="B65" s="74"/>
      <c r="C65" s="170" t="s">
        <v>266</v>
      </c>
      <c r="D65" s="20" t="s">
        <v>263</v>
      </c>
      <c r="E65" s="323">
        <v>2</v>
      </c>
      <c r="F65" s="312"/>
      <c r="G65" s="308">
        <v>1</v>
      </c>
      <c r="H65" s="319"/>
      <c r="I65" s="33"/>
      <c r="J65" s="127"/>
      <c r="K65" s="18"/>
      <c r="L65" s="39"/>
      <c r="M65" s="18"/>
      <c r="N65" s="18"/>
      <c r="O65" s="295">
        <v>1</v>
      </c>
      <c r="P65" s="116" t="s">
        <v>268</v>
      </c>
      <c r="Q65" s="117"/>
      <c r="R65" s="5"/>
    </row>
    <row r="66" spans="1:19" x14ac:dyDescent="0.2">
      <c r="A66" s="36"/>
      <c r="B66" s="74"/>
      <c r="C66" s="170" t="s">
        <v>267</v>
      </c>
      <c r="D66" s="20" t="s">
        <v>263</v>
      </c>
      <c r="E66" s="323">
        <v>2</v>
      </c>
      <c r="F66" s="312"/>
      <c r="G66" s="308">
        <v>1</v>
      </c>
      <c r="H66" s="319"/>
      <c r="I66" s="33"/>
      <c r="J66" s="127"/>
      <c r="K66" s="18"/>
      <c r="L66" s="39"/>
      <c r="M66" s="18"/>
      <c r="N66" s="18"/>
      <c r="O66" s="295">
        <v>1</v>
      </c>
      <c r="P66" s="116" t="s">
        <v>269</v>
      </c>
      <c r="Q66" s="117"/>
      <c r="R66" s="5"/>
    </row>
    <row r="67" spans="1:19" x14ac:dyDescent="0.2">
      <c r="A67" s="36"/>
      <c r="B67" s="74"/>
      <c r="C67" s="170" t="s">
        <v>143</v>
      </c>
      <c r="D67" s="20" t="s">
        <v>263</v>
      </c>
      <c r="E67" s="323">
        <v>2</v>
      </c>
      <c r="F67" s="312"/>
      <c r="G67" s="308">
        <v>1</v>
      </c>
      <c r="H67" s="319"/>
      <c r="I67" s="33"/>
      <c r="J67" s="127"/>
      <c r="K67" s="18"/>
      <c r="L67" s="39"/>
      <c r="M67" s="18"/>
      <c r="N67" s="18"/>
      <c r="O67" s="295">
        <v>1</v>
      </c>
      <c r="P67" s="116" t="s">
        <v>270</v>
      </c>
      <c r="Q67" s="117"/>
      <c r="R67" s="5"/>
    </row>
    <row r="68" spans="1:19" x14ac:dyDescent="0.2">
      <c r="A68" s="36"/>
      <c r="B68" s="61"/>
      <c r="C68" s="294" t="s">
        <v>253</v>
      </c>
      <c r="D68" s="249" t="s">
        <v>263</v>
      </c>
      <c r="E68" s="324">
        <v>2</v>
      </c>
      <c r="F68" s="321"/>
      <c r="G68" s="321">
        <v>0</v>
      </c>
      <c r="H68" s="322"/>
      <c r="I68" s="67"/>
      <c r="J68" s="52"/>
      <c r="K68" s="62"/>
      <c r="L68" s="53"/>
      <c r="M68" s="18"/>
      <c r="N68" s="18"/>
      <c r="O68" s="296">
        <v>0</v>
      </c>
      <c r="P68" s="118" t="s">
        <v>265</v>
      </c>
      <c r="Q68" s="119"/>
      <c r="R68" s="5"/>
    </row>
    <row r="69" spans="1:19" x14ac:dyDescent="0.2">
      <c r="A69" s="36"/>
      <c r="B69" s="40"/>
      <c r="C69" s="2"/>
      <c r="D69" s="3"/>
      <c r="E69" s="42"/>
      <c r="F69" s="15"/>
      <c r="G69" s="15"/>
      <c r="H69" s="25"/>
      <c r="I69" s="30"/>
      <c r="J69" s="30"/>
      <c r="K69" s="19"/>
      <c r="O69" s="20"/>
      <c r="P69" s="5"/>
      <c r="Q69" s="5"/>
      <c r="R69" s="5"/>
    </row>
    <row r="70" spans="1:19" ht="16" x14ac:dyDescent="0.2">
      <c r="A70" s="16" t="s">
        <v>282</v>
      </c>
      <c r="B70" s="40"/>
      <c r="C70" s="2"/>
      <c r="D70" s="3"/>
      <c r="E70" s="42"/>
      <c r="F70" s="15"/>
      <c r="G70" s="15"/>
      <c r="H70" s="25"/>
      <c r="I70" s="30"/>
      <c r="J70" s="30"/>
      <c r="K70" s="19"/>
      <c r="O70" s="20"/>
      <c r="P70" s="5"/>
      <c r="Q70" s="5"/>
      <c r="R70" s="5"/>
    </row>
    <row r="71" spans="1:19" x14ac:dyDescent="0.2">
      <c r="C71" s="2"/>
      <c r="D71" s="3" t="s">
        <v>62</v>
      </c>
      <c r="E71" s="133" t="s">
        <v>63</v>
      </c>
      <c r="F71" s="134" t="s">
        <v>64</v>
      </c>
      <c r="G71" s="134" t="s">
        <v>65</v>
      </c>
      <c r="H71" s="25" t="s">
        <v>66</v>
      </c>
      <c r="I71" s="30" t="s">
        <v>11</v>
      </c>
      <c r="J71" s="30"/>
      <c r="K71" s="19"/>
      <c r="O71" s="20"/>
      <c r="P71" s="5"/>
      <c r="Q71" s="5"/>
    </row>
    <row r="72" spans="1:19" x14ac:dyDescent="0.2">
      <c r="A72" s="36"/>
      <c r="B72" s="40"/>
      <c r="C72" s="135" t="s">
        <v>4</v>
      </c>
      <c r="D72" s="136">
        <f>'Life Stage Assessments'!D4</f>
        <v>1</v>
      </c>
      <c r="E72" s="136">
        <f>'Life Stage Assessments'!E4</f>
        <v>1</v>
      </c>
      <c r="F72" s="136">
        <f>'Life Stage Assessments'!F4</f>
        <v>1</v>
      </c>
      <c r="G72" s="136">
        <f>'Life Stage Assessments'!G4</f>
        <v>1</v>
      </c>
      <c r="H72" s="137">
        <f>D72*E72*F72*G72</f>
        <v>1</v>
      </c>
      <c r="I72" s="336" t="s">
        <v>40</v>
      </c>
      <c r="J72" s="337"/>
      <c r="K72" s="19"/>
      <c r="O72" s="20"/>
      <c r="P72" s="5"/>
      <c r="Q72" s="5"/>
    </row>
    <row r="73" spans="1:19" x14ac:dyDescent="0.2">
      <c r="B73" s="40"/>
      <c r="C73" s="91" t="s">
        <v>0</v>
      </c>
      <c r="D73" s="77">
        <f>'Life Stage Assessments'!D5</f>
        <v>0.8</v>
      </c>
      <c r="E73" s="77">
        <f>'Life Stage Assessments'!E5</f>
        <v>0.6</v>
      </c>
      <c r="F73" s="77">
        <f>'Life Stage Assessments'!F5</f>
        <v>0.8</v>
      </c>
      <c r="G73" s="77">
        <f>'Life Stage Assessments'!G5</f>
        <v>0.8</v>
      </c>
      <c r="H73" s="138">
        <f t="shared" ref="H73:H74" si="0">D73*E73*F73*G73</f>
        <v>0.30720000000000003</v>
      </c>
      <c r="I73" s="116" t="s">
        <v>24</v>
      </c>
      <c r="J73" s="82"/>
      <c r="K73" s="19"/>
      <c r="L73" s="111"/>
      <c r="O73" s="20"/>
      <c r="P73" s="5"/>
      <c r="Q73" s="5"/>
    </row>
    <row r="74" spans="1:19" x14ac:dyDescent="0.2">
      <c r="B74" s="40"/>
      <c r="C74" s="139" t="s">
        <v>67</v>
      </c>
      <c r="D74" s="140">
        <f>'Life Stage Assessments'!D6</f>
        <v>0.7</v>
      </c>
      <c r="E74" s="140">
        <f>'Life Stage Assessments'!E6</f>
        <v>0.75</v>
      </c>
      <c r="F74" s="140">
        <f>'Life Stage Assessments'!F6</f>
        <v>0.7</v>
      </c>
      <c r="G74" s="140">
        <f>'Life Stage Assessments'!G6</f>
        <v>0.8</v>
      </c>
      <c r="H74" s="141">
        <f t="shared" si="0"/>
        <v>0.29399999999999998</v>
      </c>
      <c r="I74" s="118" t="s">
        <v>41</v>
      </c>
      <c r="J74" s="66"/>
      <c r="K74" s="19"/>
      <c r="L74" s="111"/>
      <c r="O74" s="20"/>
      <c r="P74" s="5"/>
      <c r="Q74" s="5"/>
    </row>
    <row r="75" spans="1:19" x14ac:dyDescent="0.2">
      <c r="E75"/>
      <c r="F75" s="1"/>
      <c r="J75" s="26"/>
      <c r="M75" s="23"/>
      <c r="N75" s="23"/>
      <c r="O75" s="23"/>
      <c r="P75" s="35"/>
      <c r="Q75" s="35"/>
    </row>
    <row r="76" spans="1:19" ht="16" x14ac:dyDescent="0.2">
      <c r="A76" s="16" t="s">
        <v>17</v>
      </c>
      <c r="E76"/>
      <c r="F76" s="1"/>
      <c r="J76" s="26"/>
      <c r="M76" s="23"/>
      <c r="N76" s="35"/>
      <c r="O76" s="5"/>
      <c r="S76" s="5" t="s">
        <v>105</v>
      </c>
    </row>
    <row r="77" spans="1:19" x14ac:dyDescent="0.2">
      <c r="B77" s="4" t="str">
        <f>CONCATENATE("Total Addressable Market ",projectedYear)</f>
        <v>Total Addressable Market 2024</v>
      </c>
      <c r="C77" s="4"/>
      <c r="D77" s="14"/>
      <c r="E77" s="88"/>
      <c r="F77" s="84"/>
      <c r="G77" s="84"/>
      <c r="J77" s="86"/>
      <c r="K77" s="87"/>
      <c r="L77" s="85"/>
      <c r="M77" s="85"/>
      <c r="N77" s="5"/>
      <c r="O77" s="5"/>
      <c r="S77" s="168">
        <f>M81+M83+M85</f>
        <v>9.0316800000000003E-2</v>
      </c>
    </row>
    <row r="78" spans="1:19" x14ac:dyDescent="0.2">
      <c r="C78" s="4"/>
      <c r="D78" s="14"/>
      <c r="E78" s="88"/>
      <c r="F78" s="84"/>
      <c r="G78" s="86"/>
      <c r="J78" s="86"/>
      <c r="K78" s="87"/>
      <c r="L78" s="85"/>
      <c r="M78" s="112"/>
      <c r="O78" s="90" t="s">
        <v>57</v>
      </c>
      <c r="P78" s="92"/>
      <c r="Q78" s="90" t="s">
        <v>52</v>
      </c>
    </row>
    <row r="79" spans="1:19" x14ac:dyDescent="0.2">
      <c r="C79" s="11" t="s">
        <v>162</v>
      </c>
      <c r="D79"/>
      <c r="E79"/>
      <c r="F79" s="84"/>
      <c r="G79" s="86"/>
      <c r="I79" s="128" t="s">
        <v>285</v>
      </c>
      <c r="J79" s="86"/>
      <c r="K79" s="87"/>
      <c r="L79" s="85"/>
      <c r="M79" s="90" t="s">
        <v>56</v>
      </c>
      <c r="N79" s="113" t="s">
        <v>55</v>
      </c>
      <c r="O79" s="90" t="s">
        <v>9</v>
      </c>
      <c r="P79" s="90" t="s">
        <v>79</v>
      </c>
      <c r="Q79" s="90" t="s">
        <v>79</v>
      </c>
      <c r="S79" s="5" t="s">
        <v>106</v>
      </c>
    </row>
    <row r="80" spans="1:19" x14ac:dyDescent="0.2">
      <c r="C80" s="2" t="s">
        <v>163</v>
      </c>
      <c r="D80" s="2" t="s">
        <v>139</v>
      </c>
      <c r="E80" s="2">
        <f>big_number</f>
        <v>800</v>
      </c>
      <c r="F80" s="84"/>
      <c r="G80" s="86"/>
      <c r="I80" s="86"/>
      <c r="J80" s="86"/>
      <c r="K80" s="87"/>
      <c r="L80" s="85"/>
      <c r="N80" s="85"/>
      <c r="O80" s="84"/>
      <c r="P80" s="125"/>
      <c r="S80" s="169">
        <f>(Q81+Q83+Q85)/S77</f>
        <v>87.741935483870961</v>
      </c>
    </row>
    <row r="81" spans="3:23" x14ac:dyDescent="0.2">
      <c r="C81" s="13" t="s">
        <v>164</v>
      </c>
      <c r="D81" s="13" t="s">
        <v>19</v>
      </c>
      <c r="E81" s="13">
        <f>big_fraction</f>
        <v>0.8</v>
      </c>
      <c r="F81" s="84"/>
      <c r="G81" s="86"/>
      <c r="J81" s="86"/>
      <c r="K81" s="87"/>
      <c r="L81" s="104" t="s">
        <v>43</v>
      </c>
      <c r="M81" s="146">
        <f>L82*K84*J86*I88</f>
        <v>9.0316800000000003E-3</v>
      </c>
      <c r="N81" s="85">
        <f>SweetspotTAM*KingMktShare</f>
        <v>1088</v>
      </c>
      <c r="O81" s="85">
        <f>N81*SalesMult</f>
        <v>5440</v>
      </c>
      <c r="P81" s="126">
        <f>O81*E$130/Investment</f>
        <v>219.35483870967741</v>
      </c>
      <c r="Q81" s="121">
        <f>M81*P81</f>
        <v>1.9811427096774192</v>
      </c>
    </row>
    <row r="82" spans="3:23" x14ac:dyDescent="0.2">
      <c r="C82" t="s">
        <v>165</v>
      </c>
      <c r="D82" t="s">
        <v>139</v>
      </c>
      <c r="E82">
        <f>E80*E81</f>
        <v>640</v>
      </c>
      <c r="F82" s="84"/>
      <c r="G82" s="86"/>
      <c r="I82" s="86"/>
      <c r="J82" s="86"/>
      <c r="K82" s="87"/>
      <c r="L82" s="91">
        <f>KingChance</f>
        <v>0.1</v>
      </c>
      <c r="M82" s="111"/>
      <c r="N82" s="85"/>
      <c r="O82" s="85"/>
      <c r="P82" s="126"/>
    </row>
    <row r="83" spans="3:23" x14ac:dyDescent="0.2">
      <c r="C83" s="13" t="s">
        <v>166</v>
      </c>
      <c r="D83" s="13" t="s">
        <v>167</v>
      </c>
      <c r="E83" s="13">
        <f>big_hires</f>
        <v>2000</v>
      </c>
      <c r="F83" s="84"/>
      <c r="G83" s="86"/>
      <c r="I83" s="86"/>
      <c r="J83" s="86"/>
      <c r="K83" s="102" t="s">
        <v>6</v>
      </c>
      <c r="L83" s="105" t="s">
        <v>44</v>
      </c>
      <c r="M83" s="146">
        <f>I88*J86*K84*L84</f>
        <v>3.6126720000000001E-2</v>
      </c>
      <c r="N83" s="85">
        <f>SweetspotTAM*PrinceMktShare</f>
        <v>544</v>
      </c>
      <c r="O83" s="85">
        <f>N83*SalesMult</f>
        <v>2720</v>
      </c>
      <c r="P83" s="126">
        <f>O83*E$130/Investment</f>
        <v>109.6774193548387</v>
      </c>
      <c r="Q83" s="121">
        <f>M83*P83</f>
        <v>3.9622854193548385</v>
      </c>
    </row>
    <row r="84" spans="3:23" ht="15" thickBot="1" x14ac:dyDescent="0.25">
      <c r="C84" t="s">
        <v>168</v>
      </c>
      <c r="D84" t="s">
        <v>95</v>
      </c>
      <c r="E84">
        <f>E82*E83/1000000</f>
        <v>1.28</v>
      </c>
      <c r="F84" s="84"/>
      <c r="G84" s="86"/>
      <c r="I84" s="86"/>
      <c r="J84" s="86"/>
      <c r="K84" s="100">
        <f>MainstreamSuccess</f>
        <v>0.29399999999999998</v>
      </c>
      <c r="L84" s="91">
        <f>PrinceChance</f>
        <v>0.4</v>
      </c>
      <c r="M84" s="111"/>
      <c r="N84" s="85"/>
      <c r="O84" s="85"/>
      <c r="P84" s="126"/>
      <c r="Q84" s="4"/>
    </row>
    <row r="85" spans="3:23" ht="15" thickBot="1" x14ac:dyDescent="0.25">
      <c r="C85" s="13" t="s">
        <v>169</v>
      </c>
      <c r="D85" s="13" t="s">
        <v>170</v>
      </c>
      <c r="E85" s="13">
        <f>big_apps</f>
        <v>20</v>
      </c>
      <c r="F85" s="84"/>
      <c r="G85" s="86"/>
      <c r="I85" s="86"/>
      <c r="J85" s="97" t="s">
        <v>0</v>
      </c>
      <c r="K85" s="101"/>
      <c r="L85" s="105" t="s">
        <v>51</v>
      </c>
      <c r="M85" s="146">
        <f>I88*J86*K84*L86</f>
        <v>4.5158400000000001E-2</v>
      </c>
      <c r="N85" s="85">
        <f>SweetspotTAM*SerfMktShare</f>
        <v>217.6</v>
      </c>
      <c r="O85" s="85">
        <f>N85*SalesMult</f>
        <v>1088</v>
      </c>
      <c r="P85" s="126">
        <f>O85*E$130/Investment</f>
        <v>43.87096774193548</v>
      </c>
      <c r="Q85" s="121">
        <f>M85*P85</f>
        <v>1.9811427096774192</v>
      </c>
      <c r="U85" s="277" t="s">
        <v>250</v>
      </c>
      <c r="V85" s="278" t="s">
        <v>251</v>
      </c>
      <c r="W85" s="279" t="s">
        <v>252</v>
      </c>
    </row>
    <row r="86" spans="3:23" x14ac:dyDescent="0.2">
      <c r="C86" t="s">
        <v>171</v>
      </c>
      <c r="D86" t="s">
        <v>95</v>
      </c>
      <c r="E86">
        <f>E84*E85</f>
        <v>25.6</v>
      </c>
      <c r="F86" s="84"/>
      <c r="G86" s="86"/>
      <c r="I86" s="86"/>
      <c r="J86" s="94">
        <f>CrossChasm</f>
        <v>0.30720000000000003</v>
      </c>
      <c r="K86" s="101"/>
      <c r="L86" s="2">
        <f>1-L84-L82</f>
        <v>0.5</v>
      </c>
      <c r="M86" s="111"/>
      <c r="N86" s="85"/>
      <c r="O86" s="85"/>
      <c r="P86" s="125"/>
      <c r="Q86" s="4"/>
      <c r="U86" s="280" t="s">
        <v>266</v>
      </c>
      <c r="V86" s="281">
        <f>E88</f>
        <v>2560</v>
      </c>
      <c r="W86" s="282">
        <f>sweetSpot_Large</f>
        <v>1</v>
      </c>
    </row>
    <row r="87" spans="3:23" x14ac:dyDescent="0.2">
      <c r="C87" s="13" t="s">
        <v>172</v>
      </c>
      <c r="D87" s="13" t="s">
        <v>85</v>
      </c>
      <c r="E87" s="352">
        <f>big_fee</f>
        <v>100</v>
      </c>
      <c r="F87" s="84"/>
      <c r="G87" s="86"/>
      <c r="I87" s="108" t="s">
        <v>4</v>
      </c>
      <c r="J87" s="95"/>
      <c r="K87" s="103" t="s">
        <v>5</v>
      </c>
      <c r="L87" s="106"/>
      <c r="M87" s="111">
        <f>I88*J86*K88</f>
        <v>0.2168832</v>
      </c>
      <c r="N87" s="85">
        <f>SweetspotTAM*NicheSize*NicheMarketShare</f>
        <v>21.76</v>
      </c>
      <c r="O87" s="85">
        <f>N87*SalesMult*NicheMultDisc</f>
        <v>54.400000000000006</v>
      </c>
      <c r="P87" s="126">
        <f>O87*E$131/Investment</f>
        <v>3.5096774193548388</v>
      </c>
      <c r="Q87" s="121">
        <f>M87*P87</f>
        <v>0.76119006967741931</v>
      </c>
      <c r="U87" s="280" t="s">
        <v>271</v>
      </c>
      <c r="V87" s="281">
        <f>E99</f>
        <v>2400</v>
      </c>
      <c r="W87" s="282">
        <f>sweetSpot_Med</f>
        <v>1</v>
      </c>
    </row>
    <row r="88" spans="3:23" x14ac:dyDescent="0.2">
      <c r="C88" t="s">
        <v>84</v>
      </c>
      <c r="D88" t="s">
        <v>173</v>
      </c>
      <c r="E88" s="351">
        <f>E87*E86</f>
        <v>2560</v>
      </c>
      <c r="F88" s="84"/>
      <c r="G88" s="86"/>
      <c r="I88" s="110">
        <f>EarlySuccess</f>
        <v>1</v>
      </c>
      <c r="J88" s="96"/>
      <c r="K88" s="99">
        <f>1-MainstreamSuccess</f>
        <v>0.70599999999999996</v>
      </c>
      <c r="L88" s="85"/>
      <c r="M88" s="111"/>
      <c r="N88" s="85"/>
      <c r="O88" s="85"/>
      <c r="P88" s="125"/>
      <c r="Q88" s="4"/>
      <c r="U88" s="280" t="s">
        <v>143</v>
      </c>
      <c r="V88" s="281">
        <f>E110</f>
        <v>480</v>
      </c>
      <c r="W88" s="282">
        <f>sweetSpot_Small</f>
        <v>1</v>
      </c>
    </row>
    <row r="89" spans="3:23" ht="15" thickBot="1" x14ac:dyDescent="0.25">
      <c r="D89"/>
      <c r="E89"/>
      <c r="F89" s="84"/>
      <c r="G89" s="86"/>
      <c r="I89" s="95"/>
      <c r="J89" s="98" t="s">
        <v>54</v>
      </c>
      <c r="K89" s="107"/>
      <c r="L89" s="106"/>
      <c r="M89" s="111">
        <f>I88*J90</f>
        <v>0.69279999999999997</v>
      </c>
      <c r="N89" s="85">
        <v>0</v>
      </c>
      <c r="O89" s="85">
        <v>0</v>
      </c>
      <c r="P89" s="125">
        <v>0</v>
      </c>
      <c r="Q89" s="121">
        <f>M89*P89</f>
        <v>0</v>
      </c>
      <c r="U89" s="283" t="s">
        <v>253</v>
      </c>
      <c r="V89" s="284">
        <f>E114</f>
        <v>10880</v>
      </c>
      <c r="W89" s="285">
        <f>sweetSpot_Intl</f>
        <v>0</v>
      </c>
    </row>
    <row r="90" spans="3:23" x14ac:dyDescent="0.2">
      <c r="C90" s="11" t="s">
        <v>142</v>
      </c>
      <c r="D90"/>
      <c r="E90"/>
      <c r="F90" s="84"/>
      <c r="G90" s="86"/>
      <c r="I90" s="109"/>
      <c r="J90" s="93">
        <f>1-CrossChasm</f>
        <v>0.69279999999999997</v>
      </c>
      <c r="K90" s="87"/>
      <c r="L90" s="85"/>
      <c r="M90" s="111"/>
      <c r="N90" s="85"/>
      <c r="O90" s="85"/>
      <c r="P90" s="125"/>
      <c r="Q90" s="4"/>
    </row>
    <row r="91" spans="3:23" x14ac:dyDescent="0.2">
      <c r="C91" t="s">
        <v>163</v>
      </c>
      <c r="D91" t="s">
        <v>139</v>
      </c>
      <c r="E91">
        <f>medium_number</f>
        <v>4000</v>
      </c>
      <c r="F91" s="84"/>
      <c r="G91" s="86"/>
      <c r="I91" s="95"/>
      <c r="J91" s="86"/>
      <c r="K91" s="87"/>
      <c r="L91" s="85"/>
      <c r="M91" s="111"/>
      <c r="N91" s="85"/>
      <c r="O91" s="85"/>
      <c r="P91" s="125"/>
      <c r="Q91" s="4"/>
    </row>
    <row r="92" spans="3:23" x14ac:dyDescent="0.2">
      <c r="C92" s="13" t="s">
        <v>164</v>
      </c>
      <c r="D92" s="13" t="s">
        <v>19</v>
      </c>
      <c r="E92" s="13">
        <f>medium_fraction</f>
        <v>0.6</v>
      </c>
      <c r="F92" s="84"/>
      <c r="G92" s="86"/>
      <c r="I92" s="98" t="s">
        <v>3</v>
      </c>
      <c r="J92" s="97"/>
      <c r="K92" s="107"/>
      <c r="L92" s="106"/>
      <c r="M92" s="111">
        <f>I93</f>
        <v>0</v>
      </c>
      <c r="N92" s="85">
        <v>0</v>
      </c>
      <c r="O92" s="85">
        <v>0</v>
      </c>
      <c r="P92" s="125">
        <v>0</v>
      </c>
      <c r="Q92" s="121">
        <f>M92*P92</f>
        <v>0</v>
      </c>
      <c r="U92" s="5" t="s">
        <v>254</v>
      </c>
      <c r="V92" s="152" t="s">
        <v>18</v>
      </c>
      <c r="W92" s="286">
        <f>SUMPRODUCT(V86:V89,W86:W89)</f>
        <v>5440</v>
      </c>
    </row>
    <row r="93" spans="3:23" x14ac:dyDescent="0.2">
      <c r="C93" t="s">
        <v>165</v>
      </c>
      <c r="D93" t="s">
        <v>139</v>
      </c>
      <c r="E93">
        <f>E91*E92</f>
        <v>2400</v>
      </c>
      <c r="F93" s="84"/>
      <c r="G93" s="86"/>
      <c r="I93" s="93">
        <f>1-EarlySuccess</f>
        <v>0</v>
      </c>
      <c r="J93" s="86"/>
      <c r="K93" s="87"/>
      <c r="L93" s="85"/>
      <c r="M93" s="85"/>
      <c r="N93" s="84"/>
      <c r="O93" s="84"/>
      <c r="P93" s="84"/>
      <c r="Q93" s="4"/>
      <c r="W93" s="286"/>
    </row>
    <row r="94" spans="3:23" x14ac:dyDescent="0.2">
      <c r="C94" s="13" t="s">
        <v>166</v>
      </c>
      <c r="D94" s="13" t="s">
        <v>167</v>
      </c>
      <c r="E94" s="13">
        <f>medium_hires</f>
        <v>500</v>
      </c>
      <c r="F94" s="21"/>
      <c r="G94" s="86"/>
      <c r="I94" s="86"/>
      <c r="J94" s="86"/>
      <c r="K94" s="87"/>
      <c r="L94" s="85"/>
      <c r="M94" s="244">
        <f>SUM(M81:M92)</f>
        <v>1</v>
      </c>
      <c r="N94" s="245"/>
      <c r="O94" s="245"/>
      <c r="P94" s="246"/>
      <c r="Q94" s="247">
        <f t="array" ref="Q94">SUM(M81:M92*P81:P92)</f>
        <v>8.6857609083870955</v>
      </c>
      <c r="U94" s="5" t="s">
        <v>84</v>
      </c>
      <c r="V94" s="152" t="s">
        <v>18</v>
      </c>
      <c r="W94" s="286">
        <f>SUM(V86:V89)</f>
        <v>16320</v>
      </c>
    </row>
    <row r="95" spans="3:23" x14ac:dyDescent="0.2">
      <c r="C95" s="246" t="s">
        <v>168</v>
      </c>
      <c r="D95" s="246" t="s">
        <v>95</v>
      </c>
      <c r="E95" s="246">
        <f>E93*E94/1000000</f>
        <v>1.2</v>
      </c>
      <c r="F95" s="132"/>
      <c r="G95" s="86"/>
      <c r="I95" s="122"/>
      <c r="J95" s="122"/>
      <c r="K95" s="123"/>
      <c r="L95" s="124"/>
      <c r="M95" s="171" t="s">
        <v>230</v>
      </c>
      <c r="N95" s="4"/>
      <c r="Q95" s="121">
        <f>IF(SUM(M81:M87)=0,0,Q94/SUM(M81:M87))</f>
        <v>28.273961290322575</v>
      </c>
    </row>
    <row r="96" spans="3:23" x14ac:dyDescent="0.2">
      <c r="C96" s="13" t="s">
        <v>169</v>
      </c>
      <c r="D96" s="13" t="s">
        <v>170</v>
      </c>
      <c r="E96" s="13">
        <f>medium_apps</f>
        <v>20</v>
      </c>
      <c r="F96" s="132"/>
      <c r="H96" s="3"/>
      <c r="I96" s="122"/>
      <c r="J96" s="122"/>
      <c r="K96" s="123"/>
      <c r="L96" s="124"/>
      <c r="M96" s="171" t="s">
        <v>245</v>
      </c>
      <c r="N96" s="84"/>
      <c r="O96" s="84"/>
      <c r="P96" s="84"/>
      <c r="Q96" s="271">
        <f>IF(SUM(M81:M85)=0,0,SUM(Q81:Q85)/SUM(M81:M85))</f>
        <v>87.741935483870961</v>
      </c>
    </row>
    <row r="97" spans="3:22" x14ac:dyDescent="0.2">
      <c r="C97" t="s">
        <v>171</v>
      </c>
      <c r="D97" t="s">
        <v>95</v>
      </c>
      <c r="E97">
        <f>E95*E96</f>
        <v>24</v>
      </c>
      <c r="F97" s="132"/>
      <c r="H97" s="130"/>
      <c r="I97" s="122"/>
      <c r="J97" s="122"/>
      <c r="K97" s="123"/>
      <c r="L97" s="124"/>
      <c r="M97" s="272" t="s">
        <v>246</v>
      </c>
      <c r="N97" s="171"/>
      <c r="O97" s="171"/>
      <c r="P97" s="273"/>
      <c r="Q97" s="274">
        <f>SUM(M81:M87)</f>
        <v>0.30720000000000003</v>
      </c>
    </row>
    <row r="98" spans="3:22" x14ac:dyDescent="0.2">
      <c r="C98" s="13" t="s">
        <v>172</v>
      </c>
      <c r="D98" s="13" t="s">
        <v>85</v>
      </c>
      <c r="E98" s="352">
        <f>medium_fee</f>
        <v>100</v>
      </c>
      <c r="F98" s="132"/>
      <c r="H98" s="130"/>
      <c r="I98" s="122"/>
      <c r="J98" s="122"/>
      <c r="K98" s="123"/>
      <c r="L98" s="124"/>
      <c r="M98" s="272" t="s">
        <v>247</v>
      </c>
      <c r="N98" s="171"/>
      <c r="O98" s="171"/>
      <c r="P98" s="273"/>
      <c r="Q98" s="274">
        <f>SUM(M81:M85)</f>
        <v>9.0316800000000003E-2</v>
      </c>
    </row>
    <row r="99" spans="3:22" x14ac:dyDescent="0.2">
      <c r="C99" t="s">
        <v>84</v>
      </c>
      <c r="D99" t="s">
        <v>173</v>
      </c>
      <c r="E99" s="351">
        <f>E98*E97</f>
        <v>2400</v>
      </c>
      <c r="F99" s="132"/>
      <c r="H99" s="20"/>
      <c r="I99" s="122"/>
      <c r="J99" s="122"/>
      <c r="K99" s="123"/>
      <c r="L99" s="124"/>
      <c r="M99" s="188" t="s">
        <v>248</v>
      </c>
      <c r="N99" s="84"/>
      <c r="O99" s="84"/>
      <c r="P99" s="84"/>
      <c r="Q99" s="275">
        <f>pFailCrossChasm</f>
        <v>0.69279999999999997</v>
      </c>
    </row>
    <row r="100" spans="3:22" x14ac:dyDescent="0.2">
      <c r="D100"/>
      <c r="E100"/>
      <c r="F100" s="132"/>
      <c r="H100" s="130"/>
      <c r="I100" s="122"/>
      <c r="J100" s="122"/>
      <c r="K100" s="123"/>
      <c r="L100" s="124"/>
      <c r="M100" s="276" t="s">
        <v>249</v>
      </c>
      <c r="N100" s="5"/>
      <c r="O100" s="5"/>
      <c r="P100" s="5"/>
      <c r="Q100" s="111">
        <f>pFailEarlyStage</f>
        <v>0</v>
      </c>
    </row>
    <row r="101" spans="3:22" x14ac:dyDescent="0.2">
      <c r="C101" s="11" t="s">
        <v>143</v>
      </c>
      <c r="D101"/>
      <c r="E101"/>
      <c r="F101" s="132"/>
      <c r="G101" s="86"/>
      <c r="H101" s="20"/>
      <c r="I101" s="122"/>
      <c r="J101" s="122"/>
      <c r="K101" s="123"/>
      <c r="L101" s="124"/>
      <c r="M101" s="171"/>
      <c r="N101" s="4"/>
      <c r="Q101" s="121"/>
    </row>
    <row r="102" spans="3:22" x14ac:dyDescent="0.2">
      <c r="C102" t="s">
        <v>163</v>
      </c>
      <c r="D102" t="s">
        <v>139</v>
      </c>
      <c r="E102">
        <f>small_number</f>
        <v>30000</v>
      </c>
      <c r="F102" s="132"/>
      <c r="G102" s="86"/>
      <c r="H102" s="20"/>
      <c r="I102" s="122"/>
      <c r="J102" s="122"/>
      <c r="K102" s="123"/>
      <c r="L102" s="124"/>
      <c r="M102" s="171"/>
      <c r="N102" s="4"/>
      <c r="Q102" s="121"/>
    </row>
    <row r="103" spans="3:22" x14ac:dyDescent="0.2">
      <c r="C103" s="13" t="s">
        <v>164</v>
      </c>
      <c r="D103" s="13" t="s">
        <v>19</v>
      </c>
      <c r="E103" s="13">
        <f>small_fraction</f>
        <v>0.4</v>
      </c>
      <c r="F103" s="132"/>
      <c r="G103" s="86"/>
      <c r="H103" s="20"/>
      <c r="I103" s="20"/>
      <c r="J103" s="156"/>
      <c r="K103" s="159"/>
      <c r="L103" s="159"/>
      <c r="M103" s="5"/>
      <c r="N103" s="5"/>
      <c r="O103" s="5"/>
      <c r="P103" s="5"/>
    </row>
    <row r="104" spans="3:22" x14ac:dyDescent="0.2">
      <c r="C104" t="s">
        <v>165</v>
      </c>
      <c r="D104" t="s">
        <v>139</v>
      </c>
      <c r="E104">
        <f>E102*E103</f>
        <v>12000</v>
      </c>
      <c r="G104" s="86"/>
      <c r="H104" s="20"/>
      <c r="J104" s="86"/>
      <c r="K104" s="87"/>
      <c r="L104" s="85"/>
      <c r="M104" s="112"/>
      <c r="O104" s="90" t="s">
        <v>57</v>
      </c>
      <c r="P104" s="92"/>
      <c r="Q104" s="90" t="s">
        <v>52</v>
      </c>
      <c r="U104" s="287" t="s">
        <v>255</v>
      </c>
      <c r="V104" s="288">
        <f>0</f>
        <v>0</v>
      </c>
    </row>
    <row r="105" spans="3:22" x14ac:dyDescent="0.2">
      <c r="C105" s="13" t="s">
        <v>166</v>
      </c>
      <c r="D105" s="13" t="s">
        <v>167</v>
      </c>
      <c r="E105" s="13">
        <f>small_hires</f>
        <v>20</v>
      </c>
      <c r="F105" s="132"/>
      <c r="H105" s="20"/>
      <c r="I105" s="128" t="s">
        <v>88</v>
      </c>
      <c r="J105" s="86"/>
      <c r="K105" s="87"/>
      <c r="L105" s="85"/>
      <c r="M105" s="90" t="s">
        <v>56</v>
      </c>
      <c r="N105" s="113" t="s">
        <v>55</v>
      </c>
      <c r="O105" s="90" t="s">
        <v>9</v>
      </c>
      <c r="P105" s="90" t="s">
        <v>79</v>
      </c>
      <c r="Q105" s="90" t="s">
        <v>79</v>
      </c>
      <c r="U105" s="289" t="s">
        <v>256</v>
      </c>
      <c r="V105" s="290">
        <f>EarlySuccess*(1-CrossChasm)</f>
        <v>0.69279999999999997</v>
      </c>
    </row>
    <row r="106" spans="3:22" x14ac:dyDescent="0.2">
      <c r="C106" t="s">
        <v>168</v>
      </c>
      <c r="D106" t="s">
        <v>95</v>
      </c>
      <c r="E106">
        <f>E104*E105/1000000</f>
        <v>0.24</v>
      </c>
      <c r="F106" s="153"/>
      <c r="H106" s="20"/>
      <c r="I106" s="86"/>
      <c r="J106" s="86"/>
      <c r="K106" s="87"/>
      <c r="L106" s="85"/>
      <c r="N106" s="85"/>
      <c r="O106" s="84"/>
      <c r="P106" s="125"/>
      <c r="U106" s="289" t="s">
        <v>257</v>
      </c>
      <c r="V106" s="291">
        <f>0</f>
        <v>0</v>
      </c>
    </row>
    <row r="107" spans="3:22" x14ac:dyDescent="0.2">
      <c r="C107" s="13" t="s">
        <v>169</v>
      </c>
      <c r="D107" s="13" t="s">
        <v>170</v>
      </c>
      <c r="E107" s="13">
        <f>small_apps</f>
        <v>20</v>
      </c>
      <c r="F107" s="132"/>
      <c r="H107" s="20"/>
      <c r="J107" s="86"/>
      <c r="K107" s="87"/>
      <c r="L107" s="104" t="s">
        <v>43</v>
      </c>
      <c r="M107" s="146">
        <f>L108*K110*J112*I114</f>
        <v>9.0316800000000003E-3</v>
      </c>
      <c r="N107" s="85">
        <f>TotalTAM*KingMktShare</f>
        <v>3264</v>
      </c>
      <c r="O107" s="85">
        <f>N107*SalesMult</f>
        <v>16320</v>
      </c>
      <c r="P107" s="126">
        <f>O107*E$130/Investment</f>
        <v>658.0645161290322</v>
      </c>
      <c r="Q107" s="121">
        <f>M107*P107</f>
        <v>5.9434281290322577</v>
      </c>
      <c r="U107" s="292" t="s">
        <v>258</v>
      </c>
      <c r="V107" s="293">
        <f>1-EarlySuccess</f>
        <v>0</v>
      </c>
    </row>
    <row r="108" spans="3:22" x14ac:dyDescent="0.2">
      <c r="C108" t="s">
        <v>171</v>
      </c>
      <c r="D108" t="s">
        <v>95</v>
      </c>
      <c r="E108">
        <f>E106*E107</f>
        <v>4.8</v>
      </c>
      <c r="F108" s="132"/>
      <c r="H108" s="20"/>
      <c r="I108" s="86"/>
      <c r="J108" s="86"/>
      <c r="K108" s="87"/>
      <c r="L108" s="91">
        <f>KingChance</f>
        <v>0.1</v>
      </c>
      <c r="M108" s="111"/>
      <c r="N108" s="85"/>
      <c r="O108" s="85"/>
      <c r="P108" s="126"/>
    </row>
    <row r="109" spans="3:22" x14ac:dyDescent="0.2">
      <c r="C109" s="13" t="s">
        <v>172</v>
      </c>
      <c r="D109" s="13" t="s">
        <v>85</v>
      </c>
      <c r="E109" s="352">
        <f>small_fee</f>
        <v>100</v>
      </c>
      <c r="F109" s="132"/>
      <c r="H109" s="6"/>
      <c r="I109" s="86"/>
      <c r="J109" s="86"/>
      <c r="K109" s="102" t="s">
        <v>6</v>
      </c>
      <c r="L109" s="105" t="s">
        <v>44</v>
      </c>
      <c r="M109" s="146">
        <f>I114*J112*K110*L110</f>
        <v>3.6126720000000001E-2</v>
      </c>
      <c r="N109" s="85">
        <f>TotalTAM*PrinceMktShare</f>
        <v>1632</v>
      </c>
      <c r="O109" s="85">
        <f>N109*SalesMult</f>
        <v>8160</v>
      </c>
      <c r="P109" s="126">
        <f>O109*E$130/Investment</f>
        <v>329.0322580645161</v>
      </c>
      <c r="Q109" s="121">
        <f>M109*P109</f>
        <v>11.886856258064515</v>
      </c>
    </row>
    <row r="110" spans="3:22" x14ac:dyDescent="0.2">
      <c r="C110" t="s">
        <v>84</v>
      </c>
      <c r="D110" t="s">
        <v>173</v>
      </c>
      <c r="E110" s="351">
        <f>E109*E108</f>
        <v>480</v>
      </c>
      <c r="F110" s="132"/>
      <c r="H110" s="6"/>
      <c r="I110" s="86"/>
      <c r="J110" s="86"/>
      <c r="K110" s="100">
        <f>MainstreamSuccess</f>
        <v>0.29399999999999998</v>
      </c>
      <c r="L110" s="91">
        <f>PrinceChance</f>
        <v>0.4</v>
      </c>
      <c r="M110" s="111"/>
      <c r="N110" s="85"/>
      <c r="O110" s="85"/>
      <c r="P110" s="126"/>
      <c r="Q110" s="4"/>
    </row>
    <row r="111" spans="3:22" x14ac:dyDescent="0.2">
      <c r="D111"/>
      <c r="E111"/>
      <c r="F111" s="132"/>
      <c r="H111" s="6"/>
      <c r="I111" s="86"/>
      <c r="J111" s="97" t="s">
        <v>0</v>
      </c>
      <c r="K111" s="101"/>
      <c r="L111" s="105" t="s">
        <v>51</v>
      </c>
      <c r="M111" s="146">
        <f>I114*J112*K110*L112</f>
        <v>4.5158400000000001E-2</v>
      </c>
      <c r="N111" s="85">
        <f>TotalTAM*SerfMktShare</f>
        <v>652.80000000000007</v>
      </c>
      <c r="O111" s="85">
        <f>N111*SalesMult</f>
        <v>3264.0000000000005</v>
      </c>
      <c r="P111" s="126">
        <f>O111*E$130/Investment</f>
        <v>131.61290322580646</v>
      </c>
      <c r="Q111" s="121">
        <f>M111*P111</f>
        <v>5.9434281290322586</v>
      </c>
    </row>
    <row r="112" spans="3:22" x14ac:dyDescent="0.2">
      <c r="C112" t="s">
        <v>174</v>
      </c>
      <c r="D112" t="str">
        <f>D110</f>
        <v>$M</v>
      </c>
      <c r="E112" s="351">
        <f>E88+E99+E110</f>
        <v>5440</v>
      </c>
      <c r="F112" s="132"/>
      <c r="H112" s="6"/>
      <c r="I112" s="86"/>
      <c r="J112" s="94">
        <f>CrossChasm</f>
        <v>0.30720000000000003</v>
      </c>
      <c r="K112" s="101"/>
      <c r="L112" s="2">
        <f>1-L110-L108</f>
        <v>0.5</v>
      </c>
      <c r="M112" s="111"/>
      <c r="N112" s="85"/>
      <c r="O112" s="85"/>
      <c r="P112" s="125"/>
      <c r="Q112" s="4"/>
    </row>
    <row r="113" spans="2:17" x14ac:dyDescent="0.2">
      <c r="C113" t="s">
        <v>144</v>
      </c>
      <c r="D113" t="s">
        <v>175</v>
      </c>
      <c r="E113">
        <f>international_multiplier</f>
        <v>2</v>
      </c>
      <c r="F113" s="165"/>
      <c r="H113" s="6"/>
      <c r="I113" s="108" t="s">
        <v>4</v>
      </c>
      <c r="J113" s="95"/>
      <c r="K113" s="103" t="s">
        <v>5</v>
      </c>
      <c r="L113" s="106"/>
      <c r="M113" s="111">
        <f>I114*J112*K114</f>
        <v>0.2168832</v>
      </c>
      <c r="N113" s="85">
        <f>SweetspotTAM*NicheSize*NicheMarketShare</f>
        <v>21.76</v>
      </c>
      <c r="O113" s="85">
        <f>N113*SalesMult*NicheMultDisc</f>
        <v>54.400000000000006</v>
      </c>
      <c r="P113" s="126">
        <f>E$131/Investment</f>
        <v>6.4516129032258063E-2</v>
      </c>
      <c r="Q113" s="121">
        <f>M113*P113</f>
        <v>1.3992464516129031E-2</v>
      </c>
    </row>
    <row r="114" spans="2:17" x14ac:dyDescent="0.2">
      <c r="C114" s="5" t="s">
        <v>96</v>
      </c>
      <c r="D114" t="s">
        <v>173</v>
      </c>
      <c r="E114" s="351">
        <f>E112*E113</f>
        <v>10880</v>
      </c>
      <c r="F114" s="42"/>
      <c r="H114" s="6"/>
      <c r="I114" s="110">
        <f>EarlySuccess</f>
        <v>1</v>
      </c>
      <c r="J114" s="96"/>
      <c r="K114" s="99">
        <f>1-MainstreamSuccess</f>
        <v>0.70599999999999996</v>
      </c>
      <c r="L114" s="85"/>
      <c r="M114" s="111"/>
      <c r="N114" s="85"/>
      <c r="O114" s="85"/>
      <c r="P114" s="125"/>
      <c r="Q114" s="4"/>
    </row>
    <row r="115" spans="2:17" x14ac:dyDescent="0.2">
      <c r="C115" s="130"/>
      <c r="D115" s="134"/>
      <c r="E115" s="145"/>
      <c r="F115" s="42"/>
      <c r="H115" s="6"/>
      <c r="I115" s="95"/>
      <c r="J115" s="98" t="s">
        <v>54</v>
      </c>
      <c r="K115" s="107"/>
      <c r="L115" s="106"/>
      <c r="M115" s="111">
        <f>I114*J116</f>
        <v>0.69279999999999997</v>
      </c>
      <c r="N115" s="85">
        <v>0</v>
      </c>
      <c r="O115" s="85">
        <v>0</v>
      </c>
      <c r="P115" s="125">
        <v>0</v>
      </c>
      <c r="Q115" s="121">
        <f>M115*P115</f>
        <v>0</v>
      </c>
    </row>
    <row r="116" spans="2:17" x14ac:dyDescent="0.2">
      <c r="C116" s="130"/>
      <c r="D116" s="134"/>
      <c r="E116" s="145"/>
      <c r="F116" s="132"/>
      <c r="I116" s="109"/>
      <c r="J116" s="93">
        <f>1-CrossChasm</f>
        <v>0.69279999999999997</v>
      </c>
      <c r="K116" s="87"/>
      <c r="L116" s="85"/>
      <c r="M116" s="111"/>
      <c r="N116" s="85"/>
      <c r="O116" s="85"/>
      <c r="P116" s="125"/>
      <c r="Q116" s="4"/>
    </row>
    <row r="117" spans="2:17" ht="15" thickBot="1" x14ac:dyDescent="0.25">
      <c r="F117" s="132"/>
      <c r="I117" s="95"/>
      <c r="J117" s="86"/>
      <c r="K117" s="87"/>
      <c r="L117" s="85"/>
      <c r="M117" s="111"/>
      <c r="N117" s="85"/>
      <c r="O117" s="85"/>
      <c r="P117" s="125"/>
      <c r="Q117" s="4"/>
    </row>
    <row r="118" spans="2:17" ht="15" thickBot="1" x14ac:dyDescent="0.25">
      <c r="C118" t="s">
        <v>102</v>
      </c>
      <c r="D118" s="1" t="s">
        <v>83</v>
      </c>
      <c r="E118" s="161">
        <f>W92</f>
        <v>5440</v>
      </c>
      <c r="F118" s="163" t="s">
        <v>89</v>
      </c>
      <c r="I118" s="98" t="s">
        <v>3</v>
      </c>
      <c r="J118" s="97"/>
      <c r="K118" s="107"/>
      <c r="L118" s="106"/>
      <c r="M118" s="111">
        <f>I119</f>
        <v>0</v>
      </c>
      <c r="N118" s="85">
        <v>0</v>
      </c>
      <c r="O118" s="85">
        <v>0</v>
      </c>
      <c r="P118" s="125">
        <v>0</v>
      </c>
      <c r="Q118" s="121">
        <f>M118*P118</f>
        <v>0</v>
      </c>
    </row>
    <row r="119" spans="2:17" ht="15" thickBot="1" x14ac:dyDescent="0.25">
      <c r="C119" s="130"/>
      <c r="D119" s="134"/>
      <c r="E119" s="145"/>
      <c r="F119" s="85"/>
      <c r="I119" s="86">
        <f>1-EarlySuccess</f>
        <v>0</v>
      </c>
      <c r="J119" s="86"/>
      <c r="K119" s="87"/>
      <c r="L119" s="85"/>
      <c r="M119" s="85"/>
      <c r="N119" s="84"/>
      <c r="O119" s="84"/>
      <c r="P119" s="84"/>
      <c r="Q119" s="4"/>
    </row>
    <row r="120" spans="2:17" ht="15" thickBot="1" x14ac:dyDescent="0.25">
      <c r="C120" s="130" t="s">
        <v>84</v>
      </c>
      <c r="D120" s="1" t="s">
        <v>83</v>
      </c>
      <c r="E120" s="162">
        <f>W94</f>
        <v>16320</v>
      </c>
      <c r="F120" s="164" t="s">
        <v>90</v>
      </c>
      <c r="I120" s="86"/>
      <c r="J120" s="86"/>
      <c r="K120" s="87"/>
      <c r="L120" s="85"/>
      <c r="M120" s="244">
        <f>SUM(M107:M118)</f>
        <v>1</v>
      </c>
      <c r="N120" s="245"/>
      <c r="O120" s="245"/>
      <c r="P120" s="246"/>
      <c r="Q120" s="247">
        <f t="array" ref="Q120">SUM(M107:M118*P107:P118)</f>
        <v>23.787704980645163</v>
      </c>
    </row>
    <row r="121" spans="2:17" x14ac:dyDescent="0.2">
      <c r="E121" s="142"/>
      <c r="F121" s="85"/>
      <c r="I121" s="6"/>
      <c r="J121" s="28"/>
      <c r="K121" s="5"/>
      <c r="L121" s="5"/>
      <c r="M121" s="171" t="s">
        <v>230</v>
      </c>
      <c r="N121" s="4"/>
      <c r="Q121" s="121">
        <f>IF(SUM(M107:M113)=0,0,Q120/SUM(M107:M113))</f>
        <v>77.433935483870968</v>
      </c>
    </row>
    <row r="122" spans="2:17" x14ac:dyDescent="0.2">
      <c r="B122" s="4" t="s">
        <v>29</v>
      </c>
      <c r="D122"/>
      <c r="E122"/>
      <c r="F122" s="85"/>
      <c r="J122" s="28"/>
      <c r="K122" s="5"/>
      <c r="L122" s="5"/>
      <c r="M122" s="171" t="s">
        <v>245</v>
      </c>
      <c r="N122" s="84"/>
      <c r="O122" s="84"/>
      <c r="P122" s="84"/>
      <c r="Q122" s="271">
        <f>IF(SUM(M107:M111)=0,0,SUM(Q107:Q111)/SUM(M107:M111))</f>
        <v>263.22580645161293</v>
      </c>
    </row>
    <row r="123" spans="2:17" x14ac:dyDescent="0.2">
      <c r="B123"/>
      <c r="C123" t="s">
        <v>30</v>
      </c>
      <c r="D123" s="1" t="s">
        <v>18</v>
      </c>
      <c r="E123" s="90">
        <f>Investment</f>
        <v>0.5</v>
      </c>
      <c r="F123" s="85"/>
      <c r="J123" s="28"/>
      <c r="K123" s="5"/>
      <c r="L123" s="5"/>
      <c r="M123" s="272" t="s">
        <v>246</v>
      </c>
      <c r="N123" s="171"/>
      <c r="O123" s="171"/>
      <c r="P123" s="273"/>
      <c r="Q123" s="274">
        <f>SUM(M107:M113)</f>
        <v>0.30720000000000003</v>
      </c>
    </row>
    <row r="124" spans="2:17" x14ac:dyDescent="0.2">
      <c r="B124"/>
      <c r="C124" t="s">
        <v>31</v>
      </c>
      <c r="D124" s="1" t="s">
        <v>18</v>
      </c>
      <c r="E124" s="90">
        <f>InitialRoundSize</f>
        <v>1.2</v>
      </c>
      <c r="F124" s="85"/>
      <c r="J124" s="28"/>
      <c r="K124" s="5"/>
      <c r="L124" s="5"/>
      <c r="M124" s="272" t="s">
        <v>247</v>
      </c>
      <c r="N124" s="171"/>
      <c r="O124" s="171"/>
      <c r="P124" s="273"/>
      <c r="Q124" s="274">
        <f>SUM(M107:M111)</f>
        <v>9.0316800000000003E-2</v>
      </c>
    </row>
    <row r="125" spans="2:17" x14ac:dyDescent="0.2">
      <c r="B125"/>
      <c r="C125" t="s">
        <v>37</v>
      </c>
      <c r="D125" s="1" t="s">
        <v>18</v>
      </c>
      <c r="E125" s="147">
        <f>PreMoneyValue</f>
        <v>5</v>
      </c>
      <c r="F125" s="85"/>
      <c r="J125" s="28"/>
      <c r="K125" s="5"/>
      <c r="L125" s="5"/>
      <c r="M125" s="188" t="s">
        <v>248</v>
      </c>
      <c r="N125" s="84"/>
      <c r="O125" s="84"/>
      <c r="P125" s="84"/>
      <c r="Q125" s="275">
        <f>pFailCrossChasm</f>
        <v>0.69279999999999997</v>
      </c>
    </row>
    <row r="126" spans="2:17" x14ac:dyDescent="0.2">
      <c r="B126"/>
      <c r="C126" t="s">
        <v>32</v>
      </c>
      <c r="D126" s="1" t="s">
        <v>18</v>
      </c>
      <c r="E126" s="90">
        <f>E124+E125</f>
        <v>6.2</v>
      </c>
      <c r="F126" s="4"/>
      <c r="M126" s="276" t="s">
        <v>249</v>
      </c>
      <c r="N126" s="5"/>
      <c r="O126" s="5"/>
      <c r="P126" s="5"/>
      <c r="Q126" s="111">
        <f>pFailEarlyStage</f>
        <v>0</v>
      </c>
    </row>
    <row r="127" spans="2:17" x14ac:dyDescent="0.2">
      <c r="C127" s="5"/>
      <c r="D127" s="6"/>
      <c r="E127" s="148"/>
      <c r="F127" s="4"/>
    </row>
    <row r="128" spans="2:17" x14ac:dyDescent="0.2">
      <c r="B128"/>
      <c r="C128" t="s">
        <v>33</v>
      </c>
      <c r="D128" s="1" t="s">
        <v>19</v>
      </c>
      <c r="E128" s="149">
        <f>E123/E126</f>
        <v>8.0645161290322578E-2</v>
      </c>
      <c r="F128" s="4"/>
    </row>
    <row r="129" spans="2:6" x14ac:dyDescent="0.2">
      <c r="B129"/>
      <c r="C129" t="s">
        <v>38</v>
      </c>
      <c r="D129" s="1" t="s">
        <v>19</v>
      </c>
      <c r="E129" s="150">
        <f>Dilution</f>
        <v>0.75</v>
      </c>
      <c r="F129" s="85"/>
    </row>
    <row r="130" spans="2:6" x14ac:dyDescent="0.2">
      <c r="B130"/>
      <c r="C130" t="s">
        <v>39</v>
      </c>
      <c r="D130" s="1" t="s">
        <v>19</v>
      </c>
      <c r="E130" s="149">
        <f>E128*(1-E129)</f>
        <v>2.0161290322580645E-2</v>
      </c>
      <c r="F130" s="85"/>
    </row>
    <row r="131" spans="2:6" x14ac:dyDescent="0.2">
      <c r="C131" t="s">
        <v>49</v>
      </c>
      <c r="D131" s="6"/>
      <c r="E131" s="151">
        <f>E128*(1-NicheDilution)</f>
        <v>3.2258064516129031E-2</v>
      </c>
      <c r="F131" s="85" t="s">
        <v>87</v>
      </c>
    </row>
    <row r="132" spans="2:6" x14ac:dyDescent="0.2">
      <c r="C132" s="5"/>
      <c r="D132" s="6"/>
      <c r="E132" s="152"/>
    </row>
    <row r="133" spans="2:6" x14ac:dyDescent="0.2">
      <c r="C133" t="s">
        <v>45</v>
      </c>
      <c r="D133" s="1" t="s">
        <v>46</v>
      </c>
      <c r="E133" s="129">
        <f>SweetspotTAM*NicheSize</f>
        <v>1088</v>
      </c>
    </row>
  </sheetData>
  <dataConsolidate/>
  <phoneticPr fontId="0" type="noConversion"/>
  <conditionalFormatting sqref="G75:G76 G56:G60 G16:G17 G20:G21 G38:G45 G36 G69">
    <cfRule type="expression" dxfId="57" priority="0" stopIfTrue="1">
      <formula>IF($E16=2, TRUE, FALSE)</formula>
    </cfRule>
  </conditionalFormatting>
  <conditionalFormatting sqref="F75:F76 F56:F60 F16:F17 F20:F22 F38:F45 F36 F69">
    <cfRule type="expression" dxfId="56" priority="471" stopIfTrue="1">
      <formula>IF($E16=1, TRUE, FALSE)</formula>
    </cfRule>
  </conditionalFormatting>
  <conditionalFormatting sqref="H75:H76 H56:H60 H16:H17 H20:H22 H38:H45 H36 H69">
    <cfRule type="expression" dxfId="55" priority="472" stopIfTrue="1">
      <formula>IF($E16=3, TRUE, FALSE)</formula>
    </cfRule>
  </conditionalFormatting>
  <conditionalFormatting sqref="I75:I77 I56:I60 I16:I17 I20:I22 I38:I45 I35:I36 I69">
    <cfRule type="expression" dxfId="54" priority="473" stopIfTrue="1">
      <formula>IF($E16=4, TRUE, FALSE)</formula>
    </cfRule>
  </conditionalFormatting>
  <conditionalFormatting sqref="B11:C11">
    <cfRule type="expression" dxfId="53" priority="474" stopIfTrue="1">
      <formula>IF(Alternative=$B11, TRUE, FALSE)</formula>
    </cfRule>
  </conditionalFormatting>
  <conditionalFormatting sqref="G70:G71">
    <cfRule type="expression" dxfId="52" priority="317" stopIfTrue="1">
      <formula>IF($E70=2, TRUE, FALSE)</formula>
    </cfRule>
  </conditionalFormatting>
  <conditionalFormatting sqref="F70:F71">
    <cfRule type="expression" dxfId="51" priority="314" stopIfTrue="1">
      <formula>IF($E70=1, TRUE, FALSE)</formula>
    </cfRule>
  </conditionalFormatting>
  <conditionalFormatting sqref="H70:H74">
    <cfRule type="expression" dxfId="50" priority="315" stopIfTrue="1">
      <formula>IF($E70=3, TRUE, FALSE)</formula>
    </cfRule>
  </conditionalFormatting>
  <conditionalFormatting sqref="I70:I71">
    <cfRule type="expression" dxfId="49" priority="316" stopIfTrue="1">
      <formula>IF($E70=4, TRUE, FALSE)</formula>
    </cfRule>
  </conditionalFormatting>
  <conditionalFormatting sqref="G46:G53">
    <cfRule type="expression" dxfId="48" priority="313" stopIfTrue="1">
      <formula>IF($E46=2, TRUE, FALSE)</formula>
    </cfRule>
  </conditionalFormatting>
  <conditionalFormatting sqref="F46:F53">
    <cfRule type="expression" dxfId="47" priority="310" stopIfTrue="1">
      <formula>IF($E46=1, TRUE, FALSE)</formula>
    </cfRule>
  </conditionalFormatting>
  <conditionalFormatting sqref="H46:H53">
    <cfRule type="expression" dxfId="46" priority="311" stopIfTrue="1">
      <formula>IF($E46=3, TRUE, FALSE)</formula>
    </cfRule>
  </conditionalFormatting>
  <conditionalFormatting sqref="I46:I53">
    <cfRule type="expression" dxfId="45" priority="312" stopIfTrue="1">
      <formula>IF($E46=4, TRUE, FALSE)</formula>
    </cfRule>
  </conditionalFormatting>
  <conditionalFormatting sqref="G54:G55">
    <cfRule type="expression" dxfId="44" priority="53" stopIfTrue="1">
      <formula>IF($E54=2, TRUE, FALSE)</formula>
    </cfRule>
  </conditionalFormatting>
  <conditionalFormatting sqref="F54:F55">
    <cfRule type="expression" dxfId="43" priority="50" stopIfTrue="1">
      <formula>IF($E54=1, TRUE, FALSE)</formula>
    </cfRule>
  </conditionalFormatting>
  <conditionalFormatting sqref="H54:H55">
    <cfRule type="expression" dxfId="42" priority="51" stopIfTrue="1">
      <formula>IF($E54=3, TRUE, FALSE)</formula>
    </cfRule>
  </conditionalFormatting>
  <conditionalFormatting sqref="I54:I55">
    <cfRule type="expression" dxfId="41" priority="52" stopIfTrue="1">
      <formula>IF($E54=4, TRUE, FALSE)</formula>
    </cfRule>
  </conditionalFormatting>
  <conditionalFormatting sqref="G18">
    <cfRule type="expression" dxfId="40" priority="49" stopIfTrue="1">
      <formula>IF($E18=2, TRUE, FALSE)</formula>
    </cfRule>
  </conditionalFormatting>
  <conditionalFormatting sqref="F18">
    <cfRule type="expression" dxfId="39" priority="46" stopIfTrue="1">
      <formula>IF($E18=1, TRUE, FALSE)</formula>
    </cfRule>
  </conditionalFormatting>
  <conditionalFormatting sqref="H18">
    <cfRule type="expression" dxfId="38" priority="47" stopIfTrue="1">
      <formula>IF($E18=3, TRUE, FALSE)</formula>
    </cfRule>
  </conditionalFormatting>
  <conditionalFormatting sqref="I18">
    <cfRule type="expression" dxfId="37" priority="48" stopIfTrue="1">
      <formula>IF($E18=4, TRUE, FALSE)</formula>
    </cfRule>
  </conditionalFormatting>
  <conditionalFormatting sqref="F19">
    <cfRule type="expression" dxfId="36" priority="42" stopIfTrue="1">
      <formula>IF($E19=1, TRUE, FALSE)</formula>
    </cfRule>
  </conditionalFormatting>
  <conditionalFormatting sqref="H19">
    <cfRule type="expression" dxfId="35" priority="43" stopIfTrue="1">
      <formula>IF($E19=3, TRUE, FALSE)</formula>
    </cfRule>
  </conditionalFormatting>
  <conditionalFormatting sqref="I19">
    <cfRule type="expression" dxfId="34" priority="44" stopIfTrue="1">
      <formula>IF($E19=4, TRUE, FALSE)</formula>
    </cfRule>
  </conditionalFormatting>
  <conditionalFormatting sqref="F23">
    <cfRule type="expression" dxfId="33" priority="38" stopIfTrue="1">
      <formula>IF($E23=1, TRUE, FALSE)</formula>
    </cfRule>
  </conditionalFormatting>
  <conditionalFormatting sqref="H23">
    <cfRule type="expression" dxfId="32" priority="39" stopIfTrue="1">
      <formula>IF($E23=3, TRUE, FALSE)</formula>
    </cfRule>
  </conditionalFormatting>
  <conditionalFormatting sqref="I23:I24">
    <cfRule type="expression" dxfId="31" priority="40" stopIfTrue="1">
      <formula>IF($E23=4, TRUE, FALSE)</formula>
    </cfRule>
  </conditionalFormatting>
  <conditionalFormatting sqref="G31 G34:G35">
    <cfRule type="expression" dxfId="30" priority="16" stopIfTrue="1">
      <formula>IF($E31=2, TRUE, FALSE)</formula>
    </cfRule>
  </conditionalFormatting>
  <conditionalFormatting sqref="I25">
    <cfRule type="expression" dxfId="29" priority="36" stopIfTrue="1">
      <formula>IF($E25=4, TRUE, FALSE)</formula>
    </cfRule>
  </conditionalFormatting>
  <conditionalFormatting sqref="F26">
    <cfRule type="expression" dxfId="28" priority="18" stopIfTrue="1">
      <formula>IF($E26=1, TRUE, FALSE)</formula>
    </cfRule>
  </conditionalFormatting>
  <conditionalFormatting sqref="H26">
    <cfRule type="expression" dxfId="27" priority="19" stopIfTrue="1">
      <formula>IF($E26=3, TRUE, FALSE)</formula>
    </cfRule>
  </conditionalFormatting>
  <conditionalFormatting sqref="I34">
    <cfRule type="expression" dxfId="26" priority="32" stopIfTrue="1">
      <formula>IF($E34=4, TRUE, FALSE)</formula>
    </cfRule>
  </conditionalFormatting>
  <conditionalFormatting sqref="G19">
    <cfRule type="expression" dxfId="25" priority="29" stopIfTrue="1">
      <formula>IF($E19=2, TRUE, FALSE)</formula>
    </cfRule>
  </conditionalFormatting>
  <conditionalFormatting sqref="G29:G30">
    <cfRule type="expression" dxfId="24" priority="5" stopIfTrue="1">
      <formula>IF($E29=2, TRUE, FALSE)</formula>
    </cfRule>
  </conditionalFormatting>
  <conditionalFormatting sqref="F24 F27:F28">
    <cfRule type="expression" dxfId="23" priority="23" stopIfTrue="1">
      <formula>IF($E24=1, TRUE, FALSE)</formula>
    </cfRule>
  </conditionalFormatting>
  <conditionalFormatting sqref="G24 G27:G28">
    <cfRule type="expression" dxfId="22" priority="25" stopIfTrue="1">
      <formula>IF($E24=2, TRUE, FALSE)</formula>
    </cfRule>
  </conditionalFormatting>
  <conditionalFormatting sqref="H24 H27:H28">
    <cfRule type="expression" dxfId="21" priority="24" stopIfTrue="1">
      <formula>IF($E24=3, TRUE, FALSE)</formula>
    </cfRule>
  </conditionalFormatting>
  <conditionalFormatting sqref="G25">
    <cfRule type="expression" dxfId="20" priority="22" stopIfTrue="1">
      <formula>IF($E25=2, TRUE, FALSE)</formula>
    </cfRule>
  </conditionalFormatting>
  <conditionalFormatting sqref="F25">
    <cfRule type="expression" dxfId="19" priority="20" stopIfTrue="1">
      <formula>IF($E25=1, TRUE, FALSE)</formula>
    </cfRule>
  </conditionalFormatting>
  <conditionalFormatting sqref="H25">
    <cfRule type="expression" dxfId="18" priority="21" stopIfTrue="1">
      <formula>IF($E25=3, TRUE, FALSE)</formula>
    </cfRule>
  </conditionalFormatting>
  <conditionalFormatting sqref="G26">
    <cfRule type="expression" dxfId="17" priority="17" stopIfTrue="1">
      <formula>IF($E26=2, TRUE, FALSE)</formula>
    </cfRule>
  </conditionalFormatting>
  <conditionalFormatting sqref="F31 F34:F35">
    <cfRule type="expression" dxfId="16" priority="14" stopIfTrue="1">
      <formula>IF($E31=1, TRUE, FALSE)</formula>
    </cfRule>
  </conditionalFormatting>
  <conditionalFormatting sqref="H31 H34:H35">
    <cfRule type="expression" dxfId="15" priority="15" stopIfTrue="1">
      <formula>IF($E31=3, TRUE, FALSE)</formula>
    </cfRule>
  </conditionalFormatting>
  <conditionalFormatting sqref="G32">
    <cfRule type="expression" dxfId="14" priority="13" stopIfTrue="1">
      <formula>IF($E32=2, TRUE, FALSE)</formula>
    </cfRule>
  </conditionalFormatting>
  <conditionalFormatting sqref="F32">
    <cfRule type="expression" dxfId="13" priority="11" stopIfTrue="1">
      <formula>IF($E32=1, TRUE, FALSE)</formula>
    </cfRule>
  </conditionalFormatting>
  <conditionalFormatting sqref="H32">
    <cfRule type="expression" dxfId="12" priority="12" stopIfTrue="1">
      <formula>IF($E32=3, TRUE, FALSE)</formula>
    </cfRule>
  </conditionalFormatting>
  <conditionalFormatting sqref="F33">
    <cfRule type="expression" dxfId="11" priority="9" stopIfTrue="1">
      <formula>IF($E33=1, TRUE, FALSE)</formula>
    </cfRule>
  </conditionalFormatting>
  <conditionalFormatting sqref="H33">
    <cfRule type="expression" dxfId="10" priority="10" stopIfTrue="1">
      <formula>IF($E33=3, TRUE, FALSE)</formula>
    </cfRule>
  </conditionalFormatting>
  <conditionalFormatting sqref="G33">
    <cfRule type="expression" dxfId="9" priority="8" stopIfTrue="1">
      <formula>IF($E33=2, TRUE, FALSE)</formula>
    </cfRule>
  </conditionalFormatting>
  <conditionalFormatting sqref="G23">
    <cfRule type="expression" dxfId="8" priority="7" stopIfTrue="1">
      <formula>IF($E23=2, TRUE, FALSE)</formula>
    </cfRule>
  </conditionalFormatting>
  <conditionalFormatting sqref="G22">
    <cfRule type="expression" dxfId="7" priority="6" stopIfTrue="1">
      <formula>IF($E22=2, TRUE, FALSE)</formula>
    </cfRule>
  </conditionalFormatting>
  <conditionalFormatting sqref="G61:G68">
    <cfRule type="expression" dxfId="6" priority="4" stopIfTrue="1">
      <formula>IF($E61=2, TRUE, FALSE)</formula>
    </cfRule>
  </conditionalFormatting>
  <conditionalFormatting sqref="F61:F68">
    <cfRule type="expression" dxfId="5" priority="1" stopIfTrue="1">
      <formula>IF($E61=1, TRUE, FALSE)</formula>
    </cfRule>
  </conditionalFormatting>
  <conditionalFormatting sqref="H61:H68">
    <cfRule type="expression" dxfId="4" priority="2" stopIfTrue="1">
      <formula>IF($E61=3, TRUE, FALSE)</formula>
    </cfRule>
  </conditionalFormatting>
  <conditionalFormatting sqref="I61:I68">
    <cfRule type="expression" dxfId="3" priority="3" stopIfTrue="1">
      <formula>IF($E61=4, TRUE, FALSE)</formula>
    </cfRule>
  </conditionalFormatting>
  <printOptions gridLinesSet="0"/>
  <pageMargins left="0.5" right="0.5" top="0.5" bottom="0.75" header="0.5" footer="0.5"/>
  <pageSetup orientation="portrait" horizontalDpi="4294967292" verticalDpi="4294967292" r:id="rId1"/>
  <headerFooter>
    <oddFooter>&amp;L&amp;D&amp;R&amp;P</oddFooter>
  </headerFooter>
  <colBreaks count="2" manualBreakCount="2">
    <brk id="7" max="1048575" man="1"/>
    <brk id="1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valuateModel">
                <anchor moveWithCells="1" sizeWithCells="1">
                  <from>
                    <xdr:col>10</xdr:col>
                    <xdr:colOff>76200</xdr:colOff>
                    <xdr:row>3</xdr:row>
                    <xdr:rowOff>177800</xdr:rowOff>
                  </from>
                  <to>
                    <xdr:col>13</xdr:col>
                    <xdr:colOff>558800</xdr:colOff>
                    <xdr:row>9</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opLeftCell="BV1" workbookViewId="0">
      <selection activeCell="C2" sqref="C2"/>
    </sheetView>
  </sheetViews>
  <sheetFormatPr baseColWidth="10" defaultColWidth="10.7109375" defaultRowHeight="14" x14ac:dyDescent="0.2"/>
  <cols>
    <col min="1" max="1" width="10.7109375" style="171"/>
    <col min="2" max="2" width="16.85546875" style="171" customWidth="1"/>
    <col min="3" max="3" width="20.140625" style="171" customWidth="1"/>
    <col min="4" max="18" width="10.7109375" style="171"/>
    <col min="19" max="19" width="14.85546875" style="171" bestFit="1" customWidth="1"/>
    <col min="20" max="20" width="14.85546875" style="171" customWidth="1"/>
    <col min="21" max="21" width="25.28515625" style="172" bestFit="1" customWidth="1"/>
    <col min="22" max="22" width="10.7109375" style="173"/>
    <col min="23" max="23" width="10.7109375" style="172"/>
    <col min="24" max="24" width="10.7109375" style="173"/>
    <col min="25" max="25" width="10.7109375" style="174"/>
    <col min="26" max="27" width="10.7109375" style="173"/>
    <col min="28" max="28" width="10.7109375" style="174"/>
    <col min="29" max="29" width="10.7109375" style="173"/>
    <col min="30" max="31" width="10.7109375" style="174"/>
    <col min="32" max="32" width="12.5703125" style="174" bestFit="1" customWidth="1"/>
    <col min="33" max="33" width="10.7109375" style="174"/>
    <col min="34" max="34" width="10.7109375" style="171"/>
    <col min="35" max="35" width="16.42578125" style="172" bestFit="1" customWidth="1"/>
    <col min="36" max="36" width="10.7109375" style="173"/>
    <col min="37" max="37" width="10.7109375" style="172"/>
    <col min="38" max="38" width="10.7109375" style="173"/>
    <col min="39" max="39" width="10.7109375" style="174"/>
    <col min="40" max="41" width="10.7109375" style="173"/>
    <col min="42" max="42" width="10.7109375" style="174"/>
    <col min="43" max="43" width="10.7109375" style="173"/>
    <col min="44" max="45" width="10.7109375" style="174"/>
    <col min="46" max="46" width="12.5703125" style="174" bestFit="1" customWidth="1"/>
    <col min="47" max="47" width="10.7109375" style="174"/>
    <col min="48" max="48" width="10.7109375" style="171"/>
    <col min="49" max="49" width="16.42578125" style="172" bestFit="1" customWidth="1"/>
    <col min="50" max="50" width="10.7109375" style="173"/>
    <col min="51" max="51" width="10.7109375" style="172"/>
    <col min="52" max="52" width="10.7109375" style="173"/>
    <col min="53" max="53" width="10.7109375" style="174"/>
    <col min="54" max="55" width="10.7109375" style="173"/>
    <col min="56" max="56" width="10.7109375" style="174"/>
    <col min="57" max="57" width="10.7109375" style="173"/>
    <col min="58" max="59" width="10.7109375" style="174"/>
    <col min="60" max="60" width="12.5703125" style="174" bestFit="1" customWidth="1"/>
    <col min="61" max="61" width="10.7109375" style="174"/>
    <col min="62" max="62" width="10.7109375" style="171"/>
    <col min="63" max="63" width="16.42578125" style="172" bestFit="1" customWidth="1"/>
    <col min="64" max="64" width="10.7109375" style="173"/>
    <col min="65" max="65" width="10.7109375" style="172"/>
    <col min="66" max="66" width="10.7109375" style="173"/>
    <col min="67" max="67" width="10.7109375" style="174"/>
    <col min="68" max="69" width="10.7109375" style="173"/>
    <col min="70" max="70" width="10.7109375" style="174"/>
    <col min="71" max="71" width="10.7109375" style="173"/>
    <col min="72" max="73" width="10.7109375" style="174"/>
    <col min="74" max="74" width="12.5703125" style="174" bestFit="1" customWidth="1"/>
    <col min="75" max="75" width="10.7109375" style="174"/>
    <col min="76" max="76" width="10.7109375" style="171"/>
    <col min="77" max="77" width="16.42578125" style="172" bestFit="1" customWidth="1"/>
    <col min="78" max="78" width="10.7109375" style="173"/>
    <col min="79" max="79" width="10.7109375" style="172"/>
    <col min="80" max="80" width="10.7109375" style="173"/>
    <col min="81" max="81" width="10.7109375" style="174"/>
    <col min="82" max="83" width="10.7109375" style="173"/>
    <col min="84" max="84" width="10.7109375" style="174"/>
    <col min="85" max="85" width="10.7109375" style="173"/>
    <col min="86" max="87" width="10.7109375" style="174"/>
    <col min="88" max="88" width="12.5703125" style="174" bestFit="1" customWidth="1"/>
    <col min="89" max="89" width="10.7109375" style="174"/>
    <col min="90" max="90" width="10.7109375" style="171"/>
    <col min="91" max="91" width="16.42578125" style="172" bestFit="1" customWidth="1"/>
    <col min="92" max="92" width="10.7109375" style="173"/>
    <col min="93" max="93" width="10.7109375" style="172"/>
    <col min="94" max="94" width="10.7109375" style="173"/>
    <col min="95" max="95" width="10.7109375" style="174"/>
    <col min="96" max="97" width="10.7109375" style="173"/>
    <col min="98" max="98" width="10.7109375" style="174"/>
    <col min="99" max="99" width="10.7109375" style="173"/>
    <col min="100" max="101" width="10.7109375" style="174"/>
    <col min="102" max="102" width="12.5703125" style="174" bestFit="1" customWidth="1"/>
    <col min="103" max="103" width="10.7109375" style="174"/>
    <col min="104" max="104" width="10.7109375" style="171"/>
    <col min="105" max="105" width="16.42578125" style="172" bestFit="1" customWidth="1"/>
    <col min="106" max="106" width="10.7109375" style="173"/>
    <col min="107" max="107" width="10.7109375" style="172"/>
    <col min="108" max="108" width="10.7109375" style="173"/>
    <col min="109" max="109" width="10.7109375" style="174"/>
    <col min="110" max="111" width="10.7109375" style="173"/>
    <col min="112" max="112" width="10.7109375" style="174"/>
    <col min="113" max="113" width="10.7109375" style="173"/>
    <col min="114" max="115" width="10.7109375" style="174"/>
    <col min="116" max="116" width="12.5703125" style="174" bestFit="1" customWidth="1"/>
    <col min="117" max="117" width="10.7109375" style="174"/>
    <col min="118" max="118" width="10.7109375" style="171"/>
    <col min="119" max="119" width="16.42578125" style="172" bestFit="1" customWidth="1"/>
    <col min="120" max="120" width="10.7109375" style="173"/>
    <col min="121" max="121" width="10.7109375" style="172"/>
    <col min="122" max="122" width="10.7109375" style="173"/>
    <col min="123" max="123" width="10.7109375" style="174"/>
    <col min="124" max="125" width="10.7109375" style="173"/>
    <col min="126" max="126" width="10.7109375" style="174"/>
    <col min="127" max="127" width="10.7109375" style="173"/>
    <col min="128" max="129" width="10.7109375" style="174"/>
    <col min="130" max="130" width="12.5703125" style="174" bestFit="1" customWidth="1"/>
    <col min="131" max="131" width="10.7109375" style="174"/>
    <col min="132" max="132" width="10.7109375" style="171"/>
    <col min="133" max="133" width="16.42578125" style="172" bestFit="1" customWidth="1"/>
    <col min="134" max="134" width="10.7109375" style="173"/>
    <col min="135" max="135" width="10.7109375" style="172"/>
    <col min="136" max="136" width="10.7109375" style="173"/>
    <col min="137" max="137" width="10.7109375" style="174"/>
    <col min="138" max="139" width="10.7109375" style="173"/>
    <col min="140" max="140" width="10.7109375" style="174"/>
    <col min="141" max="141" width="10.7109375" style="173"/>
    <col min="142" max="143" width="10.7109375" style="174"/>
    <col min="144" max="144" width="12.5703125" style="174" bestFit="1" customWidth="1"/>
    <col min="145" max="145" width="10.7109375" style="174"/>
    <col min="146" max="146" width="10.7109375" style="171"/>
    <col min="147" max="147" width="16.42578125" style="172" bestFit="1" customWidth="1"/>
    <col min="148" max="148" width="10.7109375" style="173"/>
    <col min="149" max="149" width="10.7109375" style="172"/>
    <col min="150" max="150" width="10.7109375" style="173"/>
    <col min="151" max="151" width="10.7109375" style="174"/>
    <col min="152" max="153" width="10.7109375" style="173"/>
    <col min="154" max="154" width="10.7109375" style="174"/>
    <col min="155" max="155" width="10.7109375" style="173"/>
    <col min="156" max="157" width="10.7109375" style="174"/>
    <col min="158" max="158" width="12.5703125" style="174" bestFit="1" customWidth="1"/>
    <col min="159" max="159" width="10.7109375" style="174"/>
    <col min="160" max="16384" width="10.7109375" style="171"/>
  </cols>
  <sheetData>
    <row r="1" spans="2:159" s="173" customFormat="1" ht="15" thickBot="1" x14ac:dyDescent="0.25"/>
    <row r="2" spans="2:159" ht="20" thickBot="1" x14ac:dyDescent="0.3">
      <c r="B2" s="204" t="s">
        <v>128</v>
      </c>
      <c r="C2" s="205" t="s">
        <v>286</v>
      </c>
      <c r="S2" s="200" t="s">
        <v>122</v>
      </c>
      <c r="T2" s="198"/>
      <c r="U2" s="342" t="s">
        <v>287</v>
      </c>
      <c r="V2" s="343"/>
      <c r="W2" s="343"/>
      <c r="X2" s="343"/>
      <c r="Y2" s="343"/>
      <c r="Z2" s="343"/>
      <c r="AA2" s="343"/>
      <c r="AB2" s="343"/>
      <c r="AC2" s="343"/>
      <c r="AD2" s="343"/>
      <c r="AE2" s="343"/>
      <c r="AF2" s="343"/>
      <c r="AG2" s="344"/>
      <c r="AH2" s="188"/>
      <c r="AI2" s="342" t="s">
        <v>130</v>
      </c>
      <c r="AJ2" s="343"/>
      <c r="AK2" s="343"/>
      <c r="AL2" s="343"/>
      <c r="AM2" s="343"/>
      <c r="AN2" s="343"/>
      <c r="AO2" s="343"/>
      <c r="AP2" s="343"/>
      <c r="AQ2" s="343"/>
      <c r="AR2" s="343"/>
      <c r="AS2" s="343"/>
      <c r="AT2" s="343"/>
      <c r="AU2" s="344"/>
      <c r="AW2" s="342" t="s">
        <v>288</v>
      </c>
      <c r="AX2" s="343"/>
      <c r="AY2" s="343"/>
      <c r="AZ2" s="343"/>
      <c r="BA2" s="343"/>
      <c r="BB2" s="343"/>
      <c r="BC2" s="343"/>
      <c r="BD2" s="343"/>
      <c r="BE2" s="343"/>
      <c r="BF2" s="343"/>
      <c r="BG2" s="343"/>
      <c r="BH2" s="343"/>
      <c r="BI2" s="344"/>
      <c r="BK2" s="342" t="s">
        <v>131</v>
      </c>
      <c r="BL2" s="343"/>
      <c r="BM2" s="343"/>
      <c r="BN2" s="343"/>
      <c r="BO2" s="343"/>
      <c r="BP2" s="343"/>
      <c r="BQ2" s="343"/>
      <c r="BR2" s="343"/>
      <c r="BS2" s="343"/>
      <c r="BT2" s="343"/>
      <c r="BU2" s="343"/>
      <c r="BV2" s="343"/>
      <c r="BW2" s="344"/>
      <c r="BY2" s="342" t="s">
        <v>232</v>
      </c>
      <c r="BZ2" s="343"/>
      <c r="CA2" s="343"/>
      <c r="CB2" s="343"/>
      <c r="CC2" s="343"/>
      <c r="CD2" s="343"/>
      <c r="CE2" s="343"/>
      <c r="CF2" s="343"/>
      <c r="CG2" s="343"/>
      <c r="CH2" s="343"/>
      <c r="CI2" s="343"/>
      <c r="CJ2" s="343"/>
      <c r="CK2" s="344"/>
      <c r="CM2" s="345" t="s">
        <v>123</v>
      </c>
      <c r="CN2" s="346"/>
      <c r="CO2" s="346"/>
      <c r="CP2" s="346"/>
      <c r="CQ2" s="346"/>
      <c r="CR2" s="346"/>
      <c r="CS2" s="346"/>
      <c r="CT2" s="346"/>
      <c r="CU2" s="346"/>
      <c r="CV2" s="346"/>
      <c r="CW2" s="346"/>
      <c r="CX2" s="346"/>
      <c r="CY2" s="347"/>
      <c r="DA2" s="345" t="s">
        <v>124</v>
      </c>
      <c r="DB2" s="346"/>
      <c r="DC2" s="346"/>
      <c r="DD2" s="346"/>
      <c r="DE2" s="346"/>
      <c r="DF2" s="346"/>
      <c r="DG2" s="346"/>
      <c r="DH2" s="346"/>
      <c r="DI2" s="346"/>
      <c r="DJ2" s="346"/>
      <c r="DK2" s="346"/>
      <c r="DL2" s="346"/>
      <c r="DM2" s="347"/>
      <c r="DO2" s="345" t="s">
        <v>125</v>
      </c>
      <c r="DP2" s="346"/>
      <c r="DQ2" s="346"/>
      <c r="DR2" s="346"/>
      <c r="DS2" s="346"/>
      <c r="DT2" s="346"/>
      <c r="DU2" s="346"/>
      <c r="DV2" s="346"/>
      <c r="DW2" s="346"/>
      <c r="DX2" s="346"/>
      <c r="DY2" s="346"/>
      <c r="DZ2" s="346"/>
      <c r="EA2" s="347"/>
      <c r="EC2" s="345" t="s">
        <v>126</v>
      </c>
      <c r="ED2" s="346"/>
      <c r="EE2" s="346"/>
      <c r="EF2" s="346"/>
      <c r="EG2" s="346"/>
      <c r="EH2" s="346"/>
      <c r="EI2" s="346"/>
      <c r="EJ2" s="346"/>
      <c r="EK2" s="346"/>
      <c r="EL2" s="346"/>
      <c r="EM2" s="346"/>
      <c r="EN2" s="346"/>
      <c r="EO2" s="347"/>
      <c r="EQ2" s="345" t="s">
        <v>127</v>
      </c>
      <c r="ER2" s="346"/>
      <c r="ES2" s="346"/>
      <c r="ET2" s="346"/>
      <c r="EU2" s="346"/>
      <c r="EV2" s="346"/>
      <c r="EW2" s="346"/>
      <c r="EX2" s="346"/>
      <c r="EY2" s="346"/>
      <c r="EZ2" s="346"/>
      <c r="FA2" s="346"/>
      <c r="FB2" s="346"/>
      <c r="FC2" s="347"/>
    </row>
    <row r="3" spans="2:159" x14ac:dyDescent="0.2">
      <c r="R3" s="208">
        <v>1</v>
      </c>
      <c r="S3" s="203" t="s">
        <v>286</v>
      </c>
      <c r="T3" s="198"/>
      <c r="U3" s="195"/>
      <c r="V3" s="197"/>
      <c r="W3" s="195"/>
      <c r="X3" s="196" t="s">
        <v>108</v>
      </c>
      <c r="Y3" s="196"/>
      <c r="Z3" s="195"/>
      <c r="AA3" s="196" t="s">
        <v>109</v>
      </c>
      <c r="AB3" s="197"/>
      <c r="AC3" s="196"/>
      <c r="AD3" s="196"/>
      <c r="AE3" s="339" t="s">
        <v>121</v>
      </c>
      <c r="AF3" s="340"/>
      <c r="AG3" s="341"/>
      <c r="AI3" s="195"/>
      <c r="AJ3" s="197"/>
      <c r="AK3" s="195"/>
      <c r="AL3" s="196" t="s">
        <v>108</v>
      </c>
      <c r="AM3" s="196"/>
      <c r="AN3" s="195"/>
      <c r="AO3" s="196" t="s">
        <v>109</v>
      </c>
      <c r="AP3" s="197"/>
      <c r="AQ3" s="196"/>
      <c r="AR3" s="196"/>
      <c r="AS3" s="339" t="s">
        <v>121</v>
      </c>
      <c r="AT3" s="340"/>
      <c r="AU3" s="341"/>
      <c r="AW3" s="195"/>
      <c r="AX3" s="197"/>
      <c r="AY3" s="195"/>
      <c r="AZ3" s="196" t="s">
        <v>108</v>
      </c>
      <c r="BA3" s="196"/>
      <c r="BB3" s="195"/>
      <c r="BC3" s="196" t="s">
        <v>109</v>
      </c>
      <c r="BD3" s="197"/>
      <c r="BE3" s="196"/>
      <c r="BF3" s="196"/>
      <c r="BG3" s="339" t="s">
        <v>121</v>
      </c>
      <c r="BH3" s="340"/>
      <c r="BI3" s="341"/>
      <c r="BK3" s="195"/>
      <c r="BL3" s="197"/>
      <c r="BM3" s="195"/>
      <c r="BN3" s="196" t="s">
        <v>108</v>
      </c>
      <c r="BO3" s="196"/>
      <c r="BP3" s="195"/>
      <c r="BQ3" s="196" t="s">
        <v>109</v>
      </c>
      <c r="BR3" s="197"/>
      <c r="BS3" s="196"/>
      <c r="BT3" s="196"/>
      <c r="BU3" s="339" t="s">
        <v>121</v>
      </c>
      <c r="BV3" s="340"/>
      <c r="BW3" s="341"/>
      <c r="BY3" s="195"/>
      <c r="BZ3" s="197"/>
      <c r="CA3" s="195"/>
      <c r="CB3" s="196" t="s">
        <v>108</v>
      </c>
      <c r="CC3" s="196"/>
      <c r="CD3" s="195"/>
      <c r="CE3" s="196" t="s">
        <v>109</v>
      </c>
      <c r="CF3" s="197"/>
      <c r="CG3" s="196"/>
      <c r="CH3" s="196"/>
      <c r="CI3" s="339" t="s">
        <v>121</v>
      </c>
      <c r="CJ3" s="340"/>
      <c r="CK3" s="341"/>
      <c r="CM3" s="195"/>
      <c r="CN3" s="197"/>
      <c r="CO3" s="195"/>
      <c r="CP3" s="196" t="s">
        <v>108</v>
      </c>
      <c r="CQ3" s="196"/>
      <c r="CR3" s="195"/>
      <c r="CS3" s="196" t="s">
        <v>109</v>
      </c>
      <c r="CT3" s="197"/>
      <c r="CU3" s="196"/>
      <c r="CV3" s="196"/>
      <c r="CW3" s="339" t="s">
        <v>121</v>
      </c>
      <c r="CX3" s="340"/>
      <c r="CY3" s="341"/>
      <c r="DA3" s="195"/>
      <c r="DB3" s="197"/>
      <c r="DC3" s="195"/>
      <c r="DD3" s="196" t="s">
        <v>108</v>
      </c>
      <c r="DE3" s="196"/>
      <c r="DF3" s="195"/>
      <c r="DG3" s="196" t="s">
        <v>109</v>
      </c>
      <c r="DH3" s="197"/>
      <c r="DI3" s="196"/>
      <c r="DJ3" s="196"/>
      <c r="DK3" s="339" t="s">
        <v>121</v>
      </c>
      <c r="DL3" s="340"/>
      <c r="DM3" s="341"/>
      <c r="DO3" s="195"/>
      <c r="DP3" s="197"/>
      <c r="DQ3" s="195"/>
      <c r="DR3" s="196" t="s">
        <v>108</v>
      </c>
      <c r="DS3" s="196"/>
      <c r="DT3" s="195"/>
      <c r="DU3" s="196" t="s">
        <v>109</v>
      </c>
      <c r="DV3" s="197"/>
      <c r="DW3" s="196"/>
      <c r="DX3" s="196"/>
      <c r="DY3" s="339" t="s">
        <v>121</v>
      </c>
      <c r="DZ3" s="340"/>
      <c r="EA3" s="341"/>
      <c r="EC3" s="195"/>
      <c r="ED3" s="197"/>
      <c r="EE3" s="195"/>
      <c r="EF3" s="196" t="s">
        <v>108</v>
      </c>
      <c r="EG3" s="196"/>
      <c r="EH3" s="195"/>
      <c r="EI3" s="196" t="s">
        <v>109</v>
      </c>
      <c r="EJ3" s="197"/>
      <c r="EK3" s="196"/>
      <c r="EL3" s="196"/>
      <c r="EM3" s="339" t="s">
        <v>121</v>
      </c>
      <c r="EN3" s="340"/>
      <c r="EO3" s="341"/>
      <c r="EQ3" s="195"/>
      <c r="ER3" s="197"/>
      <c r="ES3" s="195"/>
      <c r="ET3" s="196" t="s">
        <v>108</v>
      </c>
      <c r="EU3" s="196"/>
      <c r="EV3" s="195"/>
      <c r="EW3" s="196" t="s">
        <v>109</v>
      </c>
      <c r="EX3" s="197"/>
      <c r="EY3" s="196"/>
      <c r="EZ3" s="196"/>
      <c r="FA3" s="339" t="s">
        <v>121</v>
      </c>
      <c r="FB3" s="340"/>
      <c r="FC3" s="341"/>
    </row>
    <row r="4" spans="2:159" x14ac:dyDescent="0.2">
      <c r="R4" s="208">
        <v>2</v>
      </c>
      <c r="S4" s="201" t="s">
        <v>103</v>
      </c>
      <c r="T4" s="198"/>
      <c r="U4" s="193" t="s">
        <v>110</v>
      </c>
      <c r="V4" s="192" t="s">
        <v>111</v>
      </c>
      <c r="W4" s="189" t="s">
        <v>14</v>
      </c>
      <c r="X4" s="190" t="s">
        <v>112</v>
      </c>
      <c r="Y4" s="191" t="s">
        <v>16</v>
      </c>
      <c r="Z4" s="190" t="s">
        <v>14</v>
      </c>
      <c r="AA4" s="190" t="s">
        <v>15</v>
      </c>
      <c r="AB4" s="191" t="s">
        <v>16</v>
      </c>
      <c r="AC4" s="190" t="s">
        <v>113</v>
      </c>
      <c r="AD4" s="191" t="s">
        <v>114</v>
      </c>
      <c r="AE4" s="194" t="s">
        <v>119</v>
      </c>
      <c r="AF4" s="191" t="s">
        <v>120</v>
      </c>
      <c r="AG4" s="191" t="s">
        <v>9</v>
      </c>
      <c r="AI4" s="193" t="s">
        <v>110</v>
      </c>
      <c r="AJ4" s="192" t="s">
        <v>111</v>
      </c>
      <c r="AK4" s="189" t="s">
        <v>14</v>
      </c>
      <c r="AL4" s="190" t="s">
        <v>112</v>
      </c>
      <c r="AM4" s="191" t="s">
        <v>16</v>
      </c>
      <c r="AN4" s="190" t="s">
        <v>14</v>
      </c>
      <c r="AO4" s="190" t="s">
        <v>15</v>
      </c>
      <c r="AP4" s="191" t="s">
        <v>16</v>
      </c>
      <c r="AQ4" s="190" t="s">
        <v>113</v>
      </c>
      <c r="AR4" s="191" t="s">
        <v>114</v>
      </c>
      <c r="AS4" s="194" t="s">
        <v>119</v>
      </c>
      <c r="AT4" s="191" t="s">
        <v>120</v>
      </c>
      <c r="AU4" s="191" t="s">
        <v>9</v>
      </c>
      <c r="AW4" s="193" t="s">
        <v>110</v>
      </c>
      <c r="AX4" s="192" t="s">
        <v>111</v>
      </c>
      <c r="AY4" s="189" t="s">
        <v>14</v>
      </c>
      <c r="AZ4" s="190" t="s">
        <v>112</v>
      </c>
      <c r="BA4" s="191" t="s">
        <v>16</v>
      </c>
      <c r="BB4" s="190" t="s">
        <v>14</v>
      </c>
      <c r="BC4" s="190" t="s">
        <v>15</v>
      </c>
      <c r="BD4" s="191" t="s">
        <v>16</v>
      </c>
      <c r="BE4" s="190" t="s">
        <v>113</v>
      </c>
      <c r="BF4" s="191" t="s">
        <v>114</v>
      </c>
      <c r="BG4" s="194" t="s">
        <v>119</v>
      </c>
      <c r="BH4" s="191" t="s">
        <v>120</v>
      </c>
      <c r="BI4" s="191" t="s">
        <v>9</v>
      </c>
      <c r="BK4" s="193" t="s">
        <v>110</v>
      </c>
      <c r="BL4" s="192" t="s">
        <v>111</v>
      </c>
      <c r="BM4" s="189" t="s">
        <v>14</v>
      </c>
      <c r="BN4" s="190" t="s">
        <v>112</v>
      </c>
      <c r="BO4" s="191" t="s">
        <v>16</v>
      </c>
      <c r="BP4" s="190" t="s">
        <v>14</v>
      </c>
      <c r="BQ4" s="190" t="s">
        <v>15</v>
      </c>
      <c r="BR4" s="191" t="s">
        <v>16</v>
      </c>
      <c r="BS4" s="190" t="s">
        <v>113</v>
      </c>
      <c r="BT4" s="191" t="s">
        <v>114</v>
      </c>
      <c r="BU4" s="194" t="s">
        <v>119</v>
      </c>
      <c r="BV4" s="191" t="s">
        <v>120</v>
      </c>
      <c r="BW4" s="191" t="s">
        <v>9</v>
      </c>
      <c r="BY4" s="193" t="s">
        <v>110</v>
      </c>
      <c r="BZ4" s="192" t="s">
        <v>111</v>
      </c>
      <c r="CA4" s="189" t="s">
        <v>14</v>
      </c>
      <c r="CB4" s="190" t="s">
        <v>112</v>
      </c>
      <c r="CC4" s="191" t="s">
        <v>16</v>
      </c>
      <c r="CD4" s="190" t="s">
        <v>14</v>
      </c>
      <c r="CE4" s="190" t="s">
        <v>15</v>
      </c>
      <c r="CF4" s="191" t="s">
        <v>16</v>
      </c>
      <c r="CG4" s="190" t="s">
        <v>113</v>
      </c>
      <c r="CH4" s="191" t="s">
        <v>114</v>
      </c>
      <c r="CI4" s="194" t="s">
        <v>119</v>
      </c>
      <c r="CJ4" s="191" t="s">
        <v>120</v>
      </c>
      <c r="CK4" s="191" t="s">
        <v>9</v>
      </c>
      <c r="CM4" s="193" t="s">
        <v>110</v>
      </c>
      <c r="CN4" s="192" t="s">
        <v>111</v>
      </c>
      <c r="CO4" s="189" t="s">
        <v>14</v>
      </c>
      <c r="CP4" s="190" t="s">
        <v>112</v>
      </c>
      <c r="CQ4" s="191" t="s">
        <v>16</v>
      </c>
      <c r="CR4" s="190" t="s">
        <v>14</v>
      </c>
      <c r="CS4" s="190" t="s">
        <v>15</v>
      </c>
      <c r="CT4" s="191" t="s">
        <v>16</v>
      </c>
      <c r="CU4" s="190" t="s">
        <v>113</v>
      </c>
      <c r="CV4" s="191" t="s">
        <v>114</v>
      </c>
      <c r="CW4" s="194" t="s">
        <v>119</v>
      </c>
      <c r="CX4" s="191" t="s">
        <v>120</v>
      </c>
      <c r="CY4" s="191" t="s">
        <v>9</v>
      </c>
      <c r="DA4" s="193" t="s">
        <v>110</v>
      </c>
      <c r="DB4" s="192" t="s">
        <v>111</v>
      </c>
      <c r="DC4" s="189" t="s">
        <v>14</v>
      </c>
      <c r="DD4" s="190" t="s">
        <v>112</v>
      </c>
      <c r="DE4" s="191" t="s">
        <v>16</v>
      </c>
      <c r="DF4" s="190" t="s">
        <v>14</v>
      </c>
      <c r="DG4" s="190" t="s">
        <v>15</v>
      </c>
      <c r="DH4" s="191" t="s">
        <v>16</v>
      </c>
      <c r="DI4" s="190" t="s">
        <v>113</v>
      </c>
      <c r="DJ4" s="191" t="s">
        <v>114</v>
      </c>
      <c r="DK4" s="194" t="s">
        <v>119</v>
      </c>
      <c r="DL4" s="191" t="s">
        <v>120</v>
      </c>
      <c r="DM4" s="191" t="s">
        <v>9</v>
      </c>
      <c r="DO4" s="193" t="s">
        <v>110</v>
      </c>
      <c r="DP4" s="192" t="s">
        <v>111</v>
      </c>
      <c r="DQ4" s="189" t="s">
        <v>14</v>
      </c>
      <c r="DR4" s="190" t="s">
        <v>112</v>
      </c>
      <c r="DS4" s="191" t="s">
        <v>16</v>
      </c>
      <c r="DT4" s="190" t="s">
        <v>14</v>
      </c>
      <c r="DU4" s="190" t="s">
        <v>15</v>
      </c>
      <c r="DV4" s="191" t="s">
        <v>16</v>
      </c>
      <c r="DW4" s="190" t="s">
        <v>113</v>
      </c>
      <c r="DX4" s="191" t="s">
        <v>114</v>
      </c>
      <c r="DY4" s="194" t="s">
        <v>119</v>
      </c>
      <c r="DZ4" s="191" t="s">
        <v>120</v>
      </c>
      <c r="EA4" s="191" t="s">
        <v>9</v>
      </c>
      <c r="EC4" s="193" t="s">
        <v>110</v>
      </c>
      <c r="ED4" s="192" t="s">
        <v>111</v>
      </c>
      <c r="EE4" s="189" t="s">
        <v>14</v>
      </c>
      <c r="EF4" s="190" t="s">
        <v>112</v>
      </c>
      <c r="EG4" s="191" t="s">
        <v>16</v>
      </c>
      <c r="EH4" s="190" t="s">
        <v>14</v>
      </c>
      <c r="EI4" s="190" t="s">
        <v>15</v>
      </c>
      <c r="EJ4" s="191" t="s">
        <v>16</v>
      </c>
      <c r="EK4" s="190" t="s">
        <v>113</v>
      </c>
      <c r="EL4" s="191" t="s">
        <v>114</v>
      </c>
      <c r="EM4" s="194" t="s">
        <v>119</v>
      </c>
      <c r="EN4" s="191" t="s">
        <v>120</v>
      </c>
      <c r="EO4" s="191" t="s">
        <v>9</v>
      </c>
      <c r="EQ4" s="193" t="s">
        <v>110</v>
      </c>
      <c r="ER4" s="192" t="s">
        <v>111</v>
      </c>
      <c r="ES4" s="189" t="s">
        <v>14</v>
      </c>
      <c r="ET4" s="190" t="s">
        <v>112</v>
      </c>
      <c r="EU4" s="191" t="s">
        <v>16</v>
      </c>
      <c r="EV4" s="190" t="s">
        <v>14</v>
      </c>
      <c r="EW4" s="190" t="s">
        <v>15</v>
      </c>
      <c r="EX4" s="191" t="s">
        <v>16</v>
      </c>
      <c r="EY4" s="190" t="s">
        <v>113</v>
      </c>
      <c r="EZ4" s="191" t="s">
        <v>114</v>
      </c>
      <c r="FA4" s="194" t="s">
        <v>119</v>
      </c>
      <c r="FB4" s="191" t="s">
        <v>120</v>
      </c>
      <c r="FC4" s="191" t="s">
        <v>9</v>
      </c>
    </row>
    <row r="5" spans="2:159" x14ac:dyDescent="0.2">
      <c r="R5" s="208">
        <v>3</v>
      </c>
      <c r="S5" s="201" t="s">
        <v>254</v>
      </c>
      <c r="T5" s="198"/>
      <c r="U5" s="199" t="s">
        <v>129</v>
      </c>
      <c r="V5" s="173" t="s">
        <v>2</v>
      </c>
      <c r="Z5" s="206">
        <v>2.6303137858064507</v>
      </c>
      <c r="AA5" s="206">
        <v>7.8682775287741942</v>
      </c>
      <c r="AB5" s="207">
        <v>20.948011602580642</v>
      </c>
      <c r="AE5" s="174">
        <v>9.765625E-4</v>
      </c>
      <c r="AF5" s="174">
        <v>9.765625E-4</v>
      </c>
      <c r="AG5" s="174">
        <v>0.53762457599999991</v>
      </c>
      <c r="AI5" s="199" t="s">
        <v>129</v>
      </c>
      <c r="AJ5" s="173" t="s">
        <v>2</v>
      </c>
      <c r="AN5" s="206">
        <v>7.2859515870967728</v>
      </c>
      <c r="AO5" s="206">
        <v>22.202790812903224</v>
      </c>
      <c r="AP5" s="207">
        <v>65.275164077419362</v>
      </c>
      <c r="AS5" s="174">
        <v>9.765625E-4</v>
      </c>
      <c r="AT5" s="174">
        <v>9.765625E-4</v>
      </c>
      <c r="AU5" s="174">
        <v>2.1396420541935481</v>
      </c>
      <c r="AW5" s="199" t="s">
        <v>129</v>
      </c>
      <c r="AX5" s="173" t="s">
        <v>86</v>
      </c>
      <c r="BB5" s="173">
        <v>2080</v>
      </c>
      <c r="BC5" s="173">
        <v>5440</v>
      </c>
      <c r="BD5" s="174">
        <v>11040</v>
      </c>
      <c r="BG5" s="174">
        <v>9.765625E-4</v>
      </c>
      <c r="BH5" s="174">
        <v>9.765625E-4</v>
      </c>
      <c r="BI5" s="174">
        <v>800</v>
      </c>
      <c r="BK5" s="199" t="s">
        <v>129</v>
      </c>
      <c r="BL5" s="173" t="s">
        <v>86</v>
      </c>
      <c r="BP5" s="173">
        <v>6240</v>
      </c>
      <c r="BQ5" s="173">
        <v>16400</v>
      </c>
      <c r="BR5" s="174">
        <v>39200</v>
      </c>
      <c r="BU5" s="174">
        <v>9.765625E-4</v>
      </c>
      <c r="BV5" s="174">
        <v>9.765625E-4</v>
      </c>
      <c r="BW5" s="174">
        <v>1760</v>
      </c>
      <c r="BY5" s="199" t="s">
        <v>129</v>
      </c>
      <c r="BZ5" s="173" t="s">
        <v>2</v>
      </c>
      <c r="CD5" s="173">
        <v>8.5622193548387067</v>
      </c>
      <c r="CE5" s="173">
        <v>25.612882580645159</v>
      </c>
      <c r="CF5" s="174">
        <v>68.190141935483851</v>
      </c>
      <c r="CI5" s="174">
        <v>9.765625E-4</v>
      </c>
      <c r="CJ5" s="174">
        <v>9.765625E-4</v>
      </c>
      <c r="CK5" s="174">
        <v>1.7500799999999996</v>
      </c>
      <c r="CM5" s="199" t="s">
        <v>118</v>
      </c>
      <c r="DA5" s="199" t="s">
        <v>118</v>
      </c>
      <c r="DO5" s="199" t="s">
        <v>118</v>
      </c>
      <c r="EC5" s="199" t="s">
        <v>118</v>
      </c>
      <c r="EQ5" s="199" t="s">
        <v>118</v>
      </c>
    </row>
    <row r="6" spans="2:159" x14ac:dyDescent="0.2">
      <c r="R6" s="208">
        <v>4</v>
      </c>
      <c r="S6" s="201" t="s">
        <v>104</v>
      </c>
      <c r="T6" s="198"/>
      <c r="U6" s="172" t="s">
        <v>144</v>
      </c>
      <c r="V6" s="173" t="s">
        <v>145</v>
      </c>
      <c r="W6" s="172">
        <v>1</v>
      </c>
      <c r="X6" s="173">
        <v>2</v>
      </c>
      <c r="Y6" s="174">
        <v>4</v>
      </c>
      <c r="Z6" s="173">
        <v>8.6857609083870955</v>
      </c>
      <c r="AA6" s="173">
        <v>8.6857609083870955</v>
      </c>
      <c r="AB6" s="174">
        <v>8.6857609083870955</v>
      </c>
      <c r="AC6" s="173">
        <v>0</v>
      </c>
      <c r="AD6" s="174">
        <v>0</v>
      </c>
      <c r="AE6" s="174">
        <v>1.953125E-3</v>
      </c>
      <c r="AF6" s="174">
        <v>2.9296875E-3</v>
      </c>
      <c r="AG6" s="174">
        <v>0.7457373150967741</v>
      </c>
      <c r="AI6" s="172" t="s">
        <v>94</v>
      </c>
      <c r="AJ6" s="173" t="s">
        <v>19</v>
      </c>
      <c r="AK6" s="172">
        <v>0.15</v>
      </c>
      <c r="AL6" s="173">
        <v>0.2</v>
      </c>
      <c r="AM6" s="174">
        <v>0.25</v>
      </c>
      <c r="AN6" s="173">
        <v>23.787704980645163</v>
      </c>
      <c r="AO6" s="173">
        <v>23.787704980645163</v>
      </c>
      <c r="AP6" s="174">
        <v>23.787704980645163</v>
      </c>
      <c r="AQ6" s="173">
        <v>0</v>
      </c>
      <c r="AR6" s="174">
        <v>0</v>
      </c>
      <c r="AS6" s="174">
        <v>1.953125E-3</v>
      </c>
      <c r="AT6" s="174">
        <v>2.9296875E-3</v>
      </c>
      <c r="AU6" s="174">
        <v>2.475270936774193</v>
      </c>
      <c r="AW6" s="172" t="s">
        <v>47</v>
      </c>
      <c r="AX6" s="173" t="s">
        <v>19</v>
      </c>
      <c r="AY6" s="172">
        <v>0.5</v>
      </c>
      <c r="AZ6" s="173">
        <v>0.6</v>
      </c>
      <c r="BA6" s="174">
        <v>0.75</v>
      </c>
      <c r="BB6" s="173">
        <v>5440</v>
      </c>
      <c r="BC6" s="173">
        <v>5440</v>
      </c>
      <c r="BD6" s="174">
        <v>5440</v>
      </c>
      <c r="BE6" s="173">
        <v>0</v>
      </c>
      <c r="BF6" s="174">
        <v>0</v>
      </c>
      <c r="BG6" s="174">
        <v>1.953125E-3</v>
      </c>
      <c r="BH6" s="174">
        <v>2.9296875E-3</v>
      </c>
      <c r="BI6" s="174">
        <v>880</v>
      </c>
      <c r="BK6" s="172" t="s">
        <v>68</v>
      </c>
      <c r="BL6" s="173" t="s">
        <v>19</v>
      </c>
      <c r="BM6" s="172">
        <v>0.06</v>
      </c>
      <c r="BN6" s="173">
        <v>0.1</v>
      </c>
      <c r="BO6" s="174">
        <v>0.15</v>
      </c>
      <c r="BP6" s="173">
        <v>16320</v>
      </c>
      <c r="BQ6" s="173">
        <v>16320</v>
      </c>
      <c r="BR6" s="174">
        <v>16320</v>
      </c>
      <c r="BS6" s="173">
        <v>0</v>
      </c>
      <c r="BT6" s="174">
        <v>0</v>
      </c>
      <c r="BU6" s="174">
        <v>1.953125E-3</v>
      </c>
      <c r="BV6" s="174">
        <v>2.9296875E-3</v>
      </c>
      <c r="BW6" s="174">
        <v>2480</v>
      </c>
      <c r="BY6" s="172" t="s">
        <v>144</v>
      </c>
      <c r="BZ6" s="173" t="s">
        <v>145</v>
      </c>
      <c r="CA6" s="172">
        <v>1</v>
      </c>
      <c r="CB6" s="173">
        <v>2</v>
      </c>
      <c r="CC6" s="174">
        <v>4</v>
      </c>
      <c r="CD6" s="173">
        <v>28.273961290322575</v>
      </c>
      <c r="CE6" s="173">
        <v>28.273961290322575</v>
      </c>
      <c r="CF6" s="174">
        <v>28.273961290322575</v>
      </c>
      <c r="CG6" s="173">
        <v>0</v>
      </c>
      <c r="CH6" s="174">
        <v>0</v>
      </c>
      <c r="CI6" s="174">
        <v>1.953125E-3</v>
      </c>
      <c r="CJ6" s="174">
        <v>2.9296875E-3</v>
      </c>
      <c r="CK6" s="174">
        <v>2.4275303225806448</v>
      </c>
    </row>
    <row r="7" spans="2:159" x14ac:dyDescent="0.2">
      <c r="R7" s="208">
        <v>5</v>
      </c>
      <c r="S7" s="201" t="s">
        <v>231</v>
      </c>
      <c r="T7" s="198"/>
      <c r="U7" s="172" t="s">
        <v>94</v>
      </c>
      <c r="V7" s="173" t="s">
        <v>19</v>
      </c>
      <c r="W7" s="172">
        <v>0.15</v>
      </c>
      <c r="X7" s="173">
        <v>0.2</v>
      </c>
      <c r="Y7" s="174">
        <v>0.25</v>
      </c>
      <c r="Z7" s="173">
        <v>8.4954633909677408</v>
      </c>
      <c r="AA7" s="173">
        <v>8.6857609083870955</v>
      </c>
      <c r="AB7" s="174">
        <v>8.8760584258064519</v>
      </c>
      <c r="AC7" s="173">
        <v>0.38059503483871104</v>
      </c>
      <c r="AD7" s="174">
        <v>0.14485258054387967</v>
      </c>
      <c r="AE7" s="174">
        <v>1.953125E-3</v>
      </c>
      <c r="AF7" s="174">
        <v>4.8828125E-3</v>
      </c>
      <c r="AG7" s="174">
        <v>0.7457373150967741</v>
      </c>
      <c r="AI7" s="172" t="s">
        <v>92</v>
      </c>
      <c r="AJ7" s="173" t="s">
        <v>19</v>
      </c>
      <c r="AK7" s="172">
        <v>0.01</v>
      </c>
      <c r="AL7" s="173">
        <v>0.02</v>
      </c>
      <c r="AM7" s="174">
        <v>2.5000000000000001E-2</v>
      </c>
      <c r="AN7" s="173">
        <v>23.787704980645163</v>
      </c>
      <c r="AO7" s="173">
        <v>23.787704980645163</v>
      </c>
      <c r="AP7" s="174">
        <v>23.787704980645163</v>
      </c>
      <c r="AQ7" s="173">
        <v>0</v>
      </c>
      <c r="AR7" s="174">
        <v>0</v>
      </c>
      <c r="AS7" s="174">
        <v>1.953125E-3</v>
      </c>
      <c r="AT7" s="174">
        <v>4.8828125E-3</v>
      </c>
      <c r="AU7" s="174">
        <v>2.475270936774193</v>
      </c>
      <c r="AW7" s="172" t="s">
        <v>68</v>
      </c>
      <c r="AX7" s="173" t="s">
        <v>19</v>
      </c>
      <c r="AY7" s="172">
        <v>0.06</v>
      </c>
      <c r="AZ7" s="173">
        <v>0.1</v>
      </c>
      <c r="BA7" s="174">
        <v>0.15</v>
      </c>
      <c r="BB7" s="173">
        <v>5440</v>
      </c>
      <c r="BC7" s="173">
        <v>5440</v>
      </c>
      <c r="BD7" s="174">
        <v>5440</v>
      </c>
      <c r="BE7" s="173">
        <v>0</v>
      </c>
      <c r="BF7" s="174">
        <v>0</v>
      </c>
      <c r="BG7" s="174">
        <v>9.765625E-4</v>
      </c>
      <c r="BH7" s="174">
        <v>3.90625E-3</v>
      </c>
      <c r="BI7" s="174">
        <v>960</v>
      </c>
      <c r="BK7" s="172" t="s">
        <v>70</v>
      </c>
      <c r="BL7" s="173" t="s">
        <v>19</v>
      </c>
      <c r="BM7" s="172">
        <v>0.2</v>
      </c>
      <c r="BN7" s="173">
        <v>0.4</v>
      </c>
      <c r="BO7" s="174">
        <v>0.5</v>
      </c>
      <c r="BP7" s="173">
        <v>16320</v>
      </c>
      <c r="BQ7" s="173">
        <v>16320</v>
      </c>
      <c r="BR7" s="174">
        <v>16320</v>
      </c>
      <c r="BS7" s="173">
        <v>0</v>
      </c>
      <c r="BT7" s="174">
        <v>0</v>
      </c>
      <c r="BU7" s="174">
        <v>1.953125E-3</v>
      </c>
      <c r="BV7" s="174">
        <v>4.8828125E-3</v>
      </c>
      <c r="BW7" s="174">
        <v>2640</v>
      </c>
      <c r="BY7" s="172" t="s">
        <v>94</v>
      </c>
      <c r="BZ7" s="173" t="s">
        <v>19</v>
      </c>
      <c r="CA7" s="172">
        <v>0.15</v>
      </c>
      <c r="CB7" s="173">
        <v>0.2</v>
      </c>
      <c r="CC7" s="174">
        <v>0.25</v>
      </c>
      <c r="CD7" s="173">
        <v>27.654503225806444</v>
      </c>
      <c r="CE7" s="173">
        <v>28.273961290322575</v>
      </c>
      <c r="CF7" s="174">
        <v>28.893419354838709</v>
      </c>
      <c r="CG7" s="173">
        <v>1.2389161290322654</v>
      </c>
      <c r="CH7" s="174">
        <v>1.534913174776293</v>
      </c>
      <c r="CI7" s="174">
        <v>1.953125E-3</v>
      </c>
      <c r="CJ7" s="174">
        <v>4.8828125E-3</v>
      </c>
      <c r="CK7" s="174">
        <v>2.4275303225806448</v>
      </c>
    </row>
    <row r="8" spans="2:159" x14ac:dyDescent="0.2">
      <c r="R8" s="208">
        <v>6</v>
      </c>
      <c r="S8" s="201" t="str">
        <f t="shared" ref="S7:S12" si="0">"--Not Used--"</f>
        <v>--Not Used--</v>
      </c>
      <c r="T8" s="198"/>
      <c r="U8" s="172" t="s">
        <v>47</v>
      </c>
      <c r="V8" s="173" t="s">
        <v>19</v>
      </c>
      <c r="W8" s="172">
        <v>0.5</v>
      </c>
      <c r="X8" s="173">
        <v>0.6</v>
      </c>
      <c r="Y8" s="174">
        <v>0.75</v>
      </c>
      <c r="Z8" s="173">
        <v>8.8760584258064519</v>
      </c>
      <c r="AA8" s="173">
        <v>8.6857609083870955</v>
      </c>
      <c r="AB8" s="174">
        <v>8.4003146322580644</v>
      </c>
      <c r="AC8" s="173">
        <v>-0.47574379354838747</v>
      </c>
      <c r="AD8" s="174">
        <v>0.22633215709981072</v>
      </c>
      <c r="AE8" s="174">
        <v>1.953125E-3</v>
      </c>
      <c r="AF8" s="174">
        <v>6.8359375E-3</v>
      </c>
      <c r="AG8" s="174">
        <v>0.89604095999999989</v>
      </c>
      <c r="AI8" s="172" t="s">
        <v>53</v>
      </c>
      <c r="AJ8" s="173" t="s">
        <v>19</v>
      </c>
      <c r="AK8" s="172">
        <v>0.3</v>
      </c>
      <c r="AL8" s="173">
        <v>0.5</v>
      </c>
      <c r="AM8" s="174">
        <v>0.8</v>
      </c>
      <c r="AN8" s="173">
        <v>23.787704980645163</v>
      </c>
      <c r="AO8" s="173">
        <v>23.787704980645163</v>
      </c>
      <c r="AP8" s="174">
        <v>23.787704980645163</v>
      </c>
      <c r="AQ8" s="173">
        <v>0</v>
      </c>
      <c r="AR8" s="174">
        <v>0</v>
      </c>
      <c r="AS8" s="174">
        <v>9.765625E-4</v>
      </c>
      <c r="AT8" s="174">
        <v>5.859375E-3</v>
      </c>
      <c r="AU8" s="174">
        <v>2.922776113548387</v>
      </c>
      <c r="AW8" s="172" t="s">
        <v>70</v>
      </c>
      <c r="AX8" s="173" t="s">
        <v>19</v>
      </c>
      <c r="AY8" s="172">
        <v>0.2</v>
      </c>
      <c r="AZ8" s="173">
        <v>0.4</v>
      </c>
      <c r="BA8" s="174">
        <v>0.5</v>
      </c>
      <c r="BB8" s="173">
        <v>5440</v>
      </c>
      <c r="BC8" s="173">
        <v>5440</v>
      </c>
      <c r="BD8" s="174">
        <v>5440</v>
      </c>
      <c r="BE8" s="173">
        <v>0</v>
      </c>
      <c r="BF8" s="174">
        <v>0</v>
      </c>
      <c r="BG8" s="174">
        <v>1.953125E-3</v>
      </c>
      <c r="BH8" s="174">
        <v>5.859375E-3</v>
      </c>
      <c r="BI8" s="174">
        <v>1040</v>
      </c>
      <c r="BK8" s="172" t="s">
        <v>73</v>
      </c>
      <c r="BL8" s="173" t="s">
        <v>19</v>
      </c>
      <c r="BM8" s="172">
        <v>0.1</v>
      </c>
      <c r="BN8" s="173">
        <v>0.2</v>
      </c>
      <c r="BO8" s="174">
        <v>0.3</v>
      </c>
      <c r="BP8" s="173">
        <v>16320</v>
      </c>
      <c r="BQ8" s="173">
        <v>16320</v>
      </c>
      <c r="BR8" s="174">
        <v>16320</v>
      </c>
      <c r="BS8" s="173">
        <v>0</v>
      </c>
      <c r="BT8" s="174">
        <v>0</v>
      </c>
      <c r="BU8" s="174">
        <v>1.953125E-3</v>
      </c>
      <c r="BV8" s="174">
        <v>6.8359375E-3</v>
      </c>
      <c r="BW8" s="174">
        <v>2720</v>
      </c>
      <c r="BY8" s="172" t="s">
        <v>47</v>
      </c>
      <c r="BZ8" s="173" t="s">
        <v>19</v>
      </c>
      <c r="CA8" s="172">
        <v>0.5</v>
      </c>
      <c r="CB8" s="173">
        <v>0.6</v>
      </c>
      <c r="CC8" s="174">
        <v>0.75</v>
      </c>
      <c r="CD8" s="173">
        <v>28.893419354838709</v>
      </c>
      <c r="CE8" s="173">
        <v>28.273961290322575</v>
      </c>
      <c r="CF8" s="174">
        <v>27.344774193548385</v>
      </c>
      <c r="CG8" s="173">
        <v>-1.5486451612903238</v>
      </c>
      <c r="CH8" s="174">
        <v>2.3983018355879331</v>
      </c>
      <c r="CI8" s="174">
        <v>1.953125E-3</v>
      </c>
      <c r="CJ8" s="174">
        <v>6.8359375E-3</v>
      </c>
      <c r="CK8" s="174">
        <v>2.9167999999999994</v>
      </c>
    </row>
    <row r="9" spans="2:159" x14ac:dyDescent="0.2">
      <c r="R9" s="208">
        <v>7</v>
      </c>
      <c r="S9" s="201" t="str">
        <f t="shared" si="0"/>
        <v>--Not Used--</v>
      </c>
      <c r="T9" s="198"/>
      <c r="U9" s="172" t="s">
        <v>92</v>
      </c>
      <c r="V9" s="173" t="s">
        <v>19</v>
      </c>
      <c r="W9" s="172">
        <v>0.01</v>
      </c>
      <c r="X9" s="173">
        <v>0.02</v>
      </c>
      <c r="Y9" s="174">
        <v>2.5000000000000001E-2</v>
      </c>
      <c r="Z9" s="173">
        <v>8.3051658735483862</v>
      </c>
      <c r="AA9" s="173">
        <v>8.6857609083870955</v>
      </c>
      <c r="AB9" s="174">
        <v>8.8760584258064519</v>
      </c>
      <c r="AC9" s="173">
        <v>0.57089255225806568</v>
      </c>
      <c r="AD9" s="174">
        <v>0.32591830622372825</v>
      </c>
      <c r="AE9" s="174">
        <v>9.765625E-4</v>
      </c>
      <c r="AF9" s="174">
        <v>7.8125E-3</v>
      </c>
      <c r="AG9" s="174">
        <v>1.0232209672258064</v>
      </c>
      <c r="AI9" s="172" t="s">
        <v>47</v>
      </c>
      <c r="AJ9" s="173" t="s">
        <v>19</v>
      </c>
      <c r="AK9" s="172">
        <v>0.5</v>
      </c>
      <c r="AL9" s="173">
        <v>0.6</v>
      </c>
      <c r="AM9" s="174">
        <v>0.75</v>
      </c>
      <c r="AN9" s="173">
        <v>23.791203096774197</v>
      </c>
      <c r="AO9" s="173">
        <v>23.787704980645163</v>
      </c>
      <c r="AP9" s="174">
        <v>23.782457806451614</v>
      </c>
      <c r="AQ9" s="173">
        <v>-8.745290322583088E-3</v>
      </c>
      <c r="AR9" s="174">
        <v>7.6480102826265406E-5</v>
      </c>
      <c r="AS9" s="174">
        <v>9.765625E-4</v>
      </c>
      <c r="AT9" s="174">
        <v>6.8359375E-3</v>
      </c>
      <c r="AU9" s="174">
        <v>2.922776113548387</v>
      </c>
      <c r="AW9" s="172" t="s">
        <v>144</v>
      </c>
      <c r="AX9" s="173" t="s">
        <v>145</v>
      </c>
      <c r="AY9" s="172">
        <v>1</v>
      </c>
      <c r="AZ9" s="173">
        <v>2</v>
      </c>
      <c r="BA9" s="174">
        <v>4</v>
      </c>
      <c r="BB9" s="173">
        <v>5440</v>
      </c>
      <c r="BC9" s="173">
        <v>5440</v>
      </c>
      <c r="BD9" s="174">
        <v>5440</v>
      </c>
      <c r="BE9" s="173">
        <v>0</v>
      </c>
      <c r="BF9" s="174">
        <v>0</v>
      </c>
      <c r="BG9" s="174">
        <v>1.953125E-3</v>
      </c>
      <c r="BH9" s="174">
        <v>7.8125E-3</v>
      </c>
      <c r="BI9" s="174">
        <v>1040</v>
      </c>
      <c r="BK9" s="172" t="s">
        <v>82</v>
      </c>
      <c r="BL9" s="173" t="s">
        <v>18</v>
      </c>
      <c r="BM9" s="172">
        <v>1</v>
      </c>
      <c r="BN9" s="173">
        <v>1.2</v>
      </c>
      <c r="BO9" s="174">
        <v>1.5</v>
      </c>
      <c r="BP9" s="173">
        <v>16320</v>
      </c>
      <c r="BQ9" s="173">
        <v>16320</v>
      </c>
      <c r="BR9" s="174">
        <v>16320</v>
      </c>
      <c r="BS9" s="173">
        <v>0</v>
      </c>
      <c r="BT9" s="174">
        <v>0</v>
      </c>
      <c r="BU9" s="174">
        <v>1.953125E-3</v>
      </c>
      <c r="BV9" s="174">
        <v>8.7890625E-3</v>
      </c>
      <c r="BW9" s="174">
        <v>2720</v>
      </c>
      <c r="BY9" s="172" t="s">
        <v>92</v>
      </c>
      <c r="BZ9" s="173" t="s">
        <v>19</v>
      </c>
      <c r="CA9" s="172">
        <v>0.01</v>
      </c>
      <c r="CB9" s="173">
        <v>0.02</v>
      </c>
      <c r="CC9" s="174">
        <v>2.5000000000000001E-2</v>
      </c>
      <c r="CD9" s="173">
        <v>27.035045161290316</v>
      </c>
      <c r="CE9" s="173">
        <v>28.273961290322575</v>
      </c>
      <c r="CF9" s="174">
        <v>28.893419354838709</v>
      </c>
      <c r="CG9" s="173">
        <v>1.8583741935483928</v>
      </c>
      <c r="CH9" s="174">
        <v>3.4535546432466395</v>
      </c>
      <c r="CI9" s="174">
        <v>9.765625E-4</v>
      </c>
      <c r="CJ9" s="174">
        <v>7.8125E-3</v>
      </c>
      <c r="CK9" s="174">
        <v>3.330797419354838</v>
      </c>
    </row>
    <row r="10" spans="2:159" x14ac:dyDescent="0.2">
      <c r="R10" s="208">
        <v>8</v>
      </c>
      <c r="S10" s="201" t="str">
        <f t="shared" si="0"/>
        <v>--Not Used--</v>
      </c>
      <c r="T10" s="198"/>
      <c r="U10" s="172" t="s">
        <v>82</v>
      </c>
      <c r="V10" s="173" t="s">
        <v>18</v>
      </c>
      <c r="W10" s="172">
        <v>1</v>
      </c>
      <c r="X10" s="173">
        <v>1.2</v>
      </c>
      <c r="Y10" s="174">
        <v>1.5</v>
      </c>
      <c r="Z10" s="173">
        <v>8.975286272</v>
      </c>
      <c r="AA10" s="173">
        <v>8.6857609083870955</v>
      </c>
      <c r="AB10" s="174">
        <v>8.2848796356923078</v>
      </c>
      <c r="AC10" s="173">
        <v>-0.69040663630769217</v>
      </c>
      <c r="AD10" s="174">
        <v>0.4766613234577019</v>
      </c>
      <c r="AE10" s="174">
        <v>9.765625E-4</v>
      </c>
      <c r="AF10" s="174">
        <v>8.7890625E-3</v>
      </c>
      <c r="AG10" s="174">
        <v>1.0232209672258064</v>
      </c>
      <c r="AI10" s="172" t="s">
        <v>82</v>
      </c>
      <c r="AJ10" s="173" t="s">
        <v>18</v>
      </c>
      <c r="AK10" s="172">
        <v>1</v>
      </c>
      <c r="AL10" s="173">
        <v>1.2</v>
      </c>
      <c r="AM10" s="174">
        <v>1.5</v>
      </c>
      <c r="AN10" s="173">
        <v>24.580628480000001</v>
      </c>
      <c r="AO10" s="173">
        <v>23.787704980645163</v>
      </c>
      <c r="AP10" s="174">
        <v>22.689810904615392</v>
      </c>
      <c r="AQ10" s="173">
        <v>-1.8908175753846095</v>
      </c>
      <c r="AR10" s="174">
        <v>3.5751911033833332</v>
      </c>
      <c r="AS10" s="174">
        <v>1.953125E-3</v>
      </c>
      <c r="AT10" s="174">
        <v>8.7890625E-3</v>
      </c>
      <c r="AU10" s="174">
        <v>3.2024668490322576</v>
      </c>
      <c r="AW10" s="172" t="s">
        <v>82</v>
      </c>
      <c r="AX10" s="173" t="s">
        <v>18</v>
      </c>
      <c r="AY10" s="172">
        <v>1</v>
      </c>
      <c r="AZ10" s="173">
        <v>1.2</v>
      </c>
      <c r="BA10" s="174">
        <v>1.5</v>
      </c>
      <c r="BB10" s="173">
        <v>5440</v>
      </c>
      <c r="BC10" s="173">
        <v>5440</v>
      </c>
      <c r="BD10" s="174">
        <v>5440</v>
      </c>
      <c r="BE10" s="173">
        <v>0</v>
      </c>
      <c r="BF10" s="174">
        <v>0</v>
      </c>
      <c r="BG10" s="174">
        <v>1.953125E-3</v>
      </c>
      <c r="BH10" s="174">
        <v>9.765625E-3</v>
      </c>
      <c r="BI10" s="174">
        <v>1160</v>
      </c>
      <c r="BK10" s="172" t="s">
        <v>25</v>
      </c>
      <c r="BL10" s="173" t="s">
        <v>19</v>
      </c>
      <c r="BM10" s="172">
        <v>0.5</v>
      </c>
      <c r="BN10" s="173">
        <v>0.75</v>
      </c>
      <c r="BO10" s="174">
        <v>0.9</v>
      </c>
      <c r="BP10" s="173">
        <v>16320</v>
      </c>
      <c r="BQ10" s="173">
        <v>16320</v>
      </c>
      <c r="BR10" s="174">
        <v>16320</v>
      </c>
      <c r="BS10" s="173">
        <v>0</v>
      </c>
      <c r="BT10" s="174">
        <v>0</v>
      </c>
      <c r="BU10" s="174">
        <v>1.953125E-3</v>
      </c>
      <c r="BV10" s="174">
        <v>1.07421875E-2</v>
      </c>
      <c r="BW10" s="174">
        <v>3200</v>
      </c>
      <c r="BY10" s="172" t="s">
        <v>82</v>
      </c>
      <c r="BZ10" s="173" t="s">
        <v>18</v>
      </c>
      <c r="CA10" s="172">
        <v>1</v>
      </c>
      <c r="CB10" s="173">
        <v>1.2</v>
      </c>
      <c r="CC10" s="174">
        <v>1.5</v>
      </c>
      <c r="CD10" s="173">
        <v>29.216426666666663</v>
      </c>
      <c r="CE10" s="173">
        <v>28.273961290322575</v>
      </c>
      <c r="CF10" s="174">
        <v>26.969009230769228</v>
      </c>
      <c r="CG10" s="173">
        <v>-2.2474174358974359</v>
      </c>
      <c r="CH10" s="174">
        <v>5.0508851311758054</v>
      </c>
      <c r="CI10" s="174">
        <v>9.765625E-4</v>
      </c>
      <c r="CJ10" s="174">
        <v>8.7890625E-3</v>
      </c>
      <c r="CK10" s="174">
        <v>3.330797419354838</v>
      </c>
    </row>
    <row r="11" spans="2:159" x14ac:dyDescent="0.2">
      <c r="R11" s="208">
        <v>9</v>
      </c>
      <c r="S11" s="201" t="str">
        <f t="shared" si="0"/>
        <v>--Not Used--</v>
      </c>
      <c r="T11" s="198"/>
      <c r="U11" s="172" t="s">
        <v>53</v>
      </c>
      <c r="V11" s="173" t="s">
        <v>19</v>
      </c>
      <c r="W11" s="172">
        <v>0.3</v>
      </c>
      <c r="X11" s="173">
        <v>0.5</v>
      </c>
      <c r="Y11" s="174">
        <v>0.8</v>
      </c>
      <c r="Z11" s="173">
        <v>8.3812848805161284</v>
      </c>
      <c r="AA11" s="173">
        <v>8.6857609083870955</v>
      </c>
      <c r="AB11" s="174">
        <v>9.1424749501935487</v>
      </c>
      <c r="AC11" s="173">
        <v>0.76119006967742031</v>
      </c>
      <c r="AD11" s="174">
        <v>0.57941032217551602</v>
      </c>
      <c r="AE11" s="174">
        <v>1.953125E-3</v>
      </c>
      <c r="AF11" s="174">
        <v>1.07421875E-2</v>
      </c>
      <c r="AG11" s="174">
        <v>1.1879055360000002</v>
      </c>
      <c r="AI11" s="172" t="s">
        <v>239</v>
      </c>
      <c r="AJ11" s="173" t="s">
        <v>139</v>
      </c>
      <c r="AK11" s="172">
        <v>10</v>
      </c>
      <c r="AL11" s="173">
        <v>20</v>
      </c>
      <c r="AM11" s="174">
        <v>30</v>
      </c>
      <c r="AN11" s="173">
        <v>22.738864722580644</v>
      </c>
      <c r="AO11" s="173">
        <v>23.787704980645163</v>
      </c>
      <c r="AP11" s="174">
        <v>24.836545238709675</v>
      </c>
      <c r="AQ11" s="173">
        <v>2.0976805161290315</v>
      </c>
      <c r="AR11" s="174">
        <v>4.4002635477473602</v>
      </c>
      <c r="AS11" s="174">
        <v>1.953125E-3</v>
      </c>
      <c r="AT11" s="174">
        <v>1.07421875E-2</v>
      </c>
      <c r="AU11" s="174">
        <v>3.5567417806451602</v>
      </c>
      <c r="AW11" s="172" t="s">
        <v>25</v>
      </c>
      <c r="AX11" s="173" t="s">
        <v>19</v>
      </c>
      <c r="AY11" s="172">
        <v>0.5</v>
      </c>
      <c r="AZ11" s="173">
        <v>0.75</v>
      </c>
      <c r="BA11" s="174">
        <v>0.9</v>
      </c>
      <c r="BB11" s="173">
        <v>5440</v>
      </c>
      <c r="BC11" s="173">
        <v>5440</v>
      </c>
      <c r="BD11" s="174">
        <v>5440</v>
      </c>
      <c r="BE11" s="173">
        <v>0</v>
      </c>
      <c r="BF11" s="174">
        <v>0</v>
      </c>
      <c r="BG11" s="174">
        <v>3.90625E-3</v>
      </c>
      <c r="BH11" s="174">
        <v>1.3671875E-2</v>
      </c>
      <c r="BI11" s="174">
        <v>1240</v>
      </c>
      <c r="BK11" s="172" t="s">
        <v>47</v>
      </c>
      <c r="BL11" s="173" t="s">
        <v>19</v>
      </c>
      <c r="BM11" s="172">
        <v>0.5</v>
      </c>
      <c r="BN11" s="173">
        <v>0.6</v>
      </c>
      <c r="BO11" s="174">
        <v>0.75</v>
      </c>
      <c r="BP11" s="173">
        <v>16320</v>
      </c>
      <c r="BQ11" s="173">
        <v>16320</v>
      </c>
      <c r="BR11" s="174">
        <v>16320</v>
      </c>
      <c r="BS11" s="173">
        <v>0</v>
      </c>
      <c r="BT11" s="174">
        <v>0</v>
      </c>
      <c r="BU11" s="174">
        <v>3.90625E-3</v>
      </c>
      <c r="BV11" s="174">
        <v>1.46484375E-2</v>
      </c>
      <c r="BW11" s="174">
        <v>3440</v>
      </c>
      <c r="BY11" s="172" t="s">
        <v>53</v>
      </c>
      <c r="BZ11" s="173" t="s">
        <v>19</v>
      </c>
      <c r="CA11" s="172">
        <v>0.3</v>
      </c>
      <c r="CB11" s="173">
        <v>0.5</v>
      </c>
      <c r="CC11" s="174">
        <v>0.8</v>
      </c>
      <c r="CD11" s="173">
        <v>27.282828387096771</v>
      </c>
      <c r="CE11" s="173">
        <v>28.273961290322575</v>
      </c>
      <c r="CF11" s="174">
        <v>29.760660645161288</v>
      </c>
      <c r="CG11" s="173">
        <v>2.4778322580645167</v>
      </c>
      <c r="CH11" s="174">
        <v>6.1396526991051017</v>
      </c>
      <c r="CI11" s="174">
        <v>1.953125E-3</v>
      </c>
      <c r="CJ11" s="174">
        <v>1.07421875E-2</v>
      </c>
      <c r="CK11" s="174">
        <v>3.8668800000000001</v>
      </c>
    </row>
    <row r="12" spans="2:159" ht="15" thickBot="1" x14ac:dyDescent="0.25">
      <c r="R12" s="208">
        <v>10</v>
      </c>
      <c r="S12" s="202" t="str">
        <f t="shared" si="0"/>
        <v>--Not Used--</v>
      </c>
      <c r="T12" s="198"/>
      <c r="U12" s="172" t="s">
        <v>239</v>
      </c>
      <c r="V12" s="173" t="s">
        <v>139</v>
      </c>
      <c r="W12" s="172">
        <v>10</v>
      </c>
      <c r="X12" s="173">
        <v>20</v>
      </c>
      <c r="Y12" s="174">
        <v>30</v>
      </c>
      <c r="Z12" s="173">
        <v>8.3025655741935473</v>
      </c>
      <c r="AA12" s="173">
        <v>8.6857609083870955</v>
      </c>
      <c r="AB12" s="174">
        <v>9.0689562425806436</v>
      </c>
      <c r="AC12" s="173">
        <v>0.76639066838709624</v>
      </c>
      <c r="AD12" s="174">
        <v>0.58735465659082009</v>
      </c>
      <c r="AE12" s="174">
        <v>3.90625E-3</v>
      </c>
      <c r="AF12" s="174">
        <v>1.46484375E-2</v>
      </c>
      <c r="AG12" s="174">
        <v>1.2428955251612901</v>
      </c>
      <c r="AI12" s="172" t="s">
        <v>241</v>
      </c>
      <c r="AJ12" s="173" t="s">
        <v>140</v>
      </c>
      <c r="AK12" s="172">
        <v>50</v>
      </c>
      <c r="AL12" s="173">
        <v>100</v>
      </c>
      <c r="AM12" s="174">
        <v>150</v>
      </c>
      <c r="AN12" s="173">
        <v>22.738864722580644</v>
      </c>
      <c r="AO12" s="173">
        <v>23.787704980645163</v>
      </c>
      <c r="AP12" s="174">
        <v>24.836545238709675</v>
      </c>
      <c r="AQ12" s="173">
        <v>2.0976805161290315</v>
      </c>
      <c r="AR12" s="174">
        <v>4.4002635477473602</v>
      </c>
      <c r="AS12" s="174">
        <v>3.90625E-3</v>
      </c>
      <c r="AT12" s="174">
        <v>1.46484375E-2</v>
      </c>
      <c r="AU12" s="174">
        <v>3.7059101729032253</v>
      </c>
      <c r="AW12" s="172" t="s">
        <v>73</v>
      </c>
      <c r="AX12" s="173" t="s">
        <v>19</v>
      </c>
      <c r="AY12" s="172">
        <v>0.1</v>
      </c>
      <c r="AZ12" s="173">
        <v>0.2</v>
      </c>
      <c r="BA12" s="174">
        <v>0.3</v>
      </c>
      <c r="BB12" s="173">
        <v>5440</v>
      </c>
      <c r="BC12" s="173">
        <v>5440</v>
      </c>
      <c r="BD12" s="174">
        <v>5440</v>
      </c>
      <c r="BE12" s="173">
        <v>0</v>
      </c>
      <c r="BF12" s="174">
        <v>0</v>
      </c>
      <c r="BG12" s="174">
        <v>1.953125E-3</v>
      </c>
      <c r="BH12" s="174">
        <v>1.5625E-2</v>
      </c>
      <c r="BI12" s="174">
        <v>1320</v>
      </c>
      <c r="BK12" s="172" t="s">
        <v>92</v>
      </c>
      <c r="BL12" s="173" t="s">
        <v>19</v>
      </c>
      <c r="BM12" s="172">
        <v>0.01</v>
      </c>
      <c r="BN12" s="173">
        <v>0.02</v>
      </c>
      <c r="BO12" s="174">
        <v>2.5000000000000001E-2</v>
      </c>
      <c r="BP12" s="173">
        <v>16320</v>
      </c>
      <c r="BQ12" s="173">
        <v>16320</v>
      </c>
      <c r="BR12" s="174">
        <v>16320</v>
      </c>
      <c r="BS12" s="173">
        <v>0</v>
      </c>
      <c r="BT12" s="174">
        <v>0</v>
      </c>
      <c r="BU12" s="174">
        <v>3.90625E-3</v>
      </c>
      <c r="BV12" s="174">
        <v>1.85546875E-2</v>
      </c>
      <c r="BW12" s="174">
        <v>3440</v>
      </c>
      <c r="BY12" s="172" t="s">
        <v>239</v>
      </c>
      <c r="BZ12" s="173" t="s">
        <v>139</v>
      </c>
      <c r="CA12" s="172">
        <v>10</v>
      </c>
      <c r="CB12" s="173">
        <v>20</v>
      </c>
      <c r="CC12" s="174">
        <v>30</v>
      </c>
      <c r="CD12" s="173">
        <v>27.026580645161285</v>
      </c>
      <c r="CE12" s="173">
        <v>28.273961290322575</v>
      </c>
      <c r="CF12" s="174">
        <v>29.521341935483864</v>
      </c>
      <c r="CG12" s="173">
        <v>2.4947612903225789</v>
      </c>
      <c r="CH12" s="174">
        <v>6.2238338956919783</v>
      </c>
      <c r="CI12" s="174">
        <v>3.90625E-3</v>
      </c>
      <c r="CJ12" s="174">
        <v>1.46484375E-2</v>
      </c>
      <c r="CK12" s="174">
        <v>4.0458838709677405</v>
      </c>
    </row>
    <row r="13" spans="2:159" x14ac:dyDescent="0.2">
      <c r="U13" s="172" t="s">
        <v>241</v>
      </c>
      <c r="V13" s="173" t="s">
        <v>140</v>
      </c>
      <c r="W13" s="172">
        <v>50</v>
      </c>
      <c r="X13" s="173">
        <v>100</v>
      </c>
      <c r="Y13" s="174">
        <v>150</v>
      </c>
      <c r="Z13" s="173">
        <v>8.3025655741935473</v>
      </c>
      <c r="AA13" s="173">
        <v>8.6857609083870955</v>
      </c>
      <c r="AB13" s="174">
        <v>9.0689562425806436</v>
      </c>
      <c r="AC13" s="173">
        <v>0.76639066838709624</v>
      </c>
      <c r="AD13" s="174">
        <v>0.58735465659082009</v>
      </c>
      <c r="AE13" s="174">
        <v>3.90625E-3</v>
      </c>
      <c r="AF13" s="174">
        <v>1.85546875E-2</v>
      </c>
      <c r="AG13" s="174">
        <v>1.2428955251612901</v>
      </c>
      <c r="AI13" s="172" t="s">
        <v>242</v>
      </c>
      <c r="AJ13" s="173" t="s">
        <v>141</v>
      </c>
      <c r="AK13" s="172">
        <v>0.3</v>
      </c>
      <c r="AL13" s="173">
        <v>0.4</v>
      </c>
      <c r="AM13" s="174">
        <v>0.7</v>
      </c>
      <c r="AN13" s="173">
        <v>23.263284851612902</v>
      </c>
      <c r="AO13" s="173">
        <v>23.787704980645163</v>
      </c>
      <c r="AP13" s="174">
        <v>25.360965367741937</v>
      </c>
      <c r="AQ13" s="173">
        <v>2.0976805161290351</v>
      </c>
      <c r="AR13" s="174">
        <v>4.4002635477473753</v>
      </c>
      <c r="AS13" s="174">
        <v>3.90625E-3</v>
      </c>
      <c r="AT13" s="174">
        <v>1.85546875E-2</v>
      </c>
      <c r="AU13" s="174">
        <v>3.7059101729032253</v>
      </c>
      <c r="AW13" s="172" t="s">
        <v>92</v>
      </c>
      <c r="AX13" s="173" t="s">
        <v>19</v>
      </c>
      <c r="AY13" s="172">
        <v>0.01</v>
      </c>
      <c r="AZ13" s="173">
        <v>0.02</v>
      </c>
      <c r="BA13" s="174">
        <v>2.5000000000000001E-2</v>
      </c>
      <c r="BB13" s="173">
        <v>5440</v>
      </c>
      <c r="BC13" s="173">
        <v>5440</v>
      </c>
      <c r="BD13" s="174">
        <v>5440</v>
      </c>
      <c r="BE13" s="173">
        <v>0</v>
      </c>
      <c r="BF13" s="174">
        <v>0</v>
      </c>
      <c r="BG13" s="174">
        <v>9.765625E-4</v>
      </c>
      <c r="BH13" s="174">
        <v>1.66015625E-2</v>
      </c>
      <c r="BI13" s="174">
        <v>1360</v>
      </c>
      <c r="BK13" s="172" t="s">
        <v>59</v>
      </c>
      <c r="BL13" s="173" t="s">
        <v>2</v>
      </c>
      <c r="BM13" s="172">
        <v>3</v>
      </c>
      <c r="BN13" s="173">
        <v>5</v>
      </c>
      <c r="BO13" s="174">
        <v>7</v>
      </c>
      <c r="BP13" s="173">
        <v>16320</v>
      </c>
      <c r="BQ13" s="173">
        <v>16320</v>
      </c>
      <c r="BR13" s="174">
        <v>16320</v>
      </c>
      <c r="BS13" s="173">
        <v>0</v>
      </c>
      <c r="BT13" s="174">
        <v>0</v>
      </c>
      <c r="BU13" s="174">
        <v>9.765625E-4</v>
      </c>
      <c r="BV13" s="174">
        <v>1.953125E-2</v>
      </c>
      <c r="BW13" s="174">
        <v>3680</v>
      </c>
      <c r="BY13" s="172" t="s">
        <v>241</v>
      </c>
      <c r="BZ13" s="173" t="s">
        <v>140</v>
      </c>
      <c r="CA13" s="172">
        <v>50</v>
      </c>
      <c r="CB13" s="173">
        <v>100</v>
      </c>
      <c r="CC13" s="174">
        <v>150</v>
      </c>
      <c r="CD13" s="173">
        <v>27.026580645161285</v>
      </c>
      <c r="CE13" s="173">
        <v>28.273961290322575</v>
      </c>
      <c r="CF13" s="174">
        <v>29.521341935483864</v>
      </c>
      <c r="CG13" s="173">
        <v>2.4947612903225789</v>
      </c>
      <c r="CH13" s="174">
        <v>6.2238338956919783</v>
      </c>
      <c r="CI13" s="174">
        <v>3.90625E-3</v>
      </c>
      <c r="CJ13" s="174">
        <v>1.85546875E-2</v>
      </c>
      <c r="CK13" s="174">
        <v>4.0458838709677405</v>
      </c>
    </row>
    <row r="14" spans="2:159" x14ac:dyDescent="0.2">
      <c r="U14" s="172" t="s">
        <v>242</v>
      </c>
      <c r="V14" s="173" t="s">
        <v>141</v>
      </c>
      <c r="W14" s="172">
        <v>0.3</v>
      </c>
      <c r="X14" s="173">
        <v>0.4</v>
      </c>
      <c r="Y14" s="174">
        <v>0.7</v>
      </c>
      <c r="Z14" s="173">
        <v>8.4941632412903214</v>
      </c>
      <c r="AA14" s="173">
        <v>8.6857609083870955</v>
      </c>
      <c r="AB14" s="174">
        <v>9.2605539096774212</v>
      </c>
      <c r="AC14" s="173">
        <v>0.76639066838709979</v>
      </c>
      <c r="AD14" s="174">
        <v>0.58735465659082553</v>
      </c>
      <c r="AE14" s="174">
        <v>9.765625E-4</v>
      </c>
      <c r="AF14" s="174">
        <v>1.953125E-2</v>
      </c>
      <c r="AG14" s="174">
        <v>1.2544573439999998</v>
      </c>
      <c r="AI14" s="172" t="s">
        <v>77</v>
      </c>
      <c r="AJ14" s="173" t="s">
        <v>19</v>
      </c>
      <c r="AK14" s="172">
        <v>0.01</v>
      </c>
      <c r="AL14" s="173">
        <v>0.04</v>
      </c>
      <c r="AM14" s="174">
        <v>0.03</v>
      </c>
      <c r="AN14" s="173">
        <v>19.330133883870968</v>
      </c>
      <c r="AO14" s="173">
        <v>23.787704980645163</v>
      </c>
      <c r="AP14" s="174">
        <v>22.301847948387099</v>
      </c>
      <c r="AQ14" s="173">
        <v>2.9717140645161315</v>
      </c>
      <c r="AR14" s="174">
        <v>8.8310844812429874</v>
      </c>
      <c r="AS14" s="174">
        <v>3.90625E-3</v>
      </c>
      <c r="AT14" s="174">
        <v>2.24609375E-2</v>
      </c>
      <c r="AU14" s="174">
        <v>3.8177864670967732</v>
      </c>
      <c r="AW14" s="172" t="s">
        <v>59</v>
      </c>
      <c r="AX14" s="173" t="s">
        <v>2</v>
      </c>
      <c r="AY14" s="172">
        <v>3</v>
      </c>
      <c r="AZ14" s="173">
        <v>5</v>
      </c>
      <c r="BA14" s="174">
        <v>7</v>
      </c>
      <c r="BB14" s="173">
        <v>5440</v>
      </c>
      <c r="BC14" s="173">
        <v>5440</v>
      </c>
      <c r="BD14" s="174">
        <v>5440</v>
      </c>
      <c r="BE14" s="173">
        <v>0</v>
      </c>
      <c r="BF14" s="174">
        <v>0</v>
      </c>
      <c r="BG14" s="174">
        <v>9.765625E-4</v>
      </c>
      <c r="BH14" s="174">
        <v>1.7578125E-2</v>
      </c>
      <c r="BI14" s="174">
        <v>1360</v>
      </c>
      <c r="BK14" s="172" t="s">
        <v>53</v>
      </c>
      <c r="BL14" s="173" t="s">
        <v>19</v>
      </c>
      <c r="BM14" s="172">
        <v>0.3</v>
      </c>
      <c r="BN14" s="173">
        <v>0.5</v>
      </c>
      <c r="BO14" s="174">
        <v>0.8</v>
      </c>
      <c r="BP14" s="173">
        <v>16320</v>
      </c>
      <c r="BQ14" s="173">
        <v>16320</v>
      </c>
      <c r="BR14" s="174">
        <v>16320</v>
      </c>
      <c r="BS14" s="173">
        <v>0</v>
      </c>
      <c r="BT14" s="174">
        <v>0</v>
      </c>
      <c r="BU14" s="174">
        <v>3.90625E-3</v>
      </c>
      <c r="BV14" s="174">
        <v>2.34375E-2</v>
      </c>
      <c r="BW14" s="174">
        <v>3720</v>
      </c>
      <c r="BY14" s="172" t="s">
        <v>242</v>
      </c>
      <c r="BZ14" s="173" t="s">
        <v>141</v>
      </c>
      <c r="CA14" s="172">
        <v>0.3</v>
      </c>
      <c r="CB14" s="173">
        <v>0.4</v>
      </c>
      <c r="CC14" s="174">
        <v>0.7</v>
      </c>
      <c r="CD14" s="173">
        <v>27.650270967741928</v>
      </c>
      <c r="CE14" s="173">
        <v>28.273961290322575</v>
      </c>
      <c r="CF14" s="174">
        <v>30.145032258064518</v>
      </c>
      <c r="CG14" s="173">
        <v>2.4947612903225895</v>
      </c>
      <c r="CH14" s="174">
        <v>6.2238338956920316</v>
      </c>
      <c r="CI14" s="174">
        <v>9.765625E-4</v>
      </c>
      <c r="CJ14" s="174">
        <v>1.953125E-2</v>
      </c>
      <c r="CK14" s="174">
        <v>4.0835199999999992</v>
      </c>
    </row>
    <row r="15" spans="2:159" x14ac:dyDescent="0.2">
      <c r="U15" s="172" t="s">
        <v>77</v>
      </c>
      <c r="V15" s="173" t="s">
        <v>19</v>
      </c>
      <c r="W15" s="172">
        <v>0.01</v>
      </c>
      <c r="X15" s="173">
        <v>0.04</v>
      </c>
      <c r="Y15" s="174">
        <v>0.03</v>
      </c>
      <c r="Z15" s="173">
        <v>7.1999038761290324</v>
      </c>
      <c r="AA15" s="173">
        <v>8.6857609083870955</v>
      </c>
      <c r="AB15" s="174">
        <v>8.1904752309677402</v>
      </c>
      <c r="AC15" s="173">
        <v>0.99057135483870784</v>
      </c>
      <c r="AD15" s="174">
        <v>0.98123160902699325</v>
      </c>
      <c r="AE15" s="174">
        <v>1.953125E-3</v>
      </c>
      <c r="AF15" s="174">
        <v>2.1484375E-2</v>
      </c>
      <c r="AG15" s="174">
        <v>1.3180473476129031</v>
      </c>
      <c r="AI15" s="172" t="s">
        <v>240</v>
      </c>
      <c r="AJ15" s="173" t="s">
        <v>139</v>
      </c>
      <c r="AK15" s="172">
        <v>10</v>
      </c>
      <c r="AL15" s="173">
        <v>20</v>
      </c>
      <c r="AM15" s="174">
        <v>40</v>
      </c>
      <c r="AN15" s="173">
        <v>22.738864722580644</v>
      </c>
      <c r="AO15" s="173">
        <v>23.787704980645163</v>
      </c>
      <c r="AP15" s="174">
        <v>25.885385496774195</v>
      </c>
      <c r="AQ15" s="173">
        <v>3.1465207741935508</v>
      </c>
      <c r="AR15" s="174">
        <v>9.9005929824315828</v>
      </c>
      <c r="AS15" s="174">
        <v>3.90625E-3</v>
      </c>
      <c r="AT15" s="174">
        <v>2.63671875E-2</v>
      </c>
      <c r="AU15" s="174">
        <v>4.116123251612902</v>
      </c>
      <c r="AW15" s="172" t="s">
        <v>53</v>
      </c>
      <c r="AX15" s="173" t="s">
        <v>19</v>
      </c>
      <c r="AY15" s="172">
        <v>0.3</v>
      </c>
      <c r="AZ15" s="173">
        <v>0.5</v>
      </c>
      <c r="BA15" s="174">
        <v>0.8</v>
      </c>
      <c r="BB15" s="173">
        <v>5440</v>
      </c>
      <c r="BC15" s="173">
        <v>5440</v>
      </c>
      <c r="BD15" s="174">
        <v>5440</v>
      </c>
      <c r="BE15" s="173">
        <v>0</v>
      </c>
      <c r="BF15" s="174">
        <v>0</v>
      </c>
      <c r="BG15" s="174">
        <v>3.90625E-3</v>
      </c>
      <c r="BH15" s="174">
        <v>2.1484375E-2</v>
      </c>
      <c r="BI15" s="174">
        <v>1360</v>
      </c>
      <c r="BK15" s="172" t="s">
        <v>75</v>
      </c>
      <c r="BL15" s="173" t="s">
        <v>19</v>
      </c>
      <c r="BM15" s="172">
        <v>0.08</v>
      </c>
      <c r="BN15" s="173">
        <v>0.1</v>
      </c>
      <c r="BO15" s="174">
        <v>0.2</v>
      </c>
      <c r="BP15" s="173">
        <v>16320</v>
      </c>
      <c r="BQ15" s="173">
        <v>16320</v>
      </c>
      <c r="BR15" s="174">
        <v>16320</v>
      </c>
      <c r="BS15" s="173">
        <v>0</v>
      </c>
      <c r="BT15" s="174">
        <v>0</v>
      </c>
      <c r="BU15" s="174">
        <v>9.765625E-4</v>
      </c>
      <c r="BV15" s="174">
        <v>2.44140625E-2</v>
      </c>
      <c r="BW15" s="174">
        <v>4000</v>
      </c>
      <c r="BY15" s="172" t="s">
        <v>77</v>
      </c>
      <c r="BZ15" s="173" t="s">
        <v>19</v>
      </c>
      <c r="CA15" s="172">
        <v>0.01</v>
      </c>
      <c r="CB15" s="173">
        <v>0.04</v>
      </c>
      <c r="CC15" s="174">
        <v>0.03</v>
      </c>
      <c r="CD15" s="173">
        <v>23.437187096774192</v>
      </c>
      <c r="CE15" s="173">
        <v>28.273961290322575</v>
      </c>
      <c r="CF15" s="174">
        <v>26.661703225806445</v>
      </c>
      <c r="CG15" s="173">
        <v>3.2245161290322528</v>
      </c>
      <c r="CH15" s="174">
        <v>10.397504266389143</v>
      </c>
      <c r="CI15" s="174">
        <v>1.953125E-3</v>
      </c>
      <c r="CJ15" s="174">
        <v>2.1484375E-2</v>
      </c>
      <c r="CK15" s="174">
        <v>4.2905187096774187</v>
      </c>
    </row>
    <row r="16" spans="2:159" x14ac:dyDescent="0.2">
      <c r="U16" s="172" t="s">
        <v>240</v>
      </c>
      <c r="V16" s="173" t="s">
        <v>139</v>
      </c>
      <c r="W16" s="172">
        <v>10</v>
      </c>
      <c r="X16" s="173">
        <v>20</v>
      </c>
      <c r="Y16" s="174">
        <v>40</v>
      </c>
      <c r="Z16" s="173">
        <v>8.3025655741935473</v>
      </c>
      <c r="AA16" s="173">
        <v>8.6857609083870955</v>
      </c>
      <c r="AB16" s="174">
        <v>9.4521515767741935</v>
      </c>
      <c r="AC16" s="173">
        <v>1.1495860025806461</v>
      </c>
      <c r="AD16" s="174">
        <v>1.3215479773293493</v>
      </c>
      <c r="AE16" s="174">
        <v>3.90625E-3</v>
      </c>
      <c r="AF16" s="174">
        <v>2.5390625E-2</v>
      </c>
      <c r="AG16" s="174">
        <v>1.5261600867096772</v>
      </c>
      <c r="AI16" s="172" t="s">
        <v>238</v>
      </c>
      <c r="AJ16" s="173" t="s">
        <v>139</v>
      </c>
      <c r="AK16" s="172">
        <v>2000</v>
      </c>
      <c r="AL16" s="173">
        <v>30000</v>
      </c>
      <c r="AM16" s="174">
        <v>50000</v>
      </c>
      <c r="AN16" s="173">
        <v>21.829869832258066</v>
      </c>
      <c r="AO16" s="173">
        <v>23.787704980645163</v>
      </c>
      <c r="AP16" s="174">
        <v>25.186158658064514</v>
      </c>
      <c r="AQ16" s="173">
        <v>3.3562888258064483</v>
      </c>
      <c r="AR16" s="174">
        <v>11.264674682233228</v>
      </c>
      <c r="AS16" s="174">
        <v>3.90625E-3</v>
      </c>
      <c r="AT16" s="174">
        <v>3.02734375E-2</v>
      </c>
      <c r="AU16" s="174">
        <v>4.116123251612902</v>
      </c>
      <c r="AW16" s="172" t="s">
        <v>75</v>
      </c>
      <c r="AX16" s="173" t="s">
        <v>19</v>
      </c>
      <c r="AY16" s="172">
        <v>0.08</v>
      </c>
      <c r="AZ16" s="173">
        <v>0.1</v>
      </c>
      <c r="BA16" s="174">
        <v>0.2</v>
      </c>
      <c r="BB16" s="173">
        <v>5440</v>
      </c>
      <c r="BC16" s="173">
        <v>5440</v>
      </c>
      <c r="BD16" s="174">
        <v>5440</v>
      </c>
      <c r="BE16" s="173">
        <v>0</v>
      </c>
      <c r="BF16" s="174">
        <v>0</v>
      </c>
      <c r="BG16" s="174">
        <v>3.90625E-3</v>
      </c>
      <c r="BH16" s="174">
        <v>2.5390625E-2</v>
      </c>
      <c r="BI16" s="174">
        <v>1360</v>
      </c>
      <c r="BK16" s="172" t="s">
        <v>77</v>
      </c>
      <c r="BL16" s="173" t="s">
        <v>19</v>
      </c>
      <c r="BM16" s="172">
        <v>0.01</v>
      </c>
      <c r="BN16" s="173">
        <v>0.04</v>
      </c>
      <c r="BO16" s="174">
        <v>0.03</v>
      </c>
      <c r="BP16" s="173">
        <v>16320</v>
      </c>
      <c r="BQ16" s="173">
        <v>16320</v>
      </c>
      <c r="BR16" s="174">
        <v>16320</v>
      </c>
      <c r="BS16" s="173">
        <v>0</v>
      </c>
      <c r="BT16" s="174">
        <v>0</v>
      </c>
      <c r="BU16" s="174">
        <v>9.765625E-4</v>
      </c>
      <c r="BV16" s="174">
        <v>2.5390625E-2</v>
      </c>
      <c r="BW16" s="174">
        <v>4000</v>
      </c>
      <c r="BY16" s="172" t="s">
        <v>240</v>
      </c>
      <c r="BZ16" s="173" t="s">
        <v>139</v>
      </c>
      <c r="CA16" s="172">
        <v>10</v>
      </c>
      <c r="CB16" s="173">
        <v>20</v>
      </c>
      <c r="CC16" s="174">
        <v>40</v>
      </c>
      <c r="CD16" s="173">
        <v>27.026580645161285</v>
      </c>
      <c r="CE16" s="173">
        <v>28.273961290322575</v>
      </c>
      <c r="CF16" s="174">
        <v>30.768722580645157</v>
      </c>
      <c r="CG16" s="173">
        <v>3.7421419354838719</v>
      </c>
      <c r="CH16" s="174">
        <v>14.003626265306979</v>
      </c>
      <c r="CI16" s="174">
        <v>3.90625E-3</v>
      </c>
      <c r="CJ16" s="174">
        <v>2.5390625E-2</v>
      </c>
      <c r="CK16" s="174">
        <v>4.967969032258063</v>
      </c>
    </row>
    <row r="17" spans="18:89" ht="15" thickBot="1" x14ac:dyDescent="0.25">
      <c r="U17" s="172" t="s">
        <v>238</v>
      </c>
      <c r="V17" s="173" t="s">
        <v>139</v>
      </c>
      <c r="W17" s="172">
        <v>2000</v>
      </c>
      <c r="X17" s="173">
        <v>30000</v>
      </c>
      <c r="Y17" s="174">
        <v>50000</v>
      </c>
      <c r="Z17" s="173">
        <v>7.9704629512258061</v>
      </c>
      <c r="AA17" s="173">
        <v>8.6857609083870955</v>
      </c>
      <c r="AB17" s="174">
        <v>9.196688020645162</v>
      </c>
      <c r="AC17" s="173">
        <v>1.2262250694193559</v>
      </c>
      <c r="AD17" s="174">
        <v>1.5036279208725043</v>
      </c>
      <c r="AE17" s="174">
        <v>3.90625E-3</v>
      </c>
      <c r="AF17" s="174">
        <v>2.9296875E-2</v>
      </c>
      <c r="AG17" s="174">
        <v>1.5261600867096772</v>
      </c>
      <c r="AI17" s="172" t="s">
        <v>68</v>
      </c>
      <c r="AJ17" s="173" t="s">
        <v>19</v>
      </c>
      <c r="AK17" s="172">
        <v>0.06</v>
      </c>
      <c r="AL17" s="173">
        <v>0.1</v>
      </c>
      <c r="AM17" s="174">
        <v>0.15</v>
      </c>
      <c r="AN17" s="173">
        <v>21.885807979354837</v>
      </c>
      <c r="AO17" s="173">
        <v>23.787704980645163</v>
      </c>
      <c r="AP17" s="174">
        <v>26.165076232258063</v>
      </c>
      <c r="AQ17" s="173">
        <v>4.2792682529032255</v>
      </c>
      <c r="AR17" s="174">
        <v>18.312136780305423</v>
      </c>
      <c r="AS17" s="174">
        <v>1.953125E-3</v>
      </c>
      <c r="AT17" s="174">
        <v>3.22265625E-2</v>
      </c>
      <c r="AU17" s="174">
        <v>4.377167938064515</v>
      </c>
      <c r="AW17" s="172" t="s">
        <v>77</v>
      </c>
      <c r="AX17" s="173" t="s">
        <v>19</v>
      </c>
      <c r="AY17" s="172">
        <v>0.01</v>
      </c>
      <c r="AZ17" s="173">
        <v>0.04</v>
      </c>
      <c r="BA17" s="174">
        <v>0.03</v>
      </c>
      <c r="BB17" s="173">
        <v>5440</v>
      </c>
      <c r="BC17" s="173">
        <v>5440</v>
      </c>
      <c r="BD17" s="174">
        <v>5440</v>
      </c>
      <c r="BE17" s="173">
        <v>0</v>
      </c>
      <c r="BF17" s="174">
        <v>0</v>
      </c>
      <c r="BG17" s="174">
        <v>3.90625E-3</v>
      </c>
      <c r="BH17" s="174">
        <v>2.9296875E-2</v>
      </c>
      <c r="BI17" s="174">
        <v>1400</v>
      </c>
      <c r="BK17" s="172" t="s">
        <v>94</v>
      </c>
      <c r="BL17" s="173" t="s">
        <v>19</v>
      </c>
      <c r="BM17" s="172">
        <v>0.15</v>
      </c>
      <c r="BN17" s="173">
        <v>0.2</v>
      </c>
      <c r="BO17" s="174">
        <v>0.25</v>
      </c>
      <c r="BP17" s="173">
        <v>16320</v>
      </c>
      <c r="BQ17" s="173">
        <v>16320</v>
      </c>
      <c r="BR17" s="174">
        <v>16320</v>
      </c>
      <c r="BS17" s="173">
        <v>0</v>
      </c>
      <c r="BT17" s="174">
        <v>0</v>
      </c>
      <c r="BU17" s="174">
        <v>3.90625E-3</v>
      </c>
      <c r="BV17" s="174">
        <v>2.9296875E-2</v>
      </c>
      <c r="BW17" s="174">
        <v>4080</v>
      </c>
      <c r="BY17" s="172" t="s">
        <v>238</v>
      </c>
      <c r="BZ17" s="173" t="s">
        <v>139</v>
      </c>
      <c r="CA17" s="172">
        <v>2000</v>
      </c>
      <c r="CB17" s="173">
        <v>30000</v>
      </c>
      <c r="CC17" s="174">
        <v>50000</v>
      </c>
      <c r="CD17" s="173">
        <v>25.945517419354836</v>
      </c>
      <c r="CE17" s="173">
        <v>28.273961290322575</v>
      </c>
      <c r="CF17" s="174">
        <v>29.937135483870968</v>
      </c>
      <c r="CG17" s="173">
        <v>3.9916180645161319</v>
      </c>
      <c r="CH17" s="174">
        <v>15.933014772971511</v>
      </c>
      <c r="CI17" s="174">
        <v>3.90625E-3</v>
      </c>
      <c r="CJ17" s="174">
        <v>2.9296875E-2</v>
      </c>
      <c r="CK17" s="174">
        <v>4.967969032258063</v>
      </c>
    </row>
    <row r="18" spans="18:89" x14ac:dyDescent="0.2">
      <c r="R18" s="210" t="s">
        <v>13</v>
      </c>
      <c r="S18" s="211" t="s">
        <v>132</v>
      </c>
      <c r="T18" s="209"/>
      <c r="U18" s="172" t="s">
        <v>68</v>
      </c>
      <c r="V18" s="173" t="s">
        <v>19</v>
      </c>
      <c r="W18" s="172">
        <v>0.06</v>
      </c>
      <c r="X18" s="173">
        <v>0.1</v>
      </c>
      <c r="Y18" s="174">
        <v>0.15</v>
      </c>
      <c r="Z18" s="173">
        <v>8.0517952412903213</v>
      </c>
      <c r="AA18" s="173">
        <v>8.6857609083870955</v>
      </c>
      <c r="AB18" s="174">
        <v>9.4782179922580614</v>
      </c>
      <c r="AC18" s="173">
        <v>1.4264227509677401</v>
      </c>
      <c r="AD18" s="174">
        <v>2.0346818644783755</v>
      </c>
      <c r="AE18" s="174">
        <v>3.90625E-3</v>
      </c>
      <c r="AF18" s="174">
        <v>3.3203125E-2</v>
      </c>
      <c r="AG18" s="174">
        <v>1.5781882714838709</v>
      </c>
      <c r="AI18" s="172" t="s">
        <v>70</v>
      </c>
      <c r="AJ18" s="173" t="s">
        <v>19</v>
      </c>
      <c r="AK18" s="172">
        <v>0.2</v>
      </c>
      <c r="AL18" s="173">
        <v>0.4</v>
      </c>
      <c r="AM18" s="174">
        <v>0.5</v>
      </c>
      <c r="AN18" s="173">
        <v>20.221648103225807</v>
      </c>
      <c r="AO18" s="173">
        <v>23.787704980645163</v>
      </c>
      <c r="AP18" s="174">
        <v>25.570733419354838</v>
      </c>
      <c r="AQ18" s="173">
        <v>5.349085316129031</v>
      </c>
      <c r="AR18" s="174">
        <v>28.612713719227216</v>
      </c>
      <c r="AS18" s="174">
        <v>1.953125E-3</v>
      </c>
      <c r="AT18" s="174">
        <v>3.41796875E-2</v>
      </c>
      <c r="AU18" s="174">
        <v>4.377167938064515</v>
      </c>
      <c r="AW18" s="172" t="s">
        <v>94</v>
      </c>
      <c r="AX18" s="173" t="s">
        <v>19</v>
      </c>
      <c r="AY18" s="172">
        <v>0.15</v>
      </c>
      <c r="AZ18" s="173">
        <v>0.2</v>
      </c>
      <c r="BA18" s="174">
        <v>0.25</v>
      </c>
      <c r="BB18" s="173">
        <v>5440</v>
      </c>
      <c r="BC18" s="173">
        <v>5440</v>
      </c>
      <c r="BD18" s="174">
        <v>5440</v>
      </c>
      <c r="BE18" s="173">
        <v>0</v>
      </c>
      <c r="BF18" s="174">
        <v>0</v>
      </c>
      <c r="BG18" s="174">
        <v>3.90625E-3</v>
      </c>
      <c r="BH18" s="174">
        <v>3.3203125E-2</v>
      </c>
      <c r="BI18" s="174">
        <v>1400</v>
      </c>
      <c r="BK18" s="172" t="s">
        <v>242</v>
      </c>
      <c r="BL18" s="173" t="s">
        <v>141</v>
      </c>
      <c r="BM18" s="172">
        <v>0.3</v>
      </c>
      <c r="BN18" s="173">
        <v>0.4</v>
      </c>
      <c r="BO18" s="174">
        <v>0.7</v>
      </c>
      <c r="BP18" s="173">
        <v>15960</v>
      </c>
      <c r="BQ18" s="173">
        <v>16320</v>
      </c>
      <c r="BR18" s="174">
        <v>17400</v>
      </c>
      <c r="BS18" s="173">
        <v>1440</v>
      </c>
      <c r="BT18" s="174">
        <v>2073600</v>
      </c>
      <c r="BU18" s="174">
        <v>3.90625E-3</v>
      </c>
      <c r="BV18" s="174">
        <v>3.3203125E-2</v>
      </c>
      <c r="BW18" s="174">
        <v>4080</v>
      </c>
      <c r="BY18" s="172" t="s">
        <v>68</v>
      </c>
      <c r="BZ18" s="173" t="s">
        <v>19</v>
      </c>
      <c r="CA18" s="172">
        <v>0.06</v>
      </c>
      <c r="CB18" s="173">
        <v>0.1</v>
      </c>
      <c r="CC18" s="174">
        <v>0.15</v>
      </c>
      <c r="CD18" s="173">
        <v>26.210270967741931</v>
      </c>
      <c r="CE18" s="173">
        <v>28.273961290322575</v>
      </c>
      <c r="CF18" s="174">
        <v>30.853574193548376</v>
      </c>
      <c r="CG18" s="173">
        <v>4.6433032258064451</v>
      </c>
      <c r="CH18" s="174">
        <v>21.560264846784538</v>
      </c>
      <c r="CI18" s="174">
        <v>3.90625E-3</v>
      </c>
      <c r="CJ18" s="174">
        <v>3.3203125E-2</v>
      </c>
      <c r="CK18" s="174">
        <v>5.1373316129032247</v>
      </c>
    </row>
    <row r="19" spans="18:89" ht="15" thickBot="1" x14ac:dyDescent="0.25">
      <c r="R19" s="212">
        <f>MATCH(C2,S3:S12,FALSE)</f>
        <v>1</v>
      </c>
      <c r="S19" s="213" t="str">
        <f>CONCATENATE("Tornado_Output",Tornado_TableIndex)</f>
        <v>Tornado_Output1</v>
      </c>
      <c r="T19" s="173"/>
      <c r="U19" s="172" t="s">
        <v>70</v>
      </c>
      <c r="V19" s="173" t="s">
        <v>19</v>
      </c>
      <c r="W19" s="172">
        <v>0.2</v>
      </c>
      <c r="X19" s="173">
        <v>0.4</v>
      </c>
      <c r="Y19" s="174">
        <v>0.5</v>
      </c>
      <c r="Z19" s="173">
        <v>7.4970752825806448</v>
      </c>
      <c r="AA19" s="173">
        <v>8.6857609083870955</v>
      </c>
      <c r="AB19" s="174">
        <v>9.2801037212903204</v>
      </c>
      <c r="AC19" s="173">
        <v>1.7830284387096755</v>
      </c>
      <c r="AD19" s="174">
        <v>3.1791904132474631</v>
      </c>
      <c r="AE19" s="174">
        <v>3.90625E-3</v>
      </c>
      <c r="AF19" s="174">
        <v>3.7109375E-2</v>
      </c>
      <c r="AG19" s="174">
        <v>1.6477399370322581</v>
      </c>
      <c r="AI19" s="172" t="s">
        <v>138</v>
      </c>
      <c r="AJ19" s="173" t="s">
        <v>141</v>
      </c>
      <c r="AK19" s="172">
        <v>0.5</v>
      </c>
      <c r="AL19" s="173">
        <v>0.8</v>
      </c>
      <c r="AM19" s="174">
        <v>0.9</v>
      </c>
      <c r="AN19" s="173">
        <v>19.592343948387096</v>
      </c>
      <c r="AO19" s="173">
        <v>23.787704980645163</v>
      </c>
      <c r="AP19" s="174">
        <v>25.186158658064514</v>
      </c>
      <c r="AQ19" s="173">
        <v>5.5938147096774173</v>
      </c>
      <c r="AR19" s="174">
        <v>31.290763006203449</v>
      </c>
      <c r="AS19" s="174">
        <v>1.953125E-3</v>
      </c>
      <c r="AT19" s="174">
        <v>3.61328125E-2</v>
      </c>
      <c r="AU19" s="174">
        <v>4.8619652129032245</v>
      </c>
      <c r="AW19" s="172" t="s">
        <v>242</v>
      </c>
      <c r="AX19" s="173" t="s">
        <v>141</v>
      </c>
      <c r="AY19" s="172">
        <v>0.3</v>
      </c>
      <c r="AZ19" s="173">
        <v>0.4</v>
      </c>
      <c r="BA19" s="174">
        <v>0.7</v>
      </c>
      <c r="BB19" s="173">
        <v>5320</v>
      </c>
      <c r="BC19" s="173">
        <v>5440</v>
      </c>
      <c r="BD19" s="174">
        <v>5800</v>
      </c>
      <c r="BE19" s="173">
        <v>480</v>
      </c>
      <c r="BF19" s="174">
        <v>230400</v>
      </c>
      <c r="BG19" s="174">
        <v>1.953125E-3</v>
      </c>
      <c r="BH19" s="174">
        <v>3.515625E-2</v>
      </c>
      <c r="BI19" s="174">
        <v>1520</v>
      </c>
      <c r="BK19" s="172" t="s">
        <v>241</v>
      </c>
      <c r="BL19" s="173" t="s">
        <v>140</v>
      </c>
      <c r="BM19" s="172">
        <v>50</v>
      </c>
      <c r="BN19" s="173">
        <v>100</v>
      </c>
      <c r="BO19" s="174">
        <v>150</v>
      </c>
      <c r="BP19" s="173">
        <v>15600</v>
      </c>
      <c r="BQ19" s="173">
        <v>16320</v>
      </c>
      <c r="BR19" s="174">
        <v>17040</v>
      </c>
      <c r="BS19" s="173">
        <v>1440</v>
      </c>
      <c r="BT19" s="174">
        <v>2073600</v>
      </c>
      <c r="BU19" s="174">
        <v>3.90625E-3</v>
      </c>
      <c r="BV19" s="174">
        <v>3.7109375E-2</v>
      </c>
      <c r="BW19" s="174">
        <v>4160</v>
      </c>
      <c r="BY19" s="172" t="s">
        <v>70</v>
      </c>
      <c r="BZ19" s="173" t="s">
        <v>19</v>
      </c>
      <c r="CA19" s="172">
        <v>0.2</v>
      </c>
      <c r="CB19" s="173">
        <v>0.4</v>
      </c>
      <c r="CC19" s="174">
        <v>0.5</v>
      </c>
      <c r="CD19" s="173">
        <v>24.404541935483866</v>
      </c>
      <c r="CE19" s="173">
        <v>28.273961290322575</v>
      </c>
      <c r="CF19" s="174">
        <v>30.208670967741927</v>
      </c>
      <c r="CG19" s="173">
        <v>5.8041290322580608</v>
      </c>
      <c r="CH19" s="174">
        <v>33.687913823100892</v>
      </c>
      <c r="CI19" s="174">
        <v>3.90625E-3</v>
      </c>
      <c r="CJ19" s="174">
        <v>3.7109375E-2</v>
      </c>
      <c r="CK19" s="174">
        <v>5.3637367741935478</v>
      </c>
    </row>
    <row r="20" spans="18:89" x14ac:dyDescent="0.2">
      <c r="U20" s="172" t="s">
        <v>73</v>
      </c>
      <c r="V20" s="173" t="s">
        <v>19</v>
      </c>
      <c r="W20" s="172">
        <v>0.1</v>
      </c>
      <c r="X20" s="173">
        <v>0.2</v>
      </c>
      <c r="Y20" s="174">
        <v>0.3</v>
      </c>
      <c r="Z20" s="173">
        <v>7.6951895535483867</v>
      </c>
      <c r="AA20" s="173">
        <v>8.6857609083870955</v>
      </c>
      <c r="AB20" s="174">
        <v>9.676332263225806</v>
      </c>
      <c r="AC20" s="173">
        <v>1.9811427096774192</v>
      </c>
      <c r="AD20" s="174">
        <v>3.9249264361079872</v>
      </c>
      <c r="AE20" s="174">
        <v>3.90625E-3</v>
      </c>
      <c r="AF20" s="174">
        <v>4.1015625E-2</v>
      </c>
      <c r="AG20" s="174">
        <v>1.6477399370322581</v>
      </c>
      <c r="AI20" s="172" t="s">
        <v>73</v>
      </c>
      <c r="AJ20" s="173" t="s">
        <v>19</v>
      </c>
      <c r="AK20" s="172">
        <v>0.1</v>
      </c>
      <c r="AL20" s="173">
        <v>0.2</v>
      </c>
      <c r="AM20" s="174">
        <v>0.3</v>
      </c>
      <c r="AN20" s="173">
        <v>20.815990916129032</v>
      </c>
      <c r="AO20" s="173">
        <v>23.787704980645163</v>
      </c>
      <c r="AP20" s="174">
        <v>26.759419045161291</v>
      </c>
      <c r="AQ20" s="173">
        <v>5.9434281290322595</v>
      </c>
      <c r="AR20" s="174">
        <v>35.324337924971907</v>
      </c>
      <c r="AS20" s="174">
        <v>1.953125E-3</v>
      </c>
      <c r="AT20" s="174">
        <v>3.80859375E-2</v>
      </c>
      <c r="AU20" s="174">
        <v>4.8619652129032245</v>
      </c>
      <c r="AW20" s="172" t="s">
        <v>239</v>
      </c>
      <c r="AX20" s="173" t="s">
        <v>139</v>
      </c>
      <c r="AY20" s="172">
        <v>10</v>
      </c>
      <c r="AZ20" s="173">
        <v>20</v>
      </c>
      <c r="BA20" s="174">
        <v>30</v>
      </c>
      <c r="BB20" s="173">
        <v>5200</v>
      </c>
      <c r="BC20" s="173">
        <v>5440</v>
      </c>
      <c r="BD20" s="174">
        <v>5680</v>
      </c>
      <c r="BE20" s="173">
        <v>480</v>
      </c>
      <c r="BF20" s="174">
        <v>230400</v>
      </c>
      <c r="BG20" s="174">
        <v>3.90625E-3</v>
      </c>
      <c r="BH20" s="174">
        <v>3.90625E-2</v>
      </c>
      <c r="BI20" s="174">
        <v>1600</v>
      </c>
      <c r="BK20" s="172" t="s">
        <v>239</v>
      </c>
      <c r="BL20" s="173" t="s">
        <v>139</v>
      </c>
      <c r="BM20" s="172">
        <v>10</v>
      </c>
      <c r="BN20" s="173">
        <v>20</v>
      </c>
      <c r="BO20" s="174">
        <v>30</v>
      </c>
      <c r="BP20" s="173">
        <v>15600</v>
      </c>
      <c r="BQ20" s="173">
        <v>16320</v>
      </c>
      <c r="BR20" s="174">
        <v>17040</v>
      </c>
      <c r="BS20" s="173">
        <v>1440</v>
      </c>
      <c r="BT20" s="174">
        <v>2073600</v>
      </c>
      <c r="BU20" s="174">
        <v>3.90625E-3</v>
      </c>
      <c r="BV20" s="174">
        <v>4.1015625E-2</v>
      </c>
      <c r="BW20" s="174">
        <v>4160</v>
      </c>
      <c r="BY20" s="172" t="s">
        <v>73</v>
      </c>
      <c r="BZ20" s="173" t="s">
        <v>19</v>
      </c>
      <c r="CA20" s="172">
        <v>0.1</v>
      </c>
      <c r="CB20" s="173">
        <v>0.2</v>
      </c>
      <c r="CC20" s="174">
        <v>0.3</v>
      </c>
      <c r="CD20" s="173">
        <v>25.049445161290318</v>
      </c>
      <c r="CE20" s="173">
        <v>28.273961290322575</v>
      </c>
      <c r="CF20" s="174">
        <v>31.498477419354835</v>
      </c>
      <c r="CG20" s="173">
        <v>6.4490322580645163</v>
      </c>
      <c r="CH20" s="174">
        <v>41.590017065556715</v>
      </c>
      <c r="CI20" s="174">
        <v>3.90625E-3</v>
      </c>
      <c r="CJ20" s="174">
        <v>4.1015625E-2</v>
      </c>
      <c r="CK20" s="174">
        <v>5.3637367741935478</v>
      </c>
    </row>
    <row r="21" spans="18:89" x14ac:dyDescent="0.2">
      <c r="U21" s="172" t="s">
        <v>138</v>
      </c>
      <c r="V21" s="173" t="s">
        <v>141</v>
      </c>
      <c r="W21" s="172">
        <v>0.5</v>
      </c>
      <c r="X21" s="173">
        <v>0.8</v>
      </c>
      <c r="Y21" s="174">
        <v>0.9</v>
      </c>
      <c r="Z21" s="173">
        <v>7.1529795716129021</v>
      </c>
      <c r="AA21" s="173">
        <v>8.6857609083870955</v>
      </c>
      <c r="AB21" s="174">
        <v>9.196688020645162</v>
      </c>
      <c r="AC21" s="173">
        <v>2.0437084490322599</v>
      </c>
      <c r="AD21" s="174">
        <v>4.1767442246458453</v>
      </c>
      <c r="AE21" s="174">
        <v>1.953125E-3</v>
      </c>
      <c r="AF21" s="174">
        <v>4.296875E-2</v>
      </c>
      <c r="AG21" s="174">
        <v>1.7053682787096773</v>
      </c>
      <c r="AI21" s="172" t="s">
        <v>233</v>
      </c>
      <c r="AJ21" s="173" t="s">
        <v>139</v>
      </c>
      <c r="AK21" s="172">
        <v>2500</v>
      </c>
      <c r="AL21" s="173">
        <v>4000</v>
      </c>
      <c r="AM21" s="174">
        <v>5000</v>
      </c>
      <c r="AN21" s="173">
        <v>19.854554012903225</v>
      </c>
      <c r="AO21" s="173">
        <v>23.787704980645163</v>
      </c>
      <c r="AP21" s="174">
        <v>26.409805625806456</v>
      </c>
      <c r="AQ21" s="173">
        <v>6.5552516129032306</v>
      </c>
      <c r="AR21" s="174">
        <v>42.971323708470408</v>
      </c>
      <c r="AS21" s="174">
        <v>9.765625E-4</v>
      </c>
      <c r="AT21" s="174">
        <v>3.90625E-2</v>
      </c>
      <c r="AU21" s="174">
        <v>4.9738415070967728</v>
      </c>
      <c r="AW21" s="172" t="s">
        <v>241</v>
      </c>
      <c r="AX21" s="173" t="s">
        <v>140</v>
      </c>
      <c r="AY21" s="172">
        <v>50</v>
      </c>
      <c r="AZ21" s="173">
        <v>100</v>
      </c>
      <c r="BA21" s="174">
        <v>150</v>
      </c>
      <c r="BB21" s="173">
        <v>5200</v>
      </c>
      <c r="BC21" s="173">
        <v>5440</v>
      </c>
      <c r="BD21" s="174">
        <v>5680</v>
      </c>
      <c r="BE21" s="173">
        <v>480</v>
      </c>
      <c r="BF21" s="174">
        <v>230400</v>
      </c>
      <c r="BG21" s="174">
        <v>1.953125E-3</v>
      </c>
      <c r="BH21" s="174">
        <v>4.1015625E-2</v>
      </c>
      <c r="BI21" s="174">
        <v>1680</v>
      </c>
      <c r="BK21" s="172" t="s">
        <v>240</v>
      </c>
      <c r="BL21" s="173" t="s">
        <v>139</v>
      </c>
      <c r="BM21" s="172">
        <v>10</v>
      </c>
      <c r="BN21" s="173">
        <v>20</v>
      </c>
      <c r="BO21" s="174">
        <v>40</v>
      </c>
      <c r="BP21" s="173">
        <v>15600</v>
      </c>
      <c r="BQ21" s="173">
        <v>16320</v>
      </c>
      <c r="BR21" s="174">
        <v>17760</v>
      </c>
      <c r="BS21" s="173">
        <v>2160</v>
      </c>
      <c r="BT21" s="174">
        <v>4665600</v>
      </c>
      <c r="BU21" s="174">
        <v>9.765625E-4</v>
      </c>
      <c r="BV21" s="174">
        <v>4.19921875E-2</v>
      </c>
      <c r="BW21" s="174">
        <v>4400</v>
      </c>
      <c r="BY21" s="172" t="s">
        <v>138</v>
      </c>
      <c r="BZ21" s="173" t="s">
        <v>141</v>
      </c>
      <c r="CA21" s="172">
        <v>0.5</v>
      </c>
      <c r="CB21" s="173">
        <v>0.8</v>
      </c>
      <c r="CC21" s="174">
        <v>0.9</v>
      </c>
      <c r="CD21" s="173">
        <v>23.284438709677413</v>
      </c>
      <c r="CE21" s="173">
        <v>28.273961290322575</v>
      </c>
      <c r="CF21" s="174">
        <v>29.937135483870968</v>
      </c>
      <c r="CG21" s="173">
        <v>6.6526967741935543</v>
      </c>
      <c r="CH21" s="174">
        <v>44.25837436936532</v>
      </c>
      <c r="CI21" s="174">
        <v>1.953125E-3</v>
      </c>
      <c r="CJ21" s="174">
        <v>4.296875E-2</v>
      </c>
      <c r="CK21" s="174">
        <v>5.5513290322580637</v>
      </c>
    </row>
    <row r="22" spans="18:89" x14ac:dyDescent="0.2">
      <c r="S22" s="215"/>
      <c r="T22" s="215"/>
      <c r="U22" s="172" t="s">
        <v>233</v>
      </c>
      <c r="V22" s="173" t="s">
        <v>139</v>
      </c>
      <c r="W22" s="172">
        <v>2500</v>
      </c>
      <c r="X22" s="173">
        <v>4000</v>
      </c>
      <c r="Y22" s="174">
        <v>5000</v>
      </c>
      <c r="Z22" s="173">
        <v>7.24877840516129</v>
      </c>
      <c r="AA22" s="173">
        <v>8.6857609083870955</v>
      </c>
      <c r="AB22" s="174">
        <v>9.6437492438709675</v>
      </c>
      <c r="AC22" s="173">
        <v>2.3949708387096775</v>
      </c>
      <c r="AD22" s="174">
        <v>5.7358853182697365</v>
      </c>
      <c r="AE22" s="174">
        <v>1.953125E-3</v>
      </c>
      <c r="AF22" s="174">
        <v>4.4921875E-2</v>
      </c>
      <c r="AG22" s="174">
        <v>1.7053682787096773</v>
      </c>
      <c r="AI22" s="172" t="s">
        <v>134</v>
      </c>
      <c r="AJ22" s="173" t="s">
        <v>139</v>
      </c>
      <c r="AK22" s="172">
        <v>500</v>
      </c>
      <c r="AL22" s="173">
        <v>800</v>
      </c>
      <c r="AM22" s="174">
        <v>1000</v>
      </c>
      <c r="AN22" s="173">
        <v>19.592343948387096</v>
      </c>
      <c r="AO22" s="173">
        <v>23.787704980645163</v>
      </c>
      <c r="AP22" s="174">
        <v>26.584612335483872</v>
      </c>
      <c r="AQ22" s="173">
        <v>6.9922683870967752</v>
      </c>
      <c r="AR22" s="174">
        <v>48.891817197192935</v>
      </c>
      <c r="AS22" s="174">
        <v>3.90625E-3</v>
      </c>
      <c r="AT22" s="174">
        <v>4.296875E-2</v>
      </c>
      <c r="AU22" s="174">
        <v>5.3281164387096762</v>
      </c>
      <c r="AW22" s="172" t="s">
        <v>240</v>
      </c>
      <c r="AX22" s="173" t="s">
        <v>139</v>
      </c>
      <c r="AY22" s="172">
        <v>10</v>
      </c>
      <c r="AZ22" s="173">
        <v>20</v>
      </c>
      <c r="BA22" s="174">
        <v>40</v>
      </c>
      <c r="BB22" s="173">
        <v>5200</v>
      </c>
      <c r="BC22" s="173">
        <v>5440</v>
      </c>
      <c r="BD22" s="174">
        <v>5920</v>
      </c>
      <c r="BE22" s="173">
        <v>720</v>
      </c>
      <c r="BF22" s="174">
        <v>518400</v>
      </c>
      <c r="BG22" s="174">
        <v>1.953125E-3</v>
      </c>
      <c r="BH22" s="174">
        <v>4.296875E-2</v>
      </c>
      <c r="BI22" s="174">
        <v>1680</v>
      </c>
      <c r="BK22" s="172" t="s">
        <v>238</v>
      </c>
      <c r="BL22" s="173" t="s">
        <v>139</v>
      </c>
      <c r="BM22" s="172">
        <v>2000</v>
      </c>
      <c r="BN22" s="173">
        <v>30000</v>
      </c>
      <c r="BO22" s="174">
        <v>50000</v>
      </c>
      <c r="BP22" s="173">
        <v>14976</v>
      </c>
      <c r="BQ22" s="173">
        <v>16320</v>
      </c>
      <c r="BR22" s="174">
        <v>17280</v>
      </c>
      <c r="BS22" s="173">
        <v>2304</v>
      </c>
      <c r="BT22" s="174">
        <v>5308416</v>
      </c>
      <c r="BU22" s="174">
        <v>1.953125E-3</v>
      </c>
      <c r="BV22" s="174">
        <v>4.39453125E-2</v>
      </c>
      <c r="BW22" s="174">
        <v>4640</v>
      </c>
      <c r="BY22" s="172" t="s">
        <v>233</v>
      </c>
      <c r="BZ22" s="173" t="s">
        <v>139</v>
      </c>
      <c r="CA22" s="172">
        <v>2500</v>
      </c>
      <c r="CB22" s="173">
        <v>4000</v>
      </c>
      <c r="CC22" s="174">
        <v>5000</v>
      </c>
      <c r="CD22" s="173">
        <v>23.596283870967738</v>
      </c>
      <c r="CE22" s="173">
        <v>28.273961290322575</v>
      </c>
      <c r="CF22" s="174">
        <v>31.392412903225804</v>
      </c>
      <c r="CG22" s="173">
        <v>7.7961290322580652</v>
      </c>
      <c r="CH22" s="174">
        <v>60.779627887617075</v>
      </c>
      <c r="CI22" s="174">
        <v>1.953125E-3</v>
      </c>
      <c r="CJ22" s="174">
        <v>4.4921875E-2</v>
      </c>
      <c r="CK22" s="174">
        <v>5.5513290322580637</v>
      </c>
    </row>
    <row r="23" spans="18:89" x14ac:dyDescent="0.2">
      <c r="S23" s="173"/>
      <c r="T23" s="173"/>
      <c r="U23" s="172" t="s">
        <v>237</v>
      </c>
      <c r="V23" s="173" t="s">
        <v>141</v>
      </c>
      <c r="W23" s="172">
        <v>0.4</v>
      </c>
      <c r="X23" s="173">
        <v>0.6</v>
      </c>
      <c r="Y23" s="174">
        <v>0.8</v>
      </c>
      <c r="Z23" s="173">
        <v>7.4084431277419363</v>
      </c>
      <c r="AA23" s="173">
        <v>8.6857609083870955</v>
      </c>
      <c r="AB23" s="174">
        <v>9.9630786890322582</v>
      </c>
      <c r="AC23" s="173">
        <v>2.554635561290322</v>
      </c>
      <c r="AD23" s="174">
        <v>6.5261628510091185</v>
      </c>
      <c r="AE23" s="174">
        <v>1.953125E-3</v>
      </c>
      <c r="AF23" s="174">
        <v>4.6875E-2</v>
      </c>
      <c r="AG23" s="174">
        <v>1.7400537352258061</v>
      </c>
      <c r="AI23" s="172" t="s">
        <v>237</v>
      </c>
      <c r="AJ23" s="173" t="s">
        <v>141</v>
      </c>
      <c r="AK23" s="172">
        <v>0.4</v>
      </c>
      <c r="AL23" s="173">
        <v>0.6</v>
      </c>
      <c r="AM23" s="174">
        <v>0.8</v>
      </c>
      <c r="AN23" s="173">
        <v>20.291570787096774</v>
      </c>
      <c r="AO23" s="173">
        <v>23.787704980645163</v>
      </c>
      <c r="AP23" s="174">
        <v>27.283839174193549</v>
      </c>
      <c r="AQ23" s="173">
        <v>6.9922683870967752</v>
      </c>
      <c r="AR23" s="174">
        <v>48.891817197192935</v>
      </c>
      <c r="AS23" s="174">
        <v>9.765625E-4</v>
      </c>
      <c r="AT23" s="174">
        <v>4.39453125E-2</v>
      </c>
      <c r="AU23" s="174">
        <v>5.3281164387096762</v>
      </c>
      <c r="AW23" s="172" t="s">
        <v>238</v>
      </c>
      <c r="AX23" s="173" t="s">
        <v>139</v>
      </c>
      <c r="AY23" s="172">
        <v>2000</v>
      </c>
      <c r="AZ23" s="173">
        <v>30000</v>
      </c>
      <c r="BA23" s="174">
        <v>50000</v>
      </c>
      <c r="BB23" s="173">
        <v>4992</v>
      </c>
      <c r="BC23" s="173">
        <v>5440</v>
      </c>
      <c r="BD23" s="174">
        <v>5760</v>
      </c>
      <c r="BE23" s="173">
        <v>768</v>
      </c>
      <c r="BF23" s="174">
        <v>589824</v>
      </c>
      <c r="BG23" s="174">
        <v>1.953125E-3</v>
      </c>
      <c r="BH23" s="174">
        <v>4.4921875E-2</v>
      </c>
      <c r="BI23" s="174">
        <v>1680</v>
      </c>
      <c r="BK23" s="172" t="s">
        <v>138</v>
      </c>
      <c r="BL23" s="173" t="s">
        <v>141</v>
      </c>
      <c r="BM23" s="172">
        <v>0.5</v>
      </c>
      <c r="BN23" s="173">
        <v>0.8</v>
      </c>
      <c r="BO23" s="174">
        <v>0.9</v>
      </c>
      <c r="BP23" s="173">
        <v>13440</v>
      </c>
      <c r="BQ23" s="173">
        <v>16320</v>
      </c>
      <c r="BR23" s="174">
        <v>17280</v>
      </c>
      <c r="BS23" s="173">
        <v>3840</v>
      </c>
      <c r="BT23" s="174">
        <v>14745600</v>
      </c>
      <c r="BU23" s="174">
        <v>1.953125E-3</v>
      </c>
      <c r="BV23" s="174">
        <v>4.58984375E-2</v>
      </c>
      <c r="BW23" s="174">
        <v>4640</v>
      </c>
      <c r="BY23" s="172" t="s">
        <v>237</v>
      </c>
      <c r="BZ23" s="173" t="s">
        <v>141</v>
      </c>
      <c r="CA23" s="172">
        <v>0.4</v>
      </c>
      <c r="CB23" s="173">
        <v>0.6</v>
      </c>
      <c r="CC23" s="174">
        <v>0.8</v>
      </c>
      <c r="CD23" s="173">
        <v>24.116025806451614</v>
      </c>
      <c r="CE23" s="173">
        <v>28.273961290322575</v>
      </c>
      <c r="CF23" s="174">
        <v>32.431896774193547</v>
      </c>
      <c r="CG23" s="173">
        <v>8.3158709677419331</v>
      </c>
      <c r="CH23" s="174">
        <v>69.153709952133156</v>
      </c>
      <c r="CI23" s="174">
        <v>1.953125E-3</v>
      </c>
      <c r="CJ23" s="174">
        <v>4.6875E-2</v>
      </c>
      <c r="CK23" s="174">
        <v>5.664237419354837</v>
      </c>
    </row>
    <row r="24" spans="18:89" x14ac:dyDescent="0.2">
      <c r="U24" s="172" t="s">
        <v>134</v>
      </c>
      <c r="V24" s="173" t="s">
        <v>139</v>
      </c>
      <c r="W24" s="172">
        <v>500</v>
      </c>
      <c r="X24" s="173">
        <v>800</v>
      </c>
      <c r="Y24" s="174">
        <v>1000</v>
      </c>
      <c r="Z24" s="173">
        <v>7.1529795716129021</v>
      </c>
      <c r="AA24" s="173">
        <v>8.6857609083870955</v>
      </c>
      <c r="AB24" s="174">
        <v>9.707615132903225</v>
      </c>
      <c r="AC24" s="173">
        <v>2.5546355612903229</v>
      </c>
      <c r="AD24" s="174">
        <v>6.526162851009123</v>
      </c>
      <c r="AE24" s="174">
        <v>1.953125E-3</v>
      </c>
      <c r="AF24" s="174">
        <v>4.8828125E-2</v>
      </c>
      <c r="AG24" s="174">
        <v>1.7400537352258061</v>
      </c>
      <c r="AI24" s="172" t="s">
        <v>236</v>
      </c>
      <c r="AJ24" s="173" t="s">
        <v>140</v>
      </c>
      <c r="AK24" s="172">
        <v>50</v>
      </c>
      <c r="AL24" s="173">
        <v>100</v>
      </c>
      <c r="AM24" s="174">
        <v>150</v>
      </c>
      <c r="AN24" s="173">
        <v>18.543503690322581</v>
      </c>
      <c r="AO24" s="173">
        <v>23.787704980645163</v>
      </c>
      <c r="AP24" s="174">
        <v>29.031906270967742</v>
      </c>
      <c r="AQ24" s="173">
        <v>10.488402580645161</v>
      </c>
      <c r="AR24" s="174">
        <v>110.00658869368408</v>
      </c>
      <c r="AS24" s="174">
        <v>1.953125E-3</v>
      </c>
      <c r="AT24" s="174">
        <v>4.58984375E-2</v>
      </c>
      <c r="AU24" s="174">
        <v>5.3281164387096771</v>
      </c>
      <c r="AW24" s="172" t="s">
        <v>138</v>
      </c>
      <c r="AX24" s="173" t="s">
        <v>141</v>
      </c>
      <c r="AY24" s="172">
        <v>0.5</v>
      </c>
      <c r="AZ24" s="173">
        <v>0.8</v>
      </c>
      <c r="BA24" s="174">
        <v>0.9</v>
      </c>
      <c r="BB24" s="173">
        <v>4480</v>
      </c>
      <c r="BC24" s="173">
        <v>5440</v>
      </c>
      <c r="BD24" s="174">
        <v>5760</v>
      </c>
      <c r="BE24" s="173">
        <v>1280</v>
      </c>
      <c r="BF24" s="174">
        <v>1638400</v>
      </c>
      <c r="BG24" s="174">
        <v>1.953125E-3</v>
      </c>
      <c r="BH24" s="174">
        <v>4.6875E-2</v>
      </c>
      <c r="BI24" s="174">
        <v>1720</v>
      </c>
      <c r="BK24" s="172" t="s">
        <v>233</v>
      </c>
      <c r="BL24" s="173" t="s">
        <v>139</v>
      </c>
      <c r="BM24" s="172">
        <v>2500</v>
      </c>
      <c r="BN24" s="173">
        <v>4000</v>
      </c>
      <c r="BO24" s="174">
        <v>5000</v>
      </c>
      <c r="BP24" s="173">
        <v>13620</v>
      </c>
      <c r="BQ24" s="173">
        <v>16320</v>
      </c>
      <c r="BR24" s="174">
        <v>18120</v>
      </c>
      <c r="BS24" s="173">
        <v>4500</v>
      </c>
      <c r="BT24" s="174">
        <v>20250000</v>
      </c>
      <c r="BU24" s="174">
        <v>1.953125E-3</v>
      </c>
      <c r="BV24" s="174">
        <v>4.78515625E-2</v>
      </c>
      <c r="BW24" s="174">
        <v>4720</v>
      </c>
      <c r="BY24" s="172" t="s">
        <v>134</v>
      </c>
      <c r="BZ24" s="173" t="s">
        <v>139</v>
      </c>
      <c r="CA24" s="172">
        <v>500</v>
      </c>
      <c r="CB24" s="173">
        <v>800</v>
      </c>
      <c r="CC24" s="174">
        <v>1000</v>
      </c>
      <c r="CD24" s="173">
        <v>23.284438709677413</v>
      </c>
      <c r="CE24" s="173">
        <v>28.273961290322575</v>
      </c>
      <c r="CF24" s="174">
        <v>31.60030967741935</v>
      </c>
      <c r="CG24" s="173">
        <v>8.3158709677419367</v>
      </c>
      <c r="CH24" s="174">
        <v>69.153709952133212</v>
      </c>
      <c r="CI24" s="174">
        <v>1.953125E-3</v>
      </c>
      <c r="CJ24" s="174">
        <v>4.8828125E-2</v>
      </c>
      <c r="CK24" s="174">
        <v>5.664237419354837</v>
      </c>
    </row>
    <row r="25" spans="18:89" x14ac:dyDescent="0.2">
      <c r="U25" s="172" t="s">
        <v>236</v>
      </c>
      <c r="V25" s="173" t="s">
        <v>140</v>
      </c>
      <c r="W25" s="172">
        <v>50</v>
      </c>
      <c r="X25" s="173">
        <v>100</v>
      </c>
      <c r="Y25" s="174">
        <v>150</v>
      </c>
      <c r="Z25" s="173">
        <v>6.7697842374193549</v>
      </c>
      <c r="AA25" s="173">
        <v>8.6857609083870955</v>
      </c>
      <c r="AB25" s="174">
        <v>10.60173757935484</v>
      </c>
      <c r="AC25" s="173">
        <v>3.8319533419354848</v>
      </c>
      <c r="AD25" s="174">
        <v>14.683866414770531</v>
      </c>
      <c r="AE25" s="174">
        <v>1.953125E-3</v>
      </c>
      <c r="AF25" s="174">
        <v>5.078125E-2</v>
      </c>
      <c r="AG25" s="174">
        <v>1.8036437388387094</v>
      </c>
      <c r="AI25" s="172" t="s">
        <v>137</v>
      </c>
      <c r="AJ25" s="173" t="s">
        <v>140</v>
      </c>
      <c r="AK25" s="172">
        <v>50</v>
      </c>
      <c r="AL25" s="173">
        <v>100</v>
      </c>
      <c r="AM25" s="174">
        <v>150</v>
      </c>
      <c r="AN25" s="173">
        <v>18.193890270967742</v>
      </c>
      <c r="AO25" s="173">
        <v>23.787704980645163</v>
      </c>
      <c r="AP25" s="174">
        <v>29.381519690322577</v>
      </c>
      <c r="AQ25" s="173">
        <v>11.187629419354835</v>
      </c>
      <c r="AR25" s="174">
        <v>125.16305202481379</v>
      </c>
      <c r="AS25" s="174">
        <v>1.953125E-3</v>
      </c>
      <c r="AT25" s="174">
        <v>4.78515625E-2</v>
      </c>
      <c r="AU25" s="174">
        <v>5.6078071741935469</v>
      </c>
      <c r="AW25" s="172" t="s">
        <v>233</v>
      </c>
      <c r="AX25" s="173" t="s">
        <v>139</v>
      </c>
      <c r="AY25" s="172">
        <v>2500</v>
      </c>
      <c r="AZ25" s="173">
        <v>4000</v>
      </c>
      <c r="BA25" s="174">
        <v>5000</v>
      </c>
      <c r="BB25" s="173">
        <v>4540</v>
      </c>
      <c r="BC25" s="173">
        <v>5440</v>
      </c>
      <c r="BD25" s="174">
        <v>6040</v>
      </c>
      <c r="BE25" s="173">
        <v>1500</v>
      </c>
      <c r="BF25" s="174">
        <v>2250000</v>
      </c>
      <c r="BG25" s="174">
        <v>7.8125E-3</v>
      </c>
      <c r="BH25" s="174">
        <v>5.46875E-2</v>
      </c>
      <c r="BI25" s="174">
        <v>1720</v>
      </c>
      <c r="BK25" s="172" t="s">
        <v>134</v>
      </c>
      <c r="BL25" s="173" t="s">
        <v>139</v>
      </c>
      <c r="BM25" s="172">
        <v>500</v>
      </c>
      <c r="BN25" s="173">
        <v>800</v>
      </c>
      <c r="BO25" s="174">
        <v>1000</v>
      </c>
      <c r="BP25" s="173">
        <v>13440</v>
      </c>
      <c r="BQ25" s="173">
        <v>16320</v>
      </c>
      <c r="BR25" s="174">
        <v>18240</v>
      </c>
      <c r="BS25" s="173">
        <v>4800</v>
      </c>
      <c r="BT25" s="174">
        <v>23040000</v>
      </c>
      <c r="BU25" s="174">
        <v>1.953125E-3</v>
      </c>
      <c r="BV25" s="174">
        <v>4.98046875E-2</v>
      </c>
      <c r="BW25" s="174">
        <v>4720</v>
      </c>
      <c r="BY25" s="172" t="s">
        <v>236</v>
      </c>
      <c r="BZ25" s="173" t="s">
        <v>140</v>
      </c>
      <c r="CA25" s="172">
        <v>50</v>
      </c>
      <c r="CB25" s="173">
        <v>100</v>
      </c>
      <c r="CC25" s="174">
        <v>150</v>
      </c>
      <c r="CD25" s="173">
        <v>22.037058064516128</v>
      </c>
      <c r="CE25" s="173">
        <v>28.273961290322575</v>
      </c>
      <c r="CF25" s="174">
        <v>34.510864516129033</v>
      </c>
      <c r="CG25" s="173">
        <v>12.473806451612905</v>
      </c>
      <c r="CH25" s="174">
        <v>155.59584739229973</v>
      </c>
      <c r="CI25" s="174">
        <v>1.953125E-3</v>
      </c>
      <c r="CJ25" s="174">
        <v>5.078125E-2</v>
      </c>
      <c r="CK25" s="174">
        <v>5.8712361290322566</v>
      </c>
    </row>
    <row r="26" spans="18:89" x14ac:dyDescent="0.2">
      <c r="U26" s="172" t="s">
        <v>137</v>
      </c>
      <c r="V26" s="173" t="s">
        <v>140</v>
      </c>
      <c r="W26" s="172">
        <v>50</v>
      </c>
      <c r="X26" s="173">
        <v>100</v>
      </c>
      <c r="Y26" s="174">
        <v>150</v>
      </c>
      <c r="Z26" s="173">
        <v>6.6420524593548382</v>
      </c>
      <c r="AA26" s="173">
        <v>8.6857609083870955</v>
      </c>
      <c r="AB26" s="174">
        <v>10.729469357419354</v>
      </c>
      <c r="AC26" s="173">
        <v>4.0874168980645162</v>
      </c>
      <c r="AD26" s="174">
        <v>16.706976898583353</v>
      </c>
      <c r="AE26" s="174">
        <v>1.953125E-3</v>
      </c>
      <c r="AF26" s="174">
        <v>5.2734375E-2</v>
      </c>
      <c r="AG26" s="174">
        <v>1.8036437388387094</v>
      </c>
      <c r="AI26" s="172" t="s">
        <v>75</v>
      </c>
      <c r="AJ26" s="173" t="s">
        <v>19</v>
      </c>
      <c r="AK26" s="172">
        <v>0.08</v>
      </c>
      <c r="AL26" s="173">
        <v>0.1</v>
      </c>
      <c r="AM26" s="174">
        <v>0.2</v>
      </c>
      <c r="AN26" s="173">
        <v>21.41033372903226</v>
      </c>
      <c r="AO26" s="173">
        <v>23.787704980645163</v>
      </c>
      <c r="AP26" s="174">
        <v>35.674561238709671</v>
      </c>
      <c r="AQ26" s="173">
        <v>14.264227509677411</v>
      </c>
      <c r="AR26" s="174">
        <v>203.46818644783784</v>
      </c>
      <c r="AS26" s="174">
        <v>1.953125E-3</v>
      </c>
      <c r="AT26" s="174">
        <v>4.98046875E-2</v>
      </c>
      <c r="AU26" s="174">
        <v>5.6078071741935469</v>
      </c>
      <c r="AW26" s="172" t="s">
        <v>134</v>
      </c>
      <c r="AX26" s="173" t="s">
        <v>139</v>
      </c>
      <c r="AY26" s="172">
        <v>500</v>
      </c>
      <c r="AZ26" s="173">
        <v>800</v>
      </c>
      <c r="BA26" s="174">
        <v>1000</v>
      </c>
      <c r="BB26" s="173">
        <v>4480</v>
      </c>
      <c r="BC26" s="173">
        <v>5440</v>
      </c>
      <c r="BD26" s="174">
        <v>6080</v>
      </c>
      <c r="BE26" s="173">
        <v>1600</v>
      </c>
      <c r="BF26" s="174">
        <v>2560000</v>
      </c>
      <c r="BG26" s="174">
        <v>7.8125E-3</v>
      </c>
      <c r="BH26" s="174">
        <v>6.25E-2</v>
      </c>
      <c r="BI26" s="174">
        <v>1720</v>
      </c>
      <c r="BK26" s="172" t="s">
        <v>237</v>
      </c>
      <c r="BL26" s="173" t="s">
        <v>141</v>
      </c>
      <c r="BM26" s="172">
        <v>0.4</v>
      </c>
      <c r="BN26" s="173">
        <v>0.6</v>
      </c>
      <c r="BO26" s="174">
        <v>0.8</v>
      </c>
      <c r="BP26" s="173">
        <v>13920</v>
      </c>
      <c r="BQ26" s="173">
        <v>16320</v>
      </c>
      <c r="BR26" s="174">
        <v>18720</v>
      </c>
      <c r="BS26" s="173">
        <v>4800</v>
      </c>
      <c r="BT26" s="174">
        <v>23040000</v>
      </c>
      <c r="BU26" s="174">
        <v>3.90625E-3</v>
      </c>
      <c r="BV26" s="174">
        <v>5.37109375E-2</v>
      </c>
      <c r="BW26" s="174">
        <v>4800</v>
      </c>
      <c r="BY26" s="172" t="s">
        <v>137</v>
      </c>
      <c r="BZ26" s="173" t="s">
        <v>140</v>
      </c>
      <c r="CA26" s="172">
        <v>50</v>
      </c>
      <c r="CB26" s="173">
        <v>100</v>
      </c>
      <c r="CC26" s="174">
        <v>150</v>
      </c>
      <c r="CD26" s="173">
        <v>21.621264516129028</v>
      </c>
      <c r="CE26" s="173">
        <v>28.273961290322575</v>
      </c>
      <c r="CF26" s="174">
        <v>34.926658064516126</v>
      </c>
      <c r="CG26" s="173">
        <v>13.305393548387098</v>
      </c>
      <c r="CH26" s="174">
        <v>177.033497477461</v>
      </c>
      <c r="CI26" s="174">
        <v>1.953125E-3</v>
      </c>
      <c r="CJ26" s="174">
        <v>5.2734375E-2</v>
      </c>
      <c r="CK26" s="174">
        <v>5.8712361290322566</v>
      </c>
    </row>
    <row r="27" spans="18:89" x14ac:dyDescent="0.2">
      <c r="U27" s="172" t="s">
        <v>75</v>
      </c>
      <c r="V27" s="173" t="s">
        <v>19</v>
      </c>
      <c r="W27" s="172">
        <v>0.08</v>
      </c>
      <c r="X27" s="173">
        <v>0.1</v>
      </c>
      <c r="Y27" s="174">
        <v>0.2</v>
      </c>
      <c r="Z27" s="173">
        <v>7.8933038245161287</v>
      </c>
      <c r="AA27" s="173">
        <v>8.6857609083870955</v>
      </c>
      <c r="AB27" s="174">
        <v>12.648046327741934</v>
      </c>
      <c r="AC27" s="173">
        <v>4.7547425032258053</v>
      </c>
      <c r="AD27" s="174">
        <v>22.607576271981998</v>
      </c>
      <c r="AE27" s="174">
        <v>3.90625E-3</v>
      </c>
      <c r="AF27" s="174">
        <v>5.6640625E-2</v>
      </c>
      <c r="AG27" s="174">
        <v>1.97984256</v>
      </c>
      <c r="AI27" s="172" t="s">
        <v>234</v>
      </c>
      <c r="AJ27" s="173" t="s">
        <v>139</v>
      </c>
      <c r="AK27" s="172">
        <v>200</v>
      </c>
      <c r="AL27" s="173">
        <v>500</v>
      </c>
      <c r="AM27" s="174">
        <v>1000</v>
      </c>
      <c r="AN27" s="173">
        <v>17.494663432258065</v>
      </c>
      <c r="AO27" s="173">
        <v>23.787704980645163</v>
      </c>
      <c r="AP27" s="174">
        <v>34.276107561290324</v>
      </c>
      <c r="AQ27" s="173">
        <v>16.781444129032259</v>
      </c>
      <c r="AR27" s="174">
        <v>281.61686705583128</v>
      </c>
      <c r="AS27" s="174">
        <v>7.8125E-3</v>
      </c>
      <c r="AT27" s="174">
        <v>5.76171875E-2</v>
      </c>
      <c r="AU27" s="174">
        <v>5.7196834683870952</v>
      </c>
      <c r="AW27" s="172" t="s">
        <v>237</v>
      </c>
      <c r="AX27" s="173" t="s">
        <v>141</v>
      </c>
      <c r="AY27" s="172">
        <v>0.4</v>
      </c>
      <c r="AZ27" s="173">
        <v>0.6</v>
      </c>
      <c r="BA27" s="174">
        <v>0.8</v>
      </c>
      <c r="BB27" s="173">
        <v>4640</v>
      </c>
      <c r="BC27" s="173">
        <v>5440</v>
      </c>
      <c r="BD27" s="174">
        <v>6240</v>
      </c>
      <c r="BE27" s="173">
        <v>1600</v>
      </c>
      <c r="BF27" s="174">
        <v>2560000</v>
      </c>
      <c r="BG27" s="174">
        <v>1.953125E-3</v>
      </c>
      <c r="BH27" s="174">
        <v>6.4453125E-2</v>
      </c>
      <c r="BI27" s="174">
        <v>1720</v>
      </c>
      <c r="BK27" s="172" t="s">
        <v>236</v>
      </c>
      <c r="BL27" s="173" t="s">
        <v>140</v>
      </c>
      <c r="BM27" s="172">
        <v>50</v>
      </c>
      <c r="BN27" s="173">
        <v>100</v>
      </c>
      <c r="BO27" s="174">
        <v>150</v>
      </c>
      <c r="BP27" s="173">
        <v>12720</v>
      </c>
      <c r="BQ27" s="173">
        <v>16320</v>
      </c>
      <c r="BR27" s="174">
        <v>19920</v>
      </c>
      <c r="BS27" s="173">
        <v>7200</v>
      </c>
      <c r="BT27" s="174">
        <v>51840000</v>
      </c>
      <c r="BU27" s="174">
        <v>9.765625E-4</v>
      </c>
      <c r="BV27" s="174">
        <v>5.46875E-2</v>
      </c>
      <c r="BW27" s="174">
        <v>5120</v>
      </c>
      <c r="BY27" s="172" t="s">
        <v>75</v>
      </c>
      <c r="BZ27" s="173" t="s">
        <v>19</v>
      </c>
      <c r="CA27" s="172">
        <v>0.08</v>
      </c>
      <c r="CB27" s="173">
        <v>0.1</v>
      </c>
      <c r="CC27" s="174">
        <v>0.2</v>
      </c>
      <c r="CD27" s="173">
        <v>25.69434838709677</v>
      </c>
      <c r="CE27" s="173">
        <v>28.273961290322575</v>
      </c>
      <c r="CF27" s="174">
        <v>41.172025806451607</v>
      </c>
      <c r="CG27" s="173">
        <v>15.477677419354837</v>
      </c>
      <c r="CH27" s="174">
        <v>239.5584982976066</v>
      </c>
      <c r="CI27" s="174">
        <v>3.90625E-3</v>
      </c>
      <c r="CJ27" s="174">
        <v>5.6640625E-2</v>
      </c>
      <c r="CK27" s="174">
        <v>6.4447999999999999</v>
      </c>
    </row>
    <row r="28" spans="18:89" x14ac:dyDescent="0.2">
      <c r="U28" s="172" t="s">
        <v>234</v>
      </c>
      <c r="V28" s="173" t="s">
        <v>139</v>
      </c>
      <c r="W28" s="172">
        <v>200</v>
      </c>
      <c r="X28" s="173">
        <v>500</v>
      </c>
      <c r="Y28" s="174">
        <v>1000</v>
      </c>
      <c r="Z28" s="173">
        <v>6.3865889032258067</v>
      </c>
      <c r="AA28" s="173">
        <v>8.6857609083870955</v>
      </c>
      <c r="AB28" s="174">
        <v>12.51771425032258</v>
      </c>
      <c r="AC28" s="173">
        <v>6.1311253470967735</v>
      </c>
      <c r="AD28" s="174">
        <v>37.590698021812528</v>
      </c>
      <c r="AE28" s="174">
        <v>3.90625E-3</v>
      </c>
      <c r="AF28" s="174">
        <v>6.0546875E-2</v>
      </c>
      <c r="AG28" s="174">
        <v>2.1967455793548383</v>
      </c>
      <c r="AI28" s="172" t="s">
        <v>235</v>
      </c>
      <c r="AJ28" s="173" t="s">
        <v>139</v>
      </c>
      <c r="AK28" s="172">
        <v>5</v>
      </c>
      <c r="AL28" s="173">
        <v>20</v>
      </c>
      <c r="AM28" s="174">
        <v>40</v>
      </c>
      <c r="AN28" s="173">
        <v>15.92140304516129</v>
      </c>
      <c r="AO28" s="173">
        <v>23.787704980645163</v>
      </c>
      <c r="AP28" s="174">
        <v>34.276107561290324</v>
      </c>
      <c r="AQ28" s="173">
        <v>18.354704516129033</v>
      </c>
      <c r="AR28" s="174">
        <v>336.89517787440752</v>
      </c>
      <c r="AS28" s="174">
        <v>1.953125E-3</v>
      </c>
      <c r="AT28" s="174">
        <v>5.95703125E-2</v>
      </c>
      <c r="AU28" s="174">
        <v>5.7569755664516116</v>
      </c>
      <c r="AW28" s="172" t="s">
        <v>236</v>
      </c>
      <c r="AX28" s="173" t="s">
        <v>140</v>
      </c>
      <c r="AY28" s="172">
        <v>50</v>
      </c>
      <c r="AZ28" s="173">
        <v>100</v>
      </c>
      <c r="BA28" s="174">
        <v>150</v>
      </c>
      <c r="BB28" s="173">
        <v>4240</v>
      </c>
      <c r="BC28" s="173">
        <v>5440</v>
      </c>
      <c r="BD28" s="174">
        <v>6640</v>
      </c>
      <c r="BE28" s="173">
        <v>2400</v>
      </c>
      <c r="BF28" s="174">
        <v>5760000</v>
      </c>
      <c r="BG28" s="174">
        <v>3.90625E-3</v>
      </c>
      <c r="BH28" s="174">
        <v>6.8359375E-2</v>
      </c>
      <c r="BI28" s="174">
        <v>1760</v>
      </c>
      <c r="BK28" s="172" t="s">
        <v>137</v>
      </c>
      <c r="BL28" s="173" t="s">
        <v>140</v>
      </c>
      <c r="BM28" s="172">
        <v>50</v>
      </c>
      <c r="BN28" s="173">
        <v>100</v>
      </c>
      <c r="BO28" s="174">
        <v>150</v>
      </c>
      <c r="BP28" s="173">
        <v>12480</v>
      </c>
      <c r="BQ28" s="173">
        <v>16320</v>
      </c>
      <c r="BR28" s="174">
        <v>20160</v>
      </c>
      <c r="BS28" s="173">
        <v>7680</v>
      </c>
      <c r="BT28" s="174">
        <v>58982400</v>
      </c>
      <c r="BU28" s="174">
        <v>7.8125E-3</v>
      </c>
      <c r="BV28" s="174">
        <v>6.25E-2</v>
      </c>
      <c r="BW28" s="174">
        <v>5160</v>
      </c>
      <c r="BY28" s="172" t="s">
        <v>234</v>
      </c>
      <c r="BZ28" s="173" t="s">
        <v>139</v>
      </c>
      <c r="CA28" s="172">
        <v>200</v>
      </c>
      <c r="CB28" s="173">
        <v>500</v>
      </c>
      <c r="CC28" s="174">
        <v>1000</v>
      </c>
      <c r="CD28" s="173">
        <v>20.789677419354838</v>
      </c>
      <c r="CE28" s="173">
        <v>28.273961290322575</v>
      </c>
      <c r="CF28" s="174">
        <v>40.747767741935476</v>
      </c>
      <c r="CG28" s="173">
        <v>19.958090322580638</v>
      </c>
      <c r="CH28" s="174">
        <v>398.3253693242869</v>
      </c>
      <c r="CI28" s="174">
        <v>3.90625E-3</v>
      </c>
      <c r="CJ28" s="174">
        <v>6.0546875E-2</v>
      </c>
      <c r="CK28" s="174">
        <v>7.1508645161290305</v>
      </c>
    </row>
    <row r="29" spans="18:89" x14ac:dyDescent="0.2">
      <c r="U29" s="172" t="s">
        <v>235</v>
      </c>
      <c r="V29" s="173" t="s">
        <v>139</v>
      </c>
      <c r="W29" s="172">
        <v>5</v>
      </c>
      <c r="X29" s="173">
        <v>20</v>
      </c>
      <c r="Y29" s="174">
        <v>40</v>
      </c>
      <c r="Z29" s="173">
        <v>5.8117959019354846</v>
      </c>
      <c r="AA29" s="173">
        <v>8.6857609083870955</v>
      </c>
      <c r="AB29" s="174">
        <v>12.51771425032258</v>
      </c>
      <c r="AC29" s="173">
        <v>6.7059183483870957</v>
      </c>
      <c r="AD29" s="174">
        <v>44.969340895234716</v>
      </c>
      <c r="AE29" s="174">
        <v>1.953125E-3</v>
      </c>
      <c r="AF29" s="174">
        <v>6.25E-2</v>
      </c>
      <c r="AG29" s="174">
        <v>2.260852471741936</v>
      </c>
      <c r="AI29" s="172" t="s">
        <v>59</v>
      </c>
      <c r="AJ29" s="173" t="s">
        <v>2</v>
      </c>
      <c r="AK29" s="172">
        <v>3</v>
      </c>
      <c r="AL29" s="173">
        <v>5</v>
      </c>
      <c r="AM29" s="174">
        <v>7</v>
      </c>
      <c r="AN29" s="173">
        <v>14.278219974193547</v>
      </c>
      <c r="AO29" s="173">
        <v>23.787704980645163</v>
      </c>
      <c r="AP29" s="174">
        <v>33.297189987096772</v>
      </c>
      <c r="AQ29" s="173">
        <v>19.018970012903225</v>
      </c>
      <c r="AR29" s="174">
        <v>361.72122035171208</v>
      </c>
      <c r="AS29" s="174">
        <v>1.953125E-3</v>
      </c>
      <c r="AT29" s="174">
        <v>6.15234375E-2</v>
      </c>
      <c r="AU29" s="174">
        <v>5.7569755664516116</v>
      </c>
      <c r="AW29" s="172" t="s">
        <v>137</v>
      </c>
      <c r="AX29" s="173" t="s">
        <v>140</v>
      </c>
      <c r="AY29" s="172">
        <v>50</v>
      </c>
      <c r="AZ29" s="173">
        <v>100</v>
      </c>
      <c r="BA29" s="174">
        <v>150</v>
      </c>
      <c r="BB29" s="173">
        <v>4160</v>
      </c>
      <c r="BC29" s="173">
        <v>5440</v>
      </c>
      <c r="BD29" s="174">
        <v>6720</v>
      </c>
      <c r="BE29" s="173">
        <v>2560</v>
      </c>
      <c r="BF29" s="174">
        <v>6553600</v>
      </c>
      <c r="BG29" s="174">
        <v>3.90625E-3</v>
      </c>
      <c r="BH29" s="174">
        <v>7.2265625E-2</v>
      </c>
      <c r="BI29" s="174">
        <v>1760</v>
      </c>
      <c r="BK29" s="172" t="s">
        <v>234</v>
      </c>
      <c r="BL29" s="173" t="s">
        <v>139</v>
      </c>
      <c r="BM29" s="172">
        <v>200</v>
      </c>
      <c r="BN29" s="173">
        <v>500</v>
      </c>
      <c r="BO29" s="174">
        <v>1000</v>
      </c>
      <c r="BP29" s="173">
        <v>12000</v>
      </c>
      <c r="BQ29" s="173">
        <v>16320</v>
      </c>
      <c r="BR29" s="174">
        <v>23520</v>
      </c>
      <c r="BS29" s="173">
        <v>11520</v>
      </c>
      <c r="BT29" s="174">
        <v>132710400</v>
      </c>
      <c r="BU29" s="174">
        <v>7.8125E-3</v>
      </c>
      <c r="BV29" s="174">
        <v>7.03125E-2</v>
      </c>
      <c r="BW29" s="174">
        <v>5160</v>
      </c>
      <c r="BY29" s="172" t="s">
        <v>235</v>
      </c>
      <c r="BZ29" s="173" t="s">
        <v>139</v>
      </c>
      <c r="CA29" s="172">
        <v>5</v>
      </c>
      <c r="CB29" s="173">
        <v>20</v>
      </c>
      <c r="CC29" s="174">
        <v>40</v>
      </c>
      <c r="CD29" s="173">
        <v>18.918606451612902</v>
      </c>
      <c r="CE29" s="173">
        <v>28.273961290322575</v>
      </c>
      <c r="CF29" s="174">
        <v>40.747767741935476</v>
      </c>
      <c r="CG29" s="173">
        <v>21.829161290322574</v>
      </c>
      <c r="CH29" s="174">
        <v>476.5122826389175</v>
      </c>
      <c r="CI29" s="174">
        <v>1.953125E-3</v>
      </c>
      <c r="CJ29" s="174">
        <v>6.25E-2</v>
      </c>
      <c r="CK29" s="174">
        <v>7.3595458064516137</v>
      </c>
    </row>
    <row r="30" spans="18:89" x14ac:dyDescent="0.2">
      <c r="U30" s="172" t="s">
        <v>59</v>
      </c>
      <c r="V30" s="173" t="s">
        <v>2</v>
      </c>
      <c r="W30" s="172">
        <v>3</v>
      </c>
      <c r="X30" s="173">
        <v>5</v>
      </c>
      <c r="Y30" s="174">
        <v>7</v>
      </c>
      <c r="Z30" s="173">
        <v>5.2114565450322576</v>
      </c>
      <c r="AA30" s="173">
        <v>8.6857609083870955</v>
      </c>
      <c r="AB30" s="174">
        <v>12.160065271741935</v>
      </c>
      <c r="AC30" s="173">
        <v>6.9486087267096774</v>
      </c>
      <c r="AD30" s="174">
        <v>48.283163236905885</v>
      </c>
      <c r="AE30" s="174">
        <v>1.953125E-3</v>
      </c>
      <c r="AF30" s="174">
        <v>6.4453125E-2</v>
      </c>
      <c r="AG30" s="174">
        <v>2.260852471741936</v>
      </c>
      <c r="AI30" s="172" t="s">
        <v>135</v>
      </c>
      <c r="AJ30" s="173" t="s">
        <v>139</v>
      </c>
      <c r="AK30" s="172">
        <v>500</v>
      </c>
      <c r="AL30" s="173">
        <v>2000</v>
      </c>
      <c r="AM30" s="174">
        <v>4000</v>
      </c>
      <c r="AN30" s="173">
        <v>15.396982916129032</v>
      </c>
      <c r="AO30" s="173">
        <v>23.787704980645163</v>
      </c>
      <c r="AP30" s="174">
        <v>34.975334400000001</v>
      </c>
      <c r="AQ30" s="173">
        <v>19.578351483870968</v>
      </c>
      <c r="AR30" s="174">
        <v>383.31184682599252</v>
      </c>
      <c r="AS30" s="174">
        <v>7.8125E-3</v>
      </c>
      <c r="AT30" s="174">
        <v>6.93359375E-2</v>
      </c>
      <c r="AU30" s="174">
        <v>6.1671886451612892</v>
      </c>
      <c r="AW30" s="172" t="s">
        <v>234</v>
      </c>
      <c r="AX30" s="173" t="s">
        <v>139</v>
      </c>
      <c r="AY30" s="172">
        <v>200</v>
      </c>
      <c r="AZ30" s="173">
        <v>500</v>
      </c>
      <c r="BA30" s="174">
        <v>1000</v>
      </c>
      <c r="BB30" s="173">
        <v>4000</v>
      </c>
      <c r="BC30" s="173">
        <v>5440</v>
      </c>
      <c r="BD30" s="174">
        <v>7840</v>
      </c>
      <c r="BE30" s="173">
        <v>3840</v>
      </c>
      <c r="BF30" s="174">
        <v>14745600</v>
      </c>
      <c r="BG30" s="174">
        <v>9.765625E-4</v>
      </c>
      <c r="BH30" s="174">
        <v>7.32421875E-2</v>
      </c>
      <c r="BI30" s="174">
        <v>1760</v>
      </c>
      <c r="BK30" s="172" t="s">
        <v>235</v>
      </c>
      <c r="BL30" s="173" t="s">
        <v>139</v>
      </c>
      <c r="BM30" s="172">
        <v>5</v>
      </c>
      <c r="BN30" s="173">
        <v>20</v>
      </c>
      <c r="BO30" s="174">
        <v>40</v>
      </c>
      <c r="BP30" s="173">
        <v>10920</v>
      </c>
      <c r="BQ30" s="173">
        <v>16320</v>
      </c>
      <c r="BR30" s="174">
        <v>23520</v>
      </c>
      <c r="BS30" s="173">
        <v>12600</v>
      </c>
      <c r="BT30" s="174">
        <v>158760000</v>
      </c>
      <c r="BU30" s="174">
        <v>1.953125E-3</v>
      </c>
      <c r="BV30" s="174">
        <v>7.2265625E-2</v>
      </c>
      <c r="BW30" s="174">
        <v>5440</v>
      </c>
      <c r="BY30" s="172" t="s">
        <v>59</v>
      </c>
      <c r="BZ30" s="173" t="s">
        <v>2</v>
      </c>
      <c r="CA30" s="172">
        <v>3</v>
      </c>
      <c r="CB30" s="173">
        <v>5</v>
      </c>
      <c r="CC30" s="174">
        <v>7</v>
      </c>
      <c r="CD30" s="173">
        <v>16.964376774193546</v>
      </c>
      <c r="CE30" s="173">
        <v>28.273961290322575</v>
      </c>
      <c r="CF30" s="174">
        <v>39.58354580645161</v>
      </c>
      <c r="CG30" s="173">
        <v>22.619169032258064</v>
      </c>
      <c r="CH30" s="174">
        <v>511.62680770986219</v>
      </c>
      <c r="CI30" s="174">
        <v>1.953125E-3</v>
      </c>
      <c r="CJ30" s="174">
        <v>6.4453125E-2</v>
      </c>
      <c r="CK30" s="174">
        <v>7.3595458064516137</v>
      </c>
    </row>
    <row r="31" spans="18:89" x14ac:dyDescent="0.2">
      <c r="U31" s="172" t="s">
        <v>135</v>
      </c>
      <c r="V31" s="173" t="s">
        <v>139</v>
      </c>
      <c r="W31" s="172">
        <v>500</v>
      </c>
      <c r="X31" s="173">
        <v>2000</v>
      </c>
      <c r="Y31" s="174">
        <v>4000</v>
      </c>
      <c r="Z31" s="173">
        <v>5.6201982348387105</v>
      </c>
      <c r="AA31" s="173">
        <v>8.6857609083870955</v>
      </c>
      <c r="AB31" s="174">
        <v>12.773177806451613</v>
      </c>
      <c r="AC31" s="173">
        <v>7.152979571612903</v>
      </c>
      <c r="AD31" s="174">
        <v>51.165116751911512</v>
      </c>
      <c r="AE31" s="174">
        <v>9.765625E-4</v>
      </c>
      <c r="AF31" s="174">
        <v>6.54296875E-2</v>
      </c>
      <c r="AG31" s="174">
        <v>2.2717071360000003</v>
      </c>
      <c r="AI31" s="172" t="s">
        <v>136</v>
      </c>
      <c r="AJ31" s="173" t="s">
        <v>139</v>
      </c>
      <c r="AK31" s="172">
        <v>5</v>
      </c>
      <c r="AL31" s="173">
        <v>20</v>
      </c>
      <c r="AM31" s="174">
        <v>40</v>
      </c>
      <c r="AN31" s="173">
        <v>15.396982916129032</v>
      </c>
      <c r="AO31" s="173">
        <v>23.787704980645163</v>
      </c>
      <c r="AP31" s="174">
        <v>34.975334400000001</v>
      </c>
      <c r="AQ31" s="173">
        <v>19.578351483870968</v>
      </c>
      <c r="AR31" s="174">
        <v>383.31184682599252</v>
      </c>
      <c r="AS31" s="174">
        <v>1.953125E-3</v>
      </c>
      <c r="AT31" s="174">
        <v>7.12890625E-2</v>
      </c>
      <c r="AU31" s="174">
        <v>6.1671886451612892</v>
      </c>
      <c r="AW31" s="172" t="s">
        <v>235</v>
      </c>
      <c r="AX31" s="173" t="s">
        <v>139</v>
      </c>
      <c r="AY31" s="172">
        <v>5</v>
      </c>
      <c r="AZ31" s="173">
        <v>20</v>
      </c>
      <c r="BA31" s="174">
        <v>40</v>
      </c>
      <c r="BB31" s="173">
        <v>3640</v>
      </c>
      <c r="BC31" s="173">
        <v>5440</v>
      </c>
      <c r="BD31" s="174">
        <v>7840</v>
      </c>
      <c r="BE31" s="173">
        <v>4200</v>
      </c>
      <c r="BF31" s="174">
        <v>17640000</v>
      </c>
      <c r="BG31" s="174">
        <v>1.953125E-3</v>
      </c>
      <c r="BH31" s="174">
        <v>7.51953125E-2</v>
      </c>
      <c r="BI31" s="174">
        <v>1840</v>
      </c>
      <c r="BK31" s="172" t="s">
        <v>135</v>
      </c>
      <c r="BL31" s="173" t="s">
        <v>139</v>
      </c>
      <c r="BM31" s="172">
        <v>500</v>
      </c>
      <c r="BN31" s="173">
        <v>2000</v>
      </c>
      <c r="BO31" s="174">
        <v>4000</v>
      </c>
      <c r="BP31" s="173">
        <v>10560</v>
      </c>
      <c r="BQ31" s="173">
        <v>16320</v>
      </c>
      <c r="BR31" s="174">
        <v>24000</v>
      </c>
      <c r="BS31" s="173">
        <v>13440</v>
      </c>
      <c r="BT31" s="174">
        <v>180633600</v>
      </c>
      <c r="BU31" s="174">
        <v>1.953125E-3</v>
      </c>
      <c r="BV31" s="174">
        <v>7.421875E-2</v>
      </c>
      <c r="BW31" s="174">
        <v>5440</v>
      </c>
      <c r="BY31" s="172" t="s">
        <v>135</v>
      </c>
      <c r="BZ31" s="173" t="s">
        <v>139</v>
      </c>
      <c r="CA31" s="172">
        <v>500</v>
      </c>
      <c r="CB31" s="173">
        <v>2000</v>
      </c>
      <c r="CC31" s="174">
        <v>4000</v>
      </c>
      <c r="CD31" s="173">
        <v>18.294916129032259</v>
      </c>
      <c r="CE31" s="173">
        <v>28.273961290322575</v>
      </c>
      <c r="CF31" s="174">
        <v>41.579354838709676</v>
      </c>
      <c r="CG31" s="173">
        <v>23.284438709677417</v>
      </c>
      <c r="CH31" s="174">
        <v>542.16508602472413</v>
      </c>
      <c r="CI31" s="174">
        <v>9.765625E-4</v>
      </c>
      <c r="CJ31" s="174">
        <v>6.54296875E-2</v>
      </c>
      <c r="CK31" s="174">
        <v>7.3948800000000006</v>
      </c>
    </row>
    <row r="32" spans="18:89" x14ac:dyDescent="0.2">
      <c r="U32" s="172" t="s">
        <v>136</v>
      </c>
      <c r="V32" s="173" t="s">
        <v>139</v>
      </c>
      <c r="W32" s="172">
        <v>5</v>
      </c>
      <c r="X32" s="173">
        <v>20</v>
      </c>
      <c r="Y32" s="174">
        <v>40</v>
      </c>
      <c r="Z32" s="173">
        <v>5.6201982348387105</v>
      </c>
      <c r="AA32" s="173">
        <v>8.6857609083870955</v>
      </c>
      <c r="AB32" s="174">
        <v>12.773177806451613</v>
      </c>
      <c r="AC32" s="173">
        <v>7.152979571612903</v>
      </c>
      <c r="AD32" s="174">
        <v>51.165116751911512</v>
      </c>
      <c r="AE32" s="174">
        <v>7.8125E-3</v>
      </c>
      <c r="AF32" s="174">
        <v>7.32421875E-2</v>
      </c>
      <c r="AG32" s="174">
        <v>2.3586110430967735</v>
      </c>
      <c r="AI32" s="172" t="s">
        <v>144</v>
      </c>
      <c r="AJ32" s="173" t="s">
        <v>145</v>
      </c>
      <c r="AK32" s="172">
        <v>1</v>
      </c>
      <c r="AL32" s="173">
        <v>2</v>
      </c>
      <c r="AM32" s="174">
        <v>4</v>
      </c>
      <c r="AN32" s="173">
        <v>15.863134141935483</v>
      </c>
      <c r="AO32" s="173">
        <v>23.787704980645163</v>
      </c>
      <c r="AP32" s="174">
        <v>39.636846658064513</v>
      </c>
      <c r="AQ32" s="173">
        <v>23.773712516129031</v>
      </c>
      <c r="AR32" s="174">
        <v>565.18940679955017</v>
      </c>
      <c r="AS32" s="174">
        <v>7.8125E-3</v>
      </c>
      <c r="AT32" s="174">
        <v>7.91015625E-2</v>
      </c>
      <c r="AU32" s="174">
        <v>6.1671886451612892</v>
      </c>
      <c r="AW32" s="172" t="s">
        <v>135</v>
      </c>
      <c r="AX32" s="173" t="s">
        <v>139</v>
      </c>
      <c r="AY32" s="172">
        <v>500</v>
      </c>
      <c r="AZ32" s="173">
        <v>2000</v>
      </c>
      <c r="BA32" s="174">
        <v>4000</v>
      </c>
      <c r="BB32" s="173">
        <v>3520</v>
      </c>
      <c r="BC32" s="173">
        <v>5440</v>
      </c>
      <c r="BD32" s="174">
        <v>8000</v>
      </c>
      <c r="BE32" s="173">
        <v>4480</v>
      </c>
      <c r="BF32" s="174">
        <v>20070400</v>
      </c>
      <c r="BG32" s="174">
        <v>9.765625E-4</v>
      </c>
      <c r="BH32" s="174">
        <v>7.6171875E-2</v>
      </c>
      <c r="BI32" s="174">
        <v>1920</v>
      </c>
      <c r="BK32" s="172" t="s">
        <v>136</v>
      </c>
      <c r="BL32" s="173" t="s">
        <v>139</v>
      </c>
      <c r="BM32" s="172">
        <v>5</v>
      </c>
      <c r="BN32" s="173">
        <v>20</v>
      </c>
      <c r="BO32" s="174">
        <v>40</v>
      </c>
      <c r="BP32" s="173">
        <v>10560</v>
      </c>
      <c r="BQ32" s="173">
        <v>16320</v>
      </c>
      <c r="BR32" s="174">
        <v>24000</v>
      </c>
      <c r="BS32" s="173">
        <v>13440</v>
      </c>
      <c r="BT32" s="174">
        <v>180633600</v>
      </c>
      <c r="BU32" s="174">
        <v>1.953125E-3</v>
      </c>
      <c r="BV32" s="174">
        <v>7.6171875E-2</v>
      </c>
      <c r="BW32" s="174">
        <v>5520</v>
      </c>
      <c r="BY32" s="172" t="s">
        <v>136</v>
      </c>
      <c r="BZ32" s="173" t="s">
        <v>139</v>
      </c>
      <c r="CA32" s="172">
        <v>5</v>
      </c>
      <c r="CB32" s="173">
        <v>20</v>
      </c>
      <c r="CC32" s="174">
        <v>40</v>
      </c>
      <c r="CD32" s="173">
        <v>18.294916129032259</v>
      </c>
      <c r="CE32" s="173">
        <v>28.273961290322575</v>
      </c>
      <c r="CF32" s="174">
        <v>41.579354838709676</v>
      </c>
      <c r="CG32" s="173">
        <v>23.284438709677417</v>
      </c>
      <c r="CH32" s="174">
        <v>542.16508602472413</v>
      </c>
      <c r="CI32" s="174">
        <v>7.8125E-3</v>
      </c>
      <c r="CJ32" s="174">
        <v>7.32421875E-2</v>
      </c>
      <c r="CK32" s="174">
        <v>7.677770322580642</v>
      </c>
    </row>
    <row r="33" spans="21:89" x14ac:dyDescent="0.2">
      <c r="U33" s="172" t="s">
        <v>25</v>
      </c>
      <c r="V33" s="173" t="s">
        <v>19</v>
      </c>
      <c r="W33" s="172">
        <v>0.5</v>
      </c>
      <c r="X33" s="173">
        <v>0.75</v>
      </c>
      <c r="Y33" s="174">
        <v>0.9</v>
      </c>
      <c r="Z33" s="173">
        <v>16.610331747096772</v>
      </c>
      <c r="AA33" s="173">
        <v>8.6857609083870955</v>
      </c>
      <c r="AB33" s="174">
        <v>3.9310184051612898</v>
      </c>
      <c r="AC33" s="173">
        <v>-12.679313341935483</v>
      </c>
      <c r="AD33" s="174">
        <v>160.76498682298316</v>
      </c>
      <c r="AE33" s="174">
        <v>9.765625E-4</v>
      </c>
      <c r="AF33" s="174">
        <v>7.421875E-2</v>
      </c>
      <c r="AG33" s="174">
        <v>2.3586110430967735</v>
      </c>
      <c r="AI33" s="172" t="s">
        <v>25</v>
      </c>
      <c r="AJ33" s="173" t="s">
        <v>19</v>
      </c>
      <c r="AK33" s="172">
        <v>0.5</v>
      </c>
      <c r="AL33" s="173">
        <v>0.75</v>
      </c>
      <c r="AM33" s="174">
        <v>0.9</v>
      </c>
      <c r="AN33" s="173">
        <v>47.561417496774197</v>
      </c>
      <c r="AO33" s="173">
        <v>23.787704980645163</v>
      </c>
      <c r="AP33" s="174">
        <v>9.5234774709677392</v>
      </c>
      <c r="AQ33" s="173">
        <v>-38.037940025806456</v>
      </c>
      <c r="AR33" s="174">
        <v>1446.884881406849</v>
      </c>
      <c r="AS33" s="174">
        <v>1.953125E-3</v>
      </c>
      <c r="AT33" s="174">
        <v>8.10546875E-2</v>
      </c>
      <c r="AU33" s="174">
        <v>6.1671886451612892</v>
      </c>
      <c r="AW33" s="172" t="s">
        <v>136</v>
      </c>
      <c r="AX33" s="173" t="s">
        <v>139</v>
      </c>
      <c r="AY33" s="172">
        <v>5</v>
      </c>
      <c r="AZ33" s="173">
        <v>20</v>
      </c>
      <c r="BA33" s="174">
        <v>40</v>
      </c>
      <c r="BB33" s="173">
        <v>3520</v>
      </c>
      <c r="BC33" s="173">
        <v>5440</v>
      </c>
      <c r="BD33" s="174">
        <v>8000</v>
      </c>
      <c r="BE33" s="173">
        <v>4480</v>
      </c>
      <c r="BF33" s="174">
        <v>20070400</v>
      </c>
      <c r="BG33" s="174">
        <v>1.953125E-3</v>
      </c>
      <c r="BH33" s="174">
        <v>7.8125E-2</v>
      </c>
      <c r="BI33" s="174">
        <v>2000</v>
      </c>
      <c r="BK33" s="172" t="s">
        <v>144</v>
      </c>
      <c r="BL33" s="173" t="s">
        <v>145</v>
      </c>
      <c r="BM33" s="172">
        <v>1</v>
      </c>
      <c r="BN33" s="173">
        <v>2</v>
      </c>
      <c r="BO33" s="174">
        <v>4</v>
      </c>
      <c r="BP33" s="173">
        <v>10880</v>
      </c>
      <c r="BQ33" s="173">
        <v>16320</v>
      </c>
      <c r="BR33" s="174">
        <v>27200</v>
      </c>
      <c r="BS33" s="173">
        <v>16320</v>
      </c>
      <c r="BT33" s="174">
        <v>266342400</v>
      </c>
      <c r="BU33" s="174">
        <v>9.765625E-4</v>
      </c>
      <c r="BV33" s="174">
        <v>7.71484375E-2</v>
      </c>
      <c r="BW33" s="174">
        <v>5920</v>
      </c>
      <c r="BY33" s="172" t="s">
        <v>25</v>
      </c>
      <c r="BZ33" s="173" t="s">
        <v>19</v>
      </c>
      <c r="CA33" s="172">
        <v>0.5</v>
      </c>
      <c r="CB33" s="173">
        <v>0.75</v>
      </c>
      <c r="CC33" s="174">
        <v>0.9</v>
      </c>
      <c r="CD33" s="173">
        <v>54.070090322580633</v>
      </c>
      <c r="CE33" s="173">
        <v>28.273961290322575</v>
      </c>
      <c r="CF33" s="174">
        <v>12.79628387096774</v>
      </c>
      <c r="CG33" s="173">
        <v>-41.273806451612892</v>
      </c>
      <c r="CH33" s="174">
        <v>1703.527099005202</v>
      </c>
      <c r="CI33" s="174">
        <v>9.765625E-4</v>
      </c>
      <c r="CJ33" s="174">
        <v>7.421875E-2</v>
      </c>
      <c r="CK33" s="174">
        <v>7.677770322580642</v>
      </c>
    </row>
    <row r="34" spans="21:89" x14ac:dyDescent="0.2">
      <c r="AE34" s="174">
        <v>9.765625E-4</v>
      </c>
      <c r="AF34" s="174">
        <v>7.51953125E-2</v>
      </c>
      <c r="AG34" s="174">
        <v>2.3875155901935479</v>
      </c>
      <c r="AS34" s="174">
        <v>3.90625E-3</v>
      </c>
      <c r="AT34" s="174">
        <v>8.49609375E-2</v>
      </c>
      <c r="AU34" s="174">
        <v>6.1671886451612909</v>
      </c>
      <c r="BG34" s="174">
        <v>3.90625E-3</v>
      </c>
      <c r="BH34" s="174">
        <v>8.203125E-2</v>
      </c>
      <c r="BI34" s="174">
        <v>2000</v>
      </c>
      <c r="BU34" s="174">
        <v>9.765625E-4</v>
      </c>
      <c r="BV34" s="174">
        <v>7.8125E-2</v>
      </c>
      <c r="BW34" s="174">
        <v>5920</v>
      </c>
      <c r="CI34" s="174">
        <v>9.765625E-4</v>
      </c>
      <c r="CJ34" s="174">
        <v>7.51953125E-2</v>
      </c>
      <c r="CK34" s="174">
        <v>7.7718606451612882</v>
      </c>
    </row>
    <row r="35" spans="21:89" x14ac:dyDescent="0.2">
      <c r="AE35" s="174">
        <v>9.765625E-4</v>
      </c>
      <c r="AF35" s="174">
        <v>7.6171875E-2</v>
      </c>
      <c r="AG35" s="174">
        <v>2.3875155901935479</v>
      </c>
      <c r="AS35" s="174">
        <v>3.90625E-3</v>
      </c>
      <c r="AT35" s="174">
        <v>8.88671875E-2</v>
      </c>
      <c r="AU35" s="174">
        <v>6.1671886451612909</v>
      </c>
      <c r="BG35" s="174">
        <v>1.953125E-3</v>
      </c>
      <c r="BH35" s="174">
        <v>8.3984375E-2</v>
      </c>
      <c r="BI35" s="174">
        <v>2000</v>
      </c>
      <c r="BU35" s="174">
        <v>1.953125E-3</v>
      </c>
      <c r="BV35" s="174">
        <v>8.0078125E-2</v>
      </c>
      <c r="BW35" s="174">
        <v>6000</v>
      </c>
      <c r="CI35" s="174">
        <v>9.765625E-4</v>
      </c>
      <c r="CJ35" s="174">
        <v>7.6171875E-2</v>
      </c>
      <c r="CK35" s="174">
        <v>7.7718606451612882</v>
      </c>
    </row>
    <row r="36" spans="21:89" x14ac:dyDescent="0.2">
      <c r="AE36" s="174">
        <v>7.8125E-3</v>
      </c>
      <c r="AF36" s="174">
        <v>8.3984375E-2</v>
      </c>
      <c r="AG36" s="174">
        <v>2.5436001445161285</v>
      </c>
      <c r="AS36" s="174">
        <v>7.8125E-3</v>
      </c>
      <c r="AT36" s="174">
        <v>9.66796875E-2</v>
      </c>
      <c r="AU36" s="174">
        <v>6.3536491354838693</v>
      </c>
      <c r="BG36" s="174">
        <v>1.953125E-3</v>
      </c>
      <c r="BH36" s="174">
        <v>8.59375E-2</v>
      </c>
      <c r="BI36" s="174">
        <v>2000</v>
      </c>
      <c r="BU36" s="174">
        <v>1.953125E-3</v>
      </c>
      <c r="BV36" s="174">
        <v>8.203125E-2</v>
      </c>
      <c r="BW36" s="174">
        <v>6000</v>
      </c>
      <c r="CI36" s="174">
        <v>7.8125E-3</v>
      </c>
      <c r="CJ36" s="174">
        <v>8.3984375E-2</v>
      </c>
      <c r="CK36" s="174">
        <v>8.2799483870967716</v>
      </c>
    </row>
    <row r="37" spans="21:89" x14ac:dyDescent="0.2">
      <c r="AE37" s="174">
        <v>7.8125E-3</v>
      </c>
      <c r="AF37" s="174">
        <v>9.1796875E-2</v>
      </c>
      <c r="AG37" s="174">
        <v>2.5436001445161285</v>
      </c>
      <c r="AS37" s="174">
        <v>9.765625E-4</v>
      </c>
      <c r="AT37" s="174">
        <v>9.765625E-2</v>
      </c>
      <c r="AU37" s="174">
        <v>6.8011543122580624</v>
      </c>
      <c r="BG37" s="174">
        <v>1.953125E-3</v>
      </c>
      <c r="BH37" s="174">
        <v>8.7890625E-2</v>
      </c>
      <c r="BI37" s="174">
        <v>2000</v>
      </c>
      <c r="BU37" s="174">
        <v>3.90625E-3</v>
      </c>
      <c r="BV37" s="174">
        <v>8.59375E-2</v>
      </c>
      <c r="BW37" s="174">
        <v>6080</v>
      </c>
      <c r="CI37" s="174">
        <v>7.8125E-3</v>
      </c>
      <c r="CJ37" s="174">
        <v>9.1796875E-2</v>
      </c>
      <c r="CK37" s="174">
        <v>8.2799483870967716</v>
      </c>
    </row>
    <row r="38" spans="21:89" x14ac:dyDescent="0.2">
      <c r="AE38" s="174">
        <v>1.953125E-3</v>
      </c>
      <c r="AF38" s="174">
        <v>9.375E-2</v>
      </c>
      <c r="AG38" s="174">
        <v>2.5667237821935482</v>
      </c>
      <c r="AS38" s="174">
        <v>9.765625E-4</v>
      </c>
      <c r="AT38" s="174">
        <v>9.86328125E-2</v>
      </c>
      <c r="AU38" s="174">
        <v>6.8011543122580624</v>
      </c>
      <c r="BG38" s="174">
        <v>3.90625E-3</v>
      </c>
      <c r="BH38" s="174">
        <v>9.1796875E-2</v>
      </c>
      <c r="BI38" s="174">
        <v>2040</v>
      </c>
      <c r="BU38" s="174">
        <v>1.953125E-3</v>
      </c>
      <c r="BV38" s="174">
        <v>8.7890625E-2</v>
      </c>
      <c r="BW38" s="174">
        <v>6080</v>
      </c>
      <c r="CI38" s="174">
        <v>1.953125E-3</v>
      </c>
      <c r="CJ38" s="174">
        <v>9.375E-2</v>
      </c>
      <c r="CK38" s="174">
        <v>8.3552206451612889</v>
      </c>
    </row>
    <row r="39" spans="21:89" x14ac:dyDescent="0.2">
      <c r="AE39" s="174">
        <v>1.953125E-3</v>
      </c>
      <c r="AF39" s="174">
        <v>9.5703125E-2</v>
      </c>
      <c r="AG39" s="174">
        <v>2.5667237821935482</v>
      </c>
      <c r="AS39" s="174">
        <v>9.765625E-4</v>
      </c>
      <c r="AT39" s="174">
        <v>9.9609375E-2</v>
      </c>
      <c r="AU39" s="174">
        <v>7.2859515870967728</v>
      </c>
      <c r="BG39" s="174">
        <v>3.90625E-3</v>
      </c>
      <c r="BH39" s="174">
        <v>9.5703125E-2</v>
      </c>
      <c r="BI39" s="174">
        <v>2040</v>
      </c>
      <c r="BU39" s="174">
        <v>1.953125E-3</v>
      </c>
      <c r="BV39" s="174">
        <v>8.984375E-2</v>
      </c>
      <c r="BW39" s="174">
        <v>6080</v>
      </c>
      <c r="CI39" s="174">
        <v>1.953125E-3</v>
      </c>
      <c r="CJ39" s="174">
        <v>9.5703125E-2</v>
      </c>
      <c r="CK39" s="174">
        <v>8.3552206451612889</v>
      </c>
    </row>
    <row r="40" spans="21:89" x14ac:dyDescent="0.2">
      <c r="AE40" s="174">
        <v>7.8125E-3</v>
      </c>
      <c r="AF40" s="174">
        <v>0.103515625</v>
      </c>
      <c r="AG40" s="174">
        <v>2.6303137858064507</v>
      </c>
      <c r="AS40" s="174">
        <v>3.90625E-3</v>
      </c>
      <c r="AT40" s="174">
        <v>0.103515625</v>
      </c>
      <c r="AU40" s="174">
        <v>7.2859515870967728</v>
      </c>
      <c r="BG40" s="174">
        <v>7.8125E-3</v>
      </c>
      <c r="BH40" s="174">
        <v>0.103515625</v>
      </c>
      <c r="BI40" s="174">
        <v>2080</v>
      </c>
      <c r="BU40" s="174">
        <v>1.953125E-3</v>
      </c>
      <c r="BV40" s="174">
        <v>9.1796875E-2</v>
      </c>
      <c r="BW40" s="174">
        <v>6200</v>
      </c>
      <c r="CI40" s="174">
        <v>7.8125E-3</v>
      </c>
      <c r="CJ40" s="174">
        <v>0.103515625</v>
      </c>
      <c r="CK40" s="174">
        <v>8.5622193548387067</v>
      </c>
    </row>
    <row r="41" spans="21:89" x14ac:dyDescent="0.2">
      <c r="AE41" s="174">
        <v>1.953125E-3</v>
      </c>
      <c r="AF41" s="174">
        <v>0.10546875</v>
      </c>
      <c r="AG41" s="174">
        <v>2.6881228799999994</v>
      </c>
      <c r="AS41" s="174">
        <v>3.90625E-3</v>
      </c>
      <c r="AT41" s="174">
        <v>0.107421875</v>
      </c>
      <c r="AU41" s="174">
        <v>7.2859515870967728</v>
      </c>
      <c r="BG41" s="174">
        <v>7.8125E-3</v>
      </c>
      <c r="BH41" s="174">
        <v>0.111328125</v>
      </c>
      <c r="BI41" s="174">
        <v>2080</v>
      </c>
      <c r="BU41" s="174">
        <v>7.8125E-3</v>
      </c>
      <c r="BV41" s="174">
        <v>9.9609375E-2</v>
      </c>
      <c r="BW41" s="174">
        <v>6240</v>
      </c>
      <c r="CI41" s="174">
        <v>1.953125E-3</v>
      </c>
      <c r="CJ41" s="174">
        <v>0.10546875</v>
      </c>
      <c r="CK41" s="174">
        <v>8.7503999999999973</v>
      </c>
    </row>
    <row r="42" spans="21:89" x14ac:dyDescent="0.2">
      <c r="AE42" s="174">
        <v>1.953125E-3</v>
      </c>
      <c r="AF42" s="174">
        <v>0.107421875</v>
      </c>
      <c r="AG42" s="174">
        <v>2.6881228799999994</v>
      </c>
      <c r="AS42" s="174">
        <v>9.765625E-4</v>
      </c>
      <c r="AT42" s="174">
        <v>0.1083984375</v>
      </c>
      <c r="AU42" s="174">
        <v>7.2859515870967728</v>
      </c>
      <c r="BG42" s="174">
        <v>1.953125E-3</v>
      </c>
      <c r="BH42" s="174">
        <v>0.11328125</v>
      </c>
      <c r="BI42" s="174">
        <v>2080</v>
      </c>
      <c r="BU42" s="174">
        <v>7.8125E-3</v>
      </c>
      <c r="BV42" s="174">
        <v>0.107421875</v>
      </c>
      <c r="BW42" s="174">
        <v>6240</v>
      </c>
      <c r="CI42" s="174">
        <v>1.953125E-3</v>
      </c>
      <c r="CJ42" s="174">
        <v>0.107421875</v>
      </c>
      <c r="CK42" s="174">
        <v>8.7503999999999973</v>
      </c>
    </row>
    <row r="43" spans="21:89" x14ac:dyDescent="0.2">
      <c r="AE43" s="174">
        <v>7.8125E-3</v>
      </c>
      <c r="AF43" s="174">
        <v>0.115234375</v>
      </c>
      <c r="AG43" s="174">
        <v>2.7462332283870969</v>
      </c>
      <c r="AS43" s="174">
        <v>1.953125E-3</v>
      </c>
      <c r="AT43" s="174">
        <v>0.1103515625</v>
      </c>
      <c r="AU43" s="174">
        <v>7.2859515870967737</v>
      </c>
      <c r="BG43" s="174">
        <v>1.953125E-3</v>
      </c>
      <c r="BH43" s="174">
        <v>0.115234375</v>
      </c>
      <c r="BI43" s="174">
        <v>2080</v>
      </c>
      <c r="BU43" s="174">
        <v>3.90625E-3</v>
      </c>
      <c r="BV43" s="174">
        <v>0.111328125</v>
      </c>
      <c r="BW43" s="174">
        <v>6560</v>
      </c>
      <c r="CI43" s="174">
        <v>7.8125E-3</v>
      </c>
      <c r="CJ43" s="174">
        <v>0.115234375</v>
      </c>
      <c r="CK43" s="174">
        <v>8.9395612903225796</v>
      </c>
    </row>
    <row r="44" spans="21:89" x14ac:dyDescent="0.2">
      <c r="AE44" s="174">
        <v>7.8125E-3</v>
      </c>
      <c r="AF44" s="174">
        <v>0.123046875</v>
      </c>
      <c r="AG44" s="174">
        <v>2.7462332283870969</v>
      </c>
      <c r="AS44" s="174">
        <v>1.953125E-3</v>
      </c>
      <c r="AT44" s="174">
        <v>0.1123046875</v>
      </c>
      <c r="AU44" s="174">
        <v>7.2859515870967737</v>
      </c>
      <c r="BG44" s="174">
        <v>9.765625E-4</v>
      </c>
      <c r="BH44" s="174">
        <v>0.1162109375</v>
      </c>
      <c r="BI44" s="174">
        <v>2320</v>
      </c>
      <c r="BU44" s="174">
        <v>1.953125E-3</v>
      </c>
      <c r="BV44" s="174">
        <v>0.11328125</v>
      </c>
      <c r="BW44" s="174">
        <v>6800</v>
      </c>
      <c r="CI44" s="174">
        <v>7.8125E-3</v>
      </c>
      <c r="CJ44" s="174">
        <v>0.123046875</v>
      </c>
      <c r="CK44" s="174">
        <v>8.9395612903225796</v>
      </c>
    </row>
    <row r="45" spans="21:89" x14ac:dyDescent="0.2">
      <c r="AE45" s="174">
        <v>1.953125E-3</v>
      </c>
      <c r="AF45" s="174">
        <v>0.125</v>
      </c>
      <c r="AG45" s="174">
        <v>2.7717795840000004</v>
      </c>
      <c r="AS45" s="174">
        <v>1.953125E-3</v>
      </c>
      <c r="AT45" s="174">
        <v>0.1142578125</v>
      </c>
      <c r="AU45" s="174">
        <v>7.4537660283870943</v>
      </c>
      <c r="BG45" s="174">
        <v>3.90625E-3</v>
      </c>
      <c r="BH45" s="174">
        <v>0.1201171875</v>
      </c>
      <c r="BI45" s="174">
        <v>2320</v>
      </c>
      <c r="BU45" s="174">
        <v>1.953125E-3</v>
      </c>
      <c r="BV45" s="174">
        <v>0.115234375</v>
      </c>
      <c r="BW45" s="174">
        <v>6800</v>
      </c>
      <c r="CI45" s="174">
        <v>1.953125E-3</v>
      </c>
      <c r="CJ45" s="174">
        <v>0.125</v>
      </c>
      <c r="CK45" s="174">
        <v>9.0227199999999996</v>
      </c>
    </row>
    <row r="46" spans="21:89" x14ac:dyDescent="0.2">
      <c r="AE46" s="174">
        <v>9.765625E-4</v>
      </c>
      <c r="AF46" s="174">
        <v>0.1259765625</v>
      </c>
      <c r="AG46" s="174">
        <v>2.8442074343225801</v>
      </c>
      <c r="AS46" s="174">
        <v>3.90625E-3</v>
      </c>
      <c r="AT46" s="174">
        <v>0.1181640625</v>
      </c>
      <c r="AU46" s="174">
        <v>7.9851784258064509</v>
      </c>
      <c r="BG46" s="174">
        <v>9.765625E-4</v>
      </c>
      <c r="BH46" s="174">
        <v>0.12109375</v>
      </c>
      <c r="BI46" s="174">
        <v>2320</v>
      </c>
      <c r="BU46" s="174">
        <v>3.90625E-3</v>
      </c>
      <c r="BV46" s="174">
        <v>0.119140625</v>
      </c>
      <c r="BW46" s="174">
        <v>6960</v>
      </c>
      <c r="CI46" s="174">
        <v>9.765625E-4</v>
      </c>
      <c r="CJ46" s="174">
        <v>0.1259765625</v>
      </c>
      <c r="CK46" s="174">
        <v>9.2584877419354807</v>
      </c>
    </row>
    <row r="47" spans="21:89" x14ac:dyDescent="0.2">
      <c r="AE47" s="174">
        <v>9.765625E-4</v>
      </c>
      <c r="AF47" s="174">
        <v>0.126953125</v>
      </c>
      <c r="AG47" s="174">
        <v>2.8442074343225801</v>
      </c>
      <c r="AS47" s="174">
        <v>3.90625E-3</v>
      </c>
      <c r="AT47" s="174">
        <v>0.1220703125</v>
      </c>
      <c r="AU47" s="174">
        <v>8.4047145290322565</v>
      </c>
      <c r="BG47" s="174">
        <v>3.90625E-3</v>
      </c>
      <c r="BH47" s="174">
        <v>0.125</v>
      </c>
      <c r="BI47" s="174">
        <v>2320</v>
      </c>
      <c r="BU47" s="174">
        <v>3.90625E-3</v>
      </c>
      <c r="BV47" s="174">
        <v>0.123046875</v>
      </c>
      <c r="BW47" s="174">
        <v>6960</v>
      </c>
      <c r="CI47" s="174">
        <v>9.765625E-4</v>
      </c>
      <c r="CJ47" s="174">
        <v>0.126953125</v>
      </c>
      <c r="CK47" s="174">
        <v>9.2584877419354807</v>
      </c>
    </row>
    <row r="48" spans="21:89" x14ac:dyDescent="0.2">
      <c r="AE48" s="174">
        <v>3.90625E-3</v>
      </c>
      <c r="AF48" s="174">
        <v>0.130859375</v>
      </c>
      <c r="AG48" s="174">
        <v>2.9122845398709676</v>
      </c>
      <c r="AS48" s="174">
        <v>3.90625E-3</v>
      </c>
      <c r="AT48" s="174">
        <v>0.1259765625</v>
      </c>
      <c r="AU48" s="174">
        <v>8.4047145290322565</v>
      </c>
      <c r="BG48" s="174">
        <v>7.8125E-3</v>
      </c>
      <c r="BH48" s="174">
        <v>0.1328125</v>
      </c>
      <c r="BI48" s="174">
        <v>2360</v>
      </c>
      <c r="BU48" s="174">
        <v>7.8125E-3</v>
      </c>
      <c r="BV48" s="174">
        <v>0.130859375</v>
      </c>
      <c r="BW48" s="174">
        <v>7040</v>
      </c>
      <c r="CI48" s="174">
        <v>3.90625E-3</v>
      </c>
      <c r="CJ48" s="174">
        <v>0.130859375</v>
      </c>
      <c r="CK48" s="174">
        <v>9.4800929032258043</v>
      </c>
    </row>
    <row r="49" spans="31:89" x14ac:dyDescent="0.2">
      <c r="AE49" s="174">
        <v>3.90625E-3</v>
      </c>
      <c r="AF49" s="174">
        <v>0.134765625</v>
      </c>
      <c r="AG49" s="174">
        <v>3.0060728980645157</v>
      </c>
      <c r="AS49" s="174">
        <v>3.90625E-3</v>
      </c>
      <c r="AT49" s="174">
        <v>0.1298828125</v>
      </c>
      <c r="AU49" s="174">
        <v>8.628467117419353</v>
      </c>
      <c r="BG49" s="174">
        <v>3.90625E-3</v>
      </c>
      <c r="BH49" s="174">
        <v>0.13671875</v>
      </c>
      <c r="BI49" s="174">
        <v>2360</v>
      </c>
      <c r="BU49" s="174">
        <v>7.8125E-3</v>
      </c>
      <c r="BV49" s="174">
        <v>0.138671875</v>
      </c>
      <c r="BW49" s="174">
        <v>7040</v>
      </c>
      <c r="CI49" s="174">
        <v>3.90625E-3</v>
      </c>
      <c r="CJ49" s="174">
        <v>0.134765625</v>
      </c>
      <c r="CK49" s="174">
        <v>9.7853935483870949</v>
      </c>
    </row>
    <row r="50" spans="31:89" x14ac:dyDescent="0.2">
      <c r="AE50" s="174">
        <v>3.90625E-3</v>
      </c>
      <c r="AF50" s="174">
        <v>0.138671875</v>
      </c>
      <c r="AG50" s="174">
        <v>3.0060728980645157</v>
      </c>
      <c r="AS50" s="174">
        <v>3.90625E-3</v>
      </c>
      <c r="AT50" s="174">
        <v>0.1337890625</v>
      </c>
      <c r="AU50" s="174">
        <v>8.628467117419353</v>
      </c>
      <c r="BG50" s="174">
        <v>3.90625E-3</v>
      </c>
      <c r="BH50" s="174">
        <v>0.140625</v>
      </c>
      <c r="BI50" s="174">
        <v>2360</v>
      </c>
      <c r="BU50" s="174">
        <v>3.90625E-3</v>
      </c>
      <c r="BV50" s="174">
        <v>0.142578125</v>
      </c>
      <c r="BW50" s="174">
        <v>7080</v>
      </c>
      <c r="CI50" s="174">
        <v>3.90625E-3</v>
      </c>
      <c r="CJ50" s="174">
        <v>0.138671875</v>
      </c>
      <c r="CK50" s="174">
        <v>9.7853935483870949</v>
      </c>
    </row>
    <row r="51" spans="31:89" x14ac:dyDescent="0.2">
      <c r="AE51" s="174">
        <v>1.953125E-3</v>
      </c>
      <c r="AF51" s="174">
        <v>0.140625</v>
      </c>
      <c r="AG51" s="174">
        <v>3.0754438110967737</v>
      </c>
      <c r="AS51" s="174">
        <v>1.953125E-3</v>
      </c>
      <c r="AT51" s="174">
        <v>0.1357421875</v>
      </c>
      <c r="AU51" s="174">
        <v>8.8708657548387073</v>
      </c>
      <c r="BG51" s="174">
        <v>3.90625E-3</v>
      </c>
      <c r="BH51" s="174">
        <v>0.14453125</v>
      </c>
      <c r="BI51" s="174">
        <v>2400</v>
      </c>
      <c r="BU51" s="174">
        <v>3.90625E-3</v>
      </c>
      <c r="BV51" s="174">
        <v>0.146484375</v>
      </c>
      <c r="BW51" s="174">
        <v>7080</v>
      </c>
      <c r="CI51" s="174">
        <v>1.953125E-3</v>
      </c>
      <c r="CJ51" s="174">
        <v>0.140625</v>
      </c>
      <c r="CK51" s="174">
        <v>10.011210322580643</v>
      </c>
    </row>
    <row r="52" spans="31:89" x14ac:dyDescent="0.2">
      <c r="AE52" s="174">
        <v>1.953125E-3</v>
      </c>
      <c r="AF52" s="174">
        <v>0.142578125</v>
      </c>
      <c r="AG52" s="174">
        <v>3.1510776402580642</v>
      </c>
      <c r="AS52" s="174">
        <v>3.90625E-3</v>
      </c>
      <c r="AT52" s="174">
        <v>0.1396484375</v>
      </c>
      <c r="AU52" s="174">
        <v>8.8708657548387091</v>
      </c>
      <c r="BG52" s="174">
        <v>3.90625E-3</v>
      </c>
      <c r="BH52" s="174">
        <v>0.1484375</v>
      </c>
      <c r="BI52" s="174">
        <v>2400</v>
      </c>
      <c r="BU52" s="174">
        <v>7.8125E-3</v>
      </c>
      <c r="BV52" s="174">
        <v>0.154296875</v>
      </c>
      <c r="BW52" s="174">
        <v>7280</v>
      </c>
      <c r="CI52" s="174">
        <v>1.953125E-3</v>
      </c>
      <c r="CJ52" s="174">
        <v>0.142578125</v>
      </c>
      <c r="CK52" s="174">
        <v>10.257414193548385</v>
      </c>
    </row>
    <row r="53" spans="31:89" x14ac:dyDescent="0.2">
      <c r="AE53" s="174">
        <v>1.953125E-3</v>
      </c>
      <c r="AF53" s="174">
        <v>0.14453125</v>
      </c>
      <c r="AG53" s="174">
        <v>3.1510776402580642</v>
      </c>
      <c r="AS53" s="174">
        <v>3.90625E-3</v>
      </c>
      <c r="AT53" s="174">
        <v>0.1435546875</v>
      </c>
      <c r="AU53" s="174">
        <v>8.8895118038709651</v>
      </c>
      <c r="BG53" s="174">
        <v>9.765625E-4</v>
      </c>
      <c r="BH53" s="174">
        <v>0.1494140625</v>
      </c>
      <c r="BI53" s="174">
        <v>2480</v>
      </c>
      <c r="BU53" s="174">
        <v>9.765625E-4</v>
      </c>
      <c r="BV53" s="174">
        <v>0.1552734375</v>
      </c>
      <c r="BW53" s="174">
        <v>7360</v>
      </c>
      <c r="CI53" s="174">
        <v>1.953125E-3</v>
      </c>
      <c r="CJ53" s="174">
        <v>0.14453125</v>
      </c>
      <c r="CK53" s="174">
        <v>10.257414193548385</v>
      </c>
    </row>
    <row r="54" spans="31:89" x14ac:dyDescent="0.2">
      <c r="AE54" s="174">
        <v>7.8125E-3</v>
      </c>
      <c r="AF54" s="174">
        <v>0.15234375</v>
      </c>
      <c r="AG54" s="174">
        <v>3.3721189409032264</v>
      </c>
      <c r="AS54" s="174">
        <v>9.765625E-4</v>
      </c>
      <c r="AT54" s="174">
        <v>0.14453125</v>
      </c>
      <c r="AU54" s="174">
        <v>9.1878485883870944</v>
      </c>
      <c r="BG54" s="174">
        <v>1.953125E-3</v>
      </c>
      <c r="BH54" s="174">
        <v>0.1513671875</v>
      </c>
      <c r="BI54" s="174">
        <v>2560</v>
      </c>
      <c r="BU54" s="174">
        <v>9.765625E-4</v>
      </c>
      <c r="BV54" s="174">
        <v>0.15625</v>
      </c>
      <c r="BW54" s="174">
        <v>7360</v>
      </c>
      <c r="CI54" s="174">
        <v>7.8125E-3</v>
      </c>
      <c r="CJ54" s="174">
        <v>0.15234375</v>
      </c>
      <c r="CK54" s="174">
        <v>10.976949677419356</v>
      </c>
    </row>
    <row r="55" spans="31:89" x14ac:dyDescent="0.2">
      <c r="AE55" s="174">
        <v>7.8125E-3</v>
      </c>
      <c r="AF55" s="174">
        <v>0.16015625</v>
      </c>
      <c r="AG55" s="174">
        <v>3.3721189409032264</v>
      </c>
      <c r="AS55" s="174">
        <v>7.8125E-3</v>
      </c>
      <c r="AT55" s="174">
        <v>0.15234375</v>
      </c>
      <c r="AU55" s="174">
        <v>9.2437867354838712</v>
      </c>
      <c r="BG55" s="174">
        <v>1.953125E-3</v>
      </c>
      <c r="BH55" s="174">
        <v>0.1533203125</v>
      </c>
      <c r="BI55" s="174">
        <v>2640</v>
      </c>
      <c r="BU55" s="174">
        <v>1.953125E-3</v>
      </c>
      <c r="BV55" s="174">
        <v>0.158203125</v>
      </c>
      <c r="BW55" s="174">
        <v>7680</v>
      </c>
      <c r="CI55" s="174">
        <v>7.8125E-3</v>
      </c>
      <c r="CJ55" s="174">
        <v>0.16015625</v>
      </c>
      <c r="CK55" s="174">
        <v>10.976949677419356</v>
      </c>
    </row>
    <row r="56" spans="31:89" x14ac:dyDescent="0.2">
      <c r="AE56" s="174">
        <v>3.90625E-3</v>
      </c>
      <c r="AF56" s="174">
        <v>0.1640625</v>
      </c>
      <c r="AG56" s="174">
        <v>3.3991747385806446</v>
      </c>
      <c r="AS56" s="174">
        <v>7.8125E-3</v>
      </c>
      <c r="AT56" s="174">
        <v>0.16015625</v>
      </c>
      <c r="AU56" s="174">
        <v>9.2437867354838712</v>
      </c>
      <c r="BG56" s="174">
        <v>9.765625E-4</v>
      </c>
      <c r="BH56" s="174">
        <v>0.154296875</v>
      </c>
      <c r="BI56" s="174">
        <v>2640</v>
      </c>
      <c r="BU56" s="174">
        <v>1.953125E-3</v>
      </c>
      <c r="BV56" s="174">
        <v>0.16015625</v>
      </c>
      <c r="BW56" s="174">
        <v>8000</v>
      </c>
      <c r="CI56" s="174">
        <v>3.90625E-3</v>
      </c>
      <c r="CJ56" s="174">
        <v>0.1640625</v>
      </c>
      <c r="CK56" s="174">
        <v>11.065021935483868</v>
      </c>
    </row>
    <row r="57" spans="31:89" x14ac:dyDescent="0.2">
      <c r="AE57" s="174">
        <v>3.90625E-3</v>
      </c>
      <c r="AF57" s="174">
        <v>0.16796875</v>
      </c>
      <c r="AG57" s="174">
        <v>3.4685456516129025</v>
      </c>
      <c r="AS57" s="174">
        <v>3.90625E-3</v>
      </c>
      <c r="AT57" s="174">
        <v>0.1640625</v>
      </c>
      <c r="AU57" s="174">
        <v>9.3370169806451599</v>
      </c>
      <c r="BG57" s="174">
        <v>9.765625E-4</v>
      </c>
      <c r="BH57" s="174">
        <v>0.1552734375</v>
      </c>
      <c r="BI57" s="174">
        <v>2640</v>
      </c>
      <c r="BU57" s="174">
        <v>7.8125E-3</v>
      </c>
      <c r="BV57" s="174">
        <v>0.16796875</v>
      </c>
      <c r="BW57" s="174">
        <v>8000</v>
      </c>
      <c r="CI57" s="174">
        <v>3.90625E-3</v>
      </c>
      <c r="CJ57" s="174">
        <v>0.16796875</v>
      </c>
      <c r="CK57" s="174">
        <v>11.290838709677416</v>
      </c>
    </row>
    <row r="58" spans="31:89" x14ac:dyDescent="0.2">
      <c r="AE58" s="174">
        <v>3.90625E-3</v>
      </c>
      <c r="AF58" s="174">
        <v>0.171875</v>
      </c>
      <c r="AG58" s="174">
        <v>3.4685456516129025</v>
      </c>
      <c r="AS58" s="174">
        <v>3.90625E-3</v>
      </c>
      <c r="AT58" s="174">
        <v>0.16796875</v>
      </c>
      <c r="AU58" s="174">
        <v>9.3370169806451599</v>
      </c>
      <c r="BG58" s="174">
        <v>1.953125E-3</v>
      </c>
      <c r="BH58" s="174">
        <v>0.1572265625</v>
      </c>
      <c r="BI58" s="174">
        <v>2640</v>
      </c>
      <c r="BU58" s="174">
        <v>3.90625E-3</v>
      </c>
      <c r="BV58" s="174">
        <v>0.171875</v>
      </c>
      <c r="BW58" s="174">
        <v>8160</v>
      </c>
      <c r="CI58" s="174">
        <v>3.90625E-3</v>
      </c>
      <c r="CJ58" s="174">
        <v>0.171875</v>
      </c>
      <c r="CK58" s="174">
        <v>11.290838709677416</v>
      </c>
    </row>
    <row r="59" spans="31:89" x14ac:dyDescent="0.2">
      <c r="AE59" s="174">
        <v>7.8125E-3</v>
      </c>
      <c r="AF59" s="174">
        <v>0.1796875</v>
      </c>
      <c r="AG59" s="174">
        <v>3.4870775411612898</v>
      </c>
      <c r="AS59" s="174">
        <v>1.5625E-2</v>
      </c>
      <c r="AT59" s="174">
        <v>0.18359375</v>
      </c>
      <c r="AU59" s="174">
        <v>9.5234774709677392</v>
      </c>
      <c r="BG59" s="174">
        <v>9.765625E-4</v>
      </c>
      <c r="BH59" s="174">
        <v>0.158203125</v>
      </c>
      <c r="BI59" s="174">
        <v>2640</v>
      </c>
      <c r="BU59" s="174">
        <v>3.90625E-3</v>
      </c>
      <c r="BV59" s="174">
        <v>0.17578125</v>
      </c>
      <c r="BW59" s="174">
        <v>8160</v>
      </c>
      <c r="CI59" s="174">
        <v>7.8125E-3</v>
      </c>
      <c r="CJ59" s="174">
        <v>0.1796875</v>
      </c>
      <c r="CK59" s="174">
        <v>11.351163870967738</v>
      </c>
    </row>
    <row r="60" spans="31:89" x14ac:dyDescent="0.2">
      <c r="AE60" s="174">
        <v>3.90625E-3</v>
      </c>
      <c r="AF60" s="174">
        <v>0.18359375</v>
      </c>
      <c r="AG60" s="174">
        <v>3.5610402023225802</v>
      </c>
      <c r="AS60" s="174">
        <v>3.90625E-3</v>
      </c>
      <c r="AT60" s="174">
        <v>0.1875</v>
      </c>
      <c r="AU60" s="174">
        <v>9.5234774709677392</v>
      </c>
      <c r="BG60" s="174">
        <v>3.90625E-3</v>
      </c>
      <c r="BH60" s="174">
        <v>0.162109375</v>
      </c>
      <c r="BI60" s="174">
        <v>2720</v>
      </c>
      <c r="BU60" s="174">
        <v>3.90625E-3</v>
      </c>
      <c r="BV60" s="174">
        <v>0.1796875</v>
      </c>
      <c r="BW60" s="174">
        <v>8320</v>
      </c>
      <c r="CI60" s="174">
        <v>3.90625E-3</v>
      </c>
      <c r="CJ60" s="174">
        <v>0.18359375</v>
      </c>
      <c r="CK60" s="174">
        <v>11.591927741935482</v>
      </c>
    </row>
    <row r="61" spans="31:89" x14ac:dyDescent="0.2">
      <c r="AE61" s="174">
        <v>3.90625E-3</v>
      </c>
      <c r="AF61" s="174">
        <v>0.1875</v>
      </c>
      <c r="AG61" s="174">
        <v>3.5610402023225802</v>
      </c>
      <c r="AS61" s="174">
        <v>7.8125E-3</v>
      </c>
      <c r="AT61" s="174">
        <v>0.1953125</v>
      </c>
      <c r="AU61" s="174">
        <v>9.523477470967741</v>
      </c>
      <c r="BG61" s="174">
        <v>3.90625E-3</v>
      </c>
      <c r="BH61" s="174">
        <v>0.166015625</v>
      </c>
      <c r="BI61" s="174">
        <v>2720</v>
      </c>
      <c r="BU61" s="174">
        <v>3.90625E-3</v>
      </c>
      <c r="BV61" s="174">
        <v>0.18359375</v>
      </c>
      <c r="BW61" s="174">
        <v>8320</v>
      </c>
      <c r="CI61" s="174">
        <v>3.90625E-3</v>
      </c>
      <c r="CJ61" s="174">
        <v>0.1875</v>
      </c>
      <c r="CK61" s="174">
        <v>11.591927741935482</v>
      </c>
    </row>
    <row r="62" spans="31:89" x14ac:dyDescent="0.2">
      <c r="AE62" s="174">
        <v>3.90625E-3</v>
      </c>
      <c r="AF62" s="174">
        <v>0.19140625</v>
      </c>
      <c r="AG62" s="174">
        <v>3.6824393001290314</v>
      </c>
      <c r="AS62" s="174">
        <v>1.953125E-3</v>
      </c>
      <c r="AT62" s="174">
        <v>0.197265625</v>
      </c>
      <c r="AU62" s="174">
        <v>10.194735236129031</v>
      </c>
      <c r="BG62" s="174">
        <v>1.953125E-3</v>
      </c>
      <c r="BH62" s="174">
        <v>0.16796875</v>
      </c>
      <c r="BI62" s="174">
        <v>2720</v>
      </c>
      <c r="BU62" s="174">
        <v>3.90625E-3</v>
      </c>
      <c r="BV62" s="174">
        <v>0.1875</v>
      </c>
      <c r="BW62" s="174">
        <v>8480</v>
      </c>
      <c r="CI62" s="174">
        <v>3.90625E-3</v>
      </c>
      <c r="CJ62" s="174">
        <v>0.19140625</v>
      </c>
      <c r="CK62" s="174">
        <v>11.98710709677419</v>
      </c>
    </row>
    <row r="63" spans="31:89" x14ac:dyDescent="0.2">
      <c r="AE63" s="174">
        <v>3.90625E-3</v>
      </c>
      <c r="AF63" s="174">
        <v>0.1953125</v>
      </c>
      <c r="AG63" s="174">
        <v>3.7680874529032256</v>
      </c>
      <c r="AS63" s="174">
        <v>1.953125E-3</v>
      </c>
      <c r="AT63" s="174">
        <v>0.19921875</v>
      </c>
      <c r="AU63" s="174">
        <v>10.194735236129031</v>
      </c>
      <c r="BG63" s="174">
        <v>1.953125E-3</v>
      </c>
      <c r="BH63" s="174">
        <v>0.169921875</v>
      </c>
      <c r="BI63" s="174">
        <v>2720</v>
      </c>
      <c r="BU63" s="174">
        <v>3.90625E-3</v>
      </c>
      <c r="BV63" s="174">
        <v>0.19140625</v>
      </c>
      <c r="BW63" s="174">
        <v>8600</v>
      </c>
      <c r="CI63" s="174">
        <v>3.90625E-3</v>
      </c>
      <c r="CJ63" s="174">
        <v>0.1953125</v>
      </c>
      <c r="CK63" s="174">
        <v>12.265909677419353</v>
      </c>
    </row>
    <row r="64" spans="31:89" x14ac:dyDescent="0.2">
      <c r="AE64" s="174">
        <v>3.90625E-3</v>
      </c>
      <c r="AF64" s="174">
        <v>0.19921875</v>
      </c>
      <c r="AG64" s="174">
        <v>3.7680874529032256</v>
      </c>
      <c r="AS64" s="174">
        <v>3.90625E-3</v>
      </c>
      <c r="AT64" s="174">
        <v>0.203125</v>
      </c>
      <c r="AU64" s="174">
        <v>10.269319432258062</v>
      </c>
      <c r="BG64" s="174">
        <v>7.8125E-3</v>
      </c>
      <c r="BH64" s="174">
        <v>0.177734375</v>
      </c>
      <c r="BI64" s="174">
        <v>2720</v>
      </c>
      <c r="BU64" s="174">
        <v>3.90625E-3</v>
      </c>
      <c r="BV64" s="174">
        <v>0.1953125</v>
      </c>
      <c r="BW64" s="174">
        <v>8600</v>
      </c>
      <c r="CI64" s="174">
        <v>3.90625E-3</v>
      </c>
      <c r="CJ64" s="174">
        <v>0.19921875</v>
      </c>
      <c r="CK64" s="174">
        <v>12.265909677419353</v>
      </c>
    </row>
    <row r="65" spans="31:89" x14ac:dyDescent="0.2">
      <c r="AE65" s="174">
        <v>1.953125E-3</v>
      </c>
      <c r="AF65" s="174">
        <v>0.201171875</v>
      </c>
      <c r="AG65" s="174">
        <v>3.7861785599999997</v>
      </c>
      <c r="AS65" s="174">
        <v>3.90625E-3</v>
      </c>
      <c r="AT65" s="174">
        <v>0.20703125</v>
      </c>
      <c r="AU65" s="174">
        <v>10.269319432258062</v>
      </c>
      <c r="BG65" s="174">
        <v>1.953125E-3</v>
      </c>
      <c r="BH65" s="174">
        <v>0.1796875</v>
      </c>
      <c r="BI65" s="174">
        <v>2960</v>
      </c>
      <c r="BU65" s="174">
        <v>1.953125E-3</v>
      </c>
      <c r="BV65" s="174">
        <v>0.197265625</v>
      </c>
      <c r="BW65" s="174">
        <v>8880</v>
      </c>
      <c r="CI65" s="174">
        <v>1.953125E-3</v>
      </c>
      <c r="CJ65" s="174">
        <v>0.201171875</v>
      </c>
      <c r="CK65" s="174">
        <v>12.324799999999998</v>
      </c>
    </row>
    <row r="66" spans="31:89" x14ac:dyDescent="0.2">
      <c r="AE66" s="174">
        <v>3.90625E-3</v>
      </c>
      <c r="AF66" s="174">
        <v>0.205078125</v>
      </c>
      <c r="AG66" s="174">
        <v>3.8447265197419354</v>
      </c>
      <c r="AS66" s="174">
        <v>7.8125E-3</v>
      </c>
      <c r="AT66" s="174">
        <v>0.21484375</v>
      </c>
      <c r="AU66" s="174">
        <v>10.269319432258065</v>
      </c>
      <c r="BG66" s="174">
        <v>3.90625E-3</v>
      </c>
      <c r="BH66" s="174">
        <v>0.18359375</v>
      </c>
      <c r="BI66" s="174">
        <v>2960</v>
      </c>
      <c r="BU66" s="174">
        <v>1.953125E-3</v>
      </c>
      <c r="BV66" s="174">
        <v>0.19921875</v>
      </c>
      <c r="BW66" s="174">
        <v>8880</v>
      </c>
      <c r="CI66" s="174">
        <v>3.90625E-3</v>
      </c>
      <c r="CJ66" s="174">
        <v>0.205078125</v>
      </c>
      <c r="CK66" s="174">
        <v>12.515385806451611</v>
      </c>
    </row>
    <row r="67" spans="31:89" x14ac:dyDescent="0.2">
      <c r="AE67" s="174">
        <v>3.90625E-3</v>
      </c>
      <c r="AF67" s="174">
        <v>0.208984375</v>
      </c>
      <c r="AG67" s="174">
        <v>3.8447265197419354</v>
      </c>
      <c r="AS67" s="174">
        <v>7.8125E-3</v>
      </c>
      <c r="AT67" s="174">
        <v>0.22265625</v>
      </c>
      <c r="AU67" s="174">
        <v>10.269319432258065</v>
      </c>
      <c r="BG67" s="174">
        <v>3.90625E-3</v>
      </c>
      <c r="BH67" s="174">
        <v>0.1875</v>
      </c>
      <c r="BI67" s="174">
        <v>2960</v>
      </c>
      <c r="BU67" s="174">
        <v>7.8125E-3</v>
      </c>
      <c r="BV67" s="174">
        <v>0.20703125</v>
      </c>
      <c r="BW67" s="174">
        <v>9120</v>
      </c>
      <c r="CI67" s="174">
        <v>3.90625E-3</v>
      </c>
      <c r="CJ67" s="174">
        <v>0.208984375</v>
      </c>
      <c r="CK67" s="174">
        <v>12.515385806451611</v>
      </c>
    </row>
    <row r="68" spans="31:89" x14ac:dyDescent="0.2">
      <c r="AE68" s="174">
        <v>1.5625E-2</v>
      </c>
      <c r="AF68" s="174">
        <v>0.224609375</v>
      </c>
      <c r="AG68" s="174">
        <v>3.9310184051612898</v>
      </c>
      <c r="AS68" s="174">
        <v>9.765625E-4</v>
      </c>
      <c r="AT68" s="174">
        <v>0.2236328125</v>
      </c>
      <c r="AU68" s="174">
        <v>10.642240412903226</v>
      </c>
      <c r="BG68" s="174">
        <v>1.953125E-3</v>
      </c>
      <c r="BH68" s="174">
        <v>0.189453125</v>
      </c>
      <c r="BI68" s="174">
        <v>2960</v>
      </c>
      <c r="BU68" s="174">
        <v>3.90625E-3</v>
      </c>
      <c r="BV68" s="174">
        <v>0.2109375</v>
      </c>
      <c r="BW68" s="174">
        <v>9120</v>
      </c>
      <c r="CI68" s="174">
        <v>1.5625E-2</v>
      </c>
      <c r="CJ68" s="174">
        <v>0.224609375</v>
      </c>
      <c r="CK68" s="174">
        <v>12.79628387096774</v>
      </c>
    </row>
    <row r="69" spans="31:89" x14ac:dyDescent="0.2">
      <c r="AE69" s="174">
        <v>1.953125E-3</v>
      </c>
      <c r="AF69" s="174">
        <v>0.2265625</v>
      </c>
      <c r="AG69" s="174">
        <v>3.9310184051612898</v>
      </c>
      <c r="AS69" s="174">
        <v>3.90625E-3</v>
      </c>
      <c r="AT69" s="174">
        <v>0.2275390625</v>
      </c>
      <c r="AU69" s="174">
        <v>10.921931148387097</v>
      </c>
      <c r="BG69" s="174">
        <v>1.953125E-3</v>
      </c>
      <c r="BH69" s="174">
        <v>0.19140625</v>
      </c>
      <c r="BI69" s="174">
        <v>3000</v>
      </c>
      <c r="BU69" s="174">
        <v>3.90625E-3</v>
      </c>
      <c r="BV69" s="174">
        <v>0.21484375</v>
      </c>
      <c r="BW69" s="174">
        <v>9120</v>
      </c>
      <c r="CI69" s="174">
        <v>1.953125E-3</v>
      </c>
      <c r="CJ69" s="174">
        <v>0.2265625</v>
      </c>
      <c r="CK69" s="174">
        <v>12.79628387096774</v>
      </c>
    </row>
    <row r="70" spans="31:89" x14ac:dyDescent="0.2">
      <c r="AE70" s="174">
        <v>3.90625E-3</v>
      </c>
      <c r="AF70" s="174">
        <v>0.23046875</v>
      </c>
      <c r="AG70" s="174">
        <v>3.985231475612903</v>
      </c>
      <c r="AS70" s="174">
        <v>3.90625E-3</v>
      </c>
      <c r="AT70" s="174">
        <v>0.2314453125</v>
      </c>
      <c r="AU70" s="174">
        <v>10.921931148387097</v>
      </c>
      <c r="BG70" s="174">
        <v>1.953125E-3</v>
      </c>
      <c r="BH70" s="174">
        <v>0.193359375</v>
      </c>
      <c r="BI70" s="174">
        <v>3000</v>
      </c>
      <c r="BU70" s="174">
        <v>9.765625E-4</v>
      </c>
      <c r="BV70" s="174">
        <v>0.2158203125</v>
      </c>
      <c r="BW70" s="174">
        <v>9200</v>
      </c>
      <c r="CI70" s="174">
        <v>3.90625E-3</v>
      </c>
      <c r="CJ70" s="174">
        <v>0.23046875</v>
      </c>
      <c r="CK70" s="174">
        <v>12.972758709677418</v>
      </c>
    </row>
    <row r="71" spans="31:89" x14ac:dyDescent="0.2">
      <c r="AE71" s="174">
        <v>3.90625E-3</v>
      </c>
      <c r="AF71" s="174">
        <v>0.234375</v>
      </c>
      <c r="AG71" s="174">
        <v>3.985231475612903</v>
      </c>
      <c r="AS71" s="174">
        <v>1.953125E-3</v>
      </c>
      <c r="AT71" s="174">
        <v>0.2333984375</v>
      </c>
      <c r="AU71" s="174">
        <v>12.133924335483867</v>
      </c>
      <c r="BG71" s="174">
        <v>9.765625E-4</v>
      </c>
      <c r="BH71" s="174">
        <v>0.1943359375</v>
      </c>
      <c r="BI71" s="174">
        <v>3040</v>
      </c>
      <c r="BU71" s="174">
        <v>7.8125E-3</v>
      </c>
      <c r="BV71" s="174">
        <v>0.2236328125</v>
      </c>
      <c r="BW71" s="174">
        <v>9840</v>
      </c>
      <c r="CI71" s="174">
        <v>3.90625E-3</v>
      </c>
      <c r="CJ71" s="174">
        <v>0.234375</v>
      </c>
      <c r="CK71" s="174">
        <v>12.972758709677418</v>
      </c>
    </row>
    <row r="72" spans="31:89" x14ac:dyDescent="0.2">
      <c r="AE72" s="174">
        <v>1.953125E-3</v>
      </c>
      <c r="AF72" s="174">
        <v>0.236328125</v>
      </c>
      <c r="AG72" s="174">
        <v>4.208502057290322</v>
      </c>
      <c r="AS72" s="174">
        <v>1.953125E-3</v>
      </c>
      <c r="AT72" s="174">
        <v>0.2353515625</v>
      </c>
      <c r="AU72" s="174">
        <v>12.133924335483867</v>
      </c>
      <c r="BG72" s="174">
        <v>9.765625E-4</v>
      </c>
      <c r="BH72" s="174">
        <v>0.1953125</v>
      </c>
      <c r="BI72" s="174">
        <v>3040</v>
      </c>
      <c r="BU72" s="174">
        <v>3.90625E-3</v>
      </c>
      <c r="BV72" s="174">
        <v>0.2275390625</v>
      </c>
      <c r="BW72" s="174">
        <v>9920</v>
      </c>
      <c r="CI72" s="174">
        <v>1.953125E-3</v>
      </c>
      <c r="CJ72" s="174">
        <v>0.236328125</v>
      </c>
      <c r="CK72" s="174">
        <v>13.699550967741933</v>
      </c>
    </row>
    <row r="73" spans="31:89" x14ac:dyDescent="0.2">
      <c r="AE73" s="174">
        <v>1.953125E-3</v>
      </c>
      <c r="AF73" s="174">
        <v>0.23828125</v>
      </c>
      <c r="AG73" s="174">
        <v>4.208502057290322</v>
      </c>
      <c r="AS73" s="174">
        <v>3.90625E-3</v>
      </c>
      <c r="AT73" s="174">
        <v>0.2392578125</v>
      </c>
      <c r="AU73" s="174">
        <v>12.13392433548387</v>
      </c>
      <c r="BG73" s="174">
        <v>7.8125E-3</v>
      </c>
      <c r="BH73" s="174">
        <v>0.203125</v>
      </c>
      <c r="BI73" s="174">
        <v>3040</v>
      </c>
      <c r="BU73" s="174">
        <v>9.765625E-4</v>
      </c>
      <c r="BV73" s="174">
        <v>0.228515625</v>
      </c>
      <c r="BW73" s="174">
        <v>10000</v>
      </c>
      <c r="CI73" s="174">
        <v>1.953125E-3</v>
      </c>
      <c r="CJ73" s="174">
        <v>0.23828125</v>
      </c>
      <c r="CK73" s="174">
        <v>13.699550967741933</v>
      </c>
    </row>
    <row r="74" spans="31:89" x14ac:dyDescent="0.2">
      <c r="AE74" s="174">
        <v>3.90625E-3</v>
      </c>
      <c r="AF74" s="174">
        <v>0.2421875</v>
      </c>
      <c r="AG74" s="174">
        <v>4.27787297032258</v>
      </c>
      <c r="AS74" s="174">
        <v>3.90625E-3</v>
      </c>
      <c r="AT74" s="174">
        <v>0.2431640625</v>
      </c>
      <c r="AU74" s="174">
        <v>12.13392433548387</v>
      </c>
      <c r="BG74" s="174">
        <v>3.90625E-3</v>
      </c>
      <c r="BH74" s="174">
        <v>0.20703125</v>
      </c>
      <c r="BI74" s="174">
        <v>3040</v>
      </c>
      <c r="BU74" s="174">
        <v>9.765625E-4</v>
      </c>
      <c r="BV74" s="174">
        <v>0.2294921875</v>
      </c>
      <c r="BW74" s="174">
        <v>10000</v>
      </c>
      <c r="CI74" s="174">
        <v>3.90625E-3</v>
      </c>
      <c r="CJ74" s="174">
        <v>0.2421875</v>
      </c>
      <c r="CK74" s="174">
        <v>13.92536774193548</v>
      </c>
    </row>
    <row r="75" spans="31:89" x14ac:dyDescent="0.2">
      <c r="AE75" s="174">
        <v>3.90625E-3</v>
      </c>
      <c r="AF75" s="174">
        <v>0.24609375</v>
      </c>
      <c r="AG75" s="174">
        <v>4.27787297032258</v>
      </c>
      <c r="AS75" s="174">
        <v>1.953125E-3</v>
      </c>
      <c r="AT75" s="174">
        <v>0.2451171875</v>
      </c>
      <c r="AU75" s="174">
        <v>12.320384825806453</v>
      </c>
      <c r="BG75" s="174">
        <v>3.90625E-3</v>
      </c>
      <c r="BH75" s="174">
        <v>0.2109375</v>
      </c>
      <c r="BI75" s="174">
        <v>3040</v>
      </c>
      <c r="BU75" s="174">
        <v>3.90625E-3</v>
      </c>
      <c r="BV75" s="174">
        <v>0.2333984375</v>
      </c>
      <c r="BW75" s="174">
        <v>10400</v>
      </c>
      <c r="CI75" s="174">
        <v>3.90625E-3</v>
      </c>
      <c r="CJ75" s="174">
        <v>0.24609375</v>
      </c>
      <c r="CK75" s="174">
        <v>13.92536774193548</v>
      </c>
    </row>
    <row r="76" spans="31:89" x14ac:dyDescent="0.2">
      <c r="AE76" s="174">
        <v>9.765625E-4</v>
      </c>
      <c r="AF76" s="174">
        <v>0.2470703125</v>
      </c>
      <c r="AG76" s="174">
        <v>4.3235716459354849</v>
      </c>
      <c r="AS76" s="174">
        <v>1.953125E-3</v>
      </c>
      <c r="AT76" s="174">
        <v>0.2470703125</v>
      </c>
      <c r="AU76" s="174">
        <v>12.320384825806453</v>
      </c>
      <c r="BG76" s="174">
        <v>3.90625E-3</v>
      </c>
      <c r="BH76" s="174">
        <v>0.21484375</v>
      </c>
      <c r="BI76" s="174">
        <v>3120</v>
      </c>
      <c r="BU76" s="174">
        <v>3.90625E-3</v>
      </c>
      <c r="BV76" s="174">
        <v>0.2373046875</v>
      </c>
      <c r="BW76" s="174">
        <v>10400</v>
      </c>
      <c r="CI76" s="174">
        <v>9.765625E-4</v>
      </c>
      <c r="CJ76" s="174">
        <v>0.2470703125</v>
      </c>
      <c r="CK76" s="174">
        <v>14.074126451612905</v>
      </c>
    </row>
    <row r="77" spans="31:89" x14ac:dyDescent="0.2">
      <c r="AE77" s="174">
        <v>9.765625E-4</v>
      </c>
      <c r="AF77" s="174">
        <v>0.248046875</v>
      </c>
      <c r="AG77" s="174">
        <v>4.3235716459354849</v>
      </c>
      <c r="AS77" s="174">
        <v>9.765625E-4</v>
      </c>
      <c r="AT77" s="174">
        <v>0.248046875</v>
      </c>
      <c r="AU77" s="174">
        <v>12.413615070967738</v>
      </c>
      <c r="BG77" s="174">
        <v>7.8125E-3</v>
      </c>
      <c r="BH77" s="174">
        <v>0.22265625</v>
      </c>
      <c r="BI77" s="174">
        <v>3200</v>
      </c>
      <c r="BU77" s="174">
        <v>1.5625E-2</v>
      </c>
      <c r="BV77" s="174">
        <v>0.2529296875</v>
      </c>
      <c r="BW77" s="174">
        <v>10560</v>
      </c>
      <c r="CI77" s="174">
        <v>9.765625E-4</v>
      </c>
      <c r="CJ77" s="174">
        <v>0.248046875</v>
      </c>
      <c r="CK77" s="174">
        <v>14.074126451612905</v>
      </c>
    </row>
    <row r="78" spans="31:89" x14ac:dyDescent="0.2">
      <c r="AE78" s="174">
        <v>3.90625E-3</v>
      </c>
      <c r="AF78" s="174">
        <v>0.251953125</v>
      </c>
      <c r="AG78" s="174">
        <v>4.4802047999999992</v>
      </c>
      <c r="AS78" s="174">
        <v>1.953125E-3</v>
      </c>
      <c r="AT78" s="174">
        <v>0.25</v>
      </c>
      <c r="AU78" s="174">
        <v>12.41361507096774</v>
      </c>
      <c r="BG78" s="174">
        <v>7.8125E-3</v>
      </c>
      <c r="BH78" s="174">
        <v>0.23046875</v>
      </c>
      <c r="BI78" s="174">
        <v>3200</v>
      </c>
      <c r="BU78" s="174">
        <v>1.5625E-2</v>
      </c>
      <c r="BV78" s="174">
        <v>0.2685546875</v>
      </c>
      <c r="BW78" s="174">
        <v>10560</v>
      </c>
      <c r="CI78" s="174">
        <v>3.90625E-3</v>
      </c>
      <c r="CJ78" s="174">
        <v>0.251953125</v>
      </c>
      <c r="CK78" s="174">
        <v>14.583999999999996</v>
      </c>
    </row>
    <row r="79" spans="31:89" x14ac:dyDescent="0.2">
      <c r="AE79" s="174">
        <v>3.90625E-3</v>
      </c>
      <c r="AF79" s="174">
        <v>0.255859375</v>
      </c>
      <c r="AG79" s="174">
        <v>4.4802047999999992</v>
      </c>
      <c r="AS79" s="174">
        <v>1.953125E-3</v>
      </c>
      <c r="AT79" s="174">
        <v>0.251953125</v>
      </c>
      <c r="AU79" s="174">
        <v>13.06622678709677</v>
      </c>
      <c r="BG79" s="174">
        <v>1.953125E-3</v>
      </c>
      <c r="BH79" s="174">
        <v>0.232421875</v>
      </c>
      <c r="BI79" s="174">
        <v>3280</v>
      </c>
      <c r="BU79" s="174">
        <v>1.953125E-3</v>
      </c>
      <c r="BV79" s="174">
        <v>0.2705078125</v>
      </c>
      <c r="BW79" s="174">
        <v>10880</v>
      </c>
      <c r="CI79" s="174">
        <v>3.90625E-3</v>
      </c>
      <c r="CJ79" s="174">
        <v>0.255859375</v>
      </c>
      <c r="CK79" s="174">
        <v>14.583999999999996</v>
      </c>
    </row>
    <row r="80" spans="31:89" x14ac:dyDescent="0.2">
      <c r="AE80" s="174">
        <v>1.953125E-3</v>
      </c>
      <c r="AF80" s="174">
        <v>0.2578125</v>
      </c>
      <c r="AG80" s="174">
        <v>4.509109347096774</v>
      </c>
      <c r="AS80" s="174">
        <v>1.953125E-3</v>
      </c>
      <c r="AT80" s="174">
        <v>0.25390625</v>
      </c>
      <c r="AU80" s="174">
        <v>13.06622678709677</v>
      </c>
      <c r="BG80" s="174">
        <v>7.8125E-3</v>
      </c>
      <c r="BH80" s="174">
        <v>0.240234375</v>
      </c>
      <c r="BI80" s="174">
        <v>3280</v>
      </c>
      <c r="BU80" s="174">
        <v>1.953125E-3</v>
      </c>
      <c r="BV80" s="174">
        <v>0.2724609375</v>
      </c>
      <c r="BW80" s="174">
        <v>10880</v>
      </c>
      <c r="CI80" s="174">
        <v>1.953125E-3</v>
      </c>
      <c r="CJ80" s="174">
        <v>0.2578125</v>
      </c>
      <c r="CK80" s="174">
        <v>14.678090322580644</v>
      </c>
    </row>
    <row r="81" spans="31:89" x14ac:dyDescent="0.2">
      <c r="AE81" s="174">
        <v>1.953125E-3</v>
      </c>
      <c r="AF81" s="174">
        <v>0.259765625</v>
      </c>
      <c r="AG81" s="174">
        <v>4.509109347096774</v>
      </c>
      <c r="AS81" s="174">
        <v>1.953125E-3</v>
      </c>
      <c r="AT81" s="174">
        <v>0.255859375</v>
      </c>
      <c r="AU81" s="174">
        <v>13.2993024</v>
      </c>
      <c r="BG81" s="174">
        <v>1.953125E-3</v>
      </c>
      <c r="BH81" s="174">
        <v>0.2421875</v>
      </c>
      <c r="BI81" s="174">
        <v>3280</v>
      </c>
      <c r="BU81" s="174">
        <v>1.5625E-2</v>
      </c>
      <c r="BV81" s="174">
        <v>0.2880859375</v>
      </c>
      <c r="BW81" s="174">
        <v>10880</v>
      </c>
      <c r="CI81" s="174">
        <v>1.953125E-3</v>
      </c>
      <c r="CJ81" s="174">
        <v>0.259765625</v>
      </c>
      <c r="CK81" s="174">
        <v>14.678090322580644</v>
      </c>
    </row>
    <row r="82" spans="31:89" x14ac:dyDescent="0.2">
      <c r="AE82" s="174">
        <v>1.953125E-3</v>
      </c>
      <c r="AF82" s="174">
        <v>0.26171875</v>
      </c>
      <c r="AG82" s="174">
        <v>4.7403457238709672</v>
      </c>
      <c r="AS82" s="174">
        <v>7.8125E-3</v>
      </c>
      <c r="AT82" s="174">
        <v>0.263671875</v>
      </c>
      <c r="AU82" s="174">
        <v>13.2993024</v>
      </c>
      <c r="BG82" s="174">
        <v>1.953125E-3</v>
      </c>
      <c r="BH82" s="174">
        <v>0.244140625</v>
      </c>
      <c r="BI82" s="174">
        <v>3360</v>
      </c>
      <c r="BU82" s="174">
        <v>1.5625E-2</v>
      </c>
      <c r="BV82" s="174">
        <v>0.3037109375</v>
      </c>
      <c r="BW82" s="174">
        <v>10920</v>
      </c>
      <c r="CI82" s="174">
        <v>1.953125E-3</v>
      </c>
      <c r="CJ82" s="174">
        <v>0.26171875</v>
      </c>
      <c r="CK82" s="174">
        <v>15.430812903225803</v>
      </c>
    </row>
    <row r="83" spans="31:89" x14ac:dyDescent="0.2">
      <c r="AE83" s="174">
        <v>1.953125E-3</v>
      </c>
      <c r="AF83" s="174">
        <v>0.263671875</v>
      </c>
      <c r="AG83" s="174">
        <v>4.7403457238709672</v>
      </c>
      <c r="AS83" s="174">
        <v>7.8125E-3</v>
      </c>
      <c r="AT83" s="174">
        <v>0.271484375</v>
      </c>
      <c r="AU83" s="174">
        <v>13.327271473548384</v>
      </c>
      <c r="BG83" s="174">
        <v>1.953125E-3</v>
      </c>
      <c r="BH83" s="174">
        <v>0.24609375</v>
      </c>
      <c r="BI83" s="174">
        <v>3360</v>
      </c>
      <c r="BU83" s="174">
        <v>1.953125E-3</v>
      </c>
      <c r="BV83" s="174">
        <v>0.3056640625</v>
      </c>
      <c r="BW83" s="174">
        <v>11040</v>
      </c>
      <c r="CI83" s="174">
        <v>1.953125E-3</v>
      </c>
      <c r="CJ83" s="174">
        <v>0.263671875</v>
      </c>
      <c r="CK83" s="174">
        <v>15.430812903225803</v>
      </c>
    </row>
    <row r="84" spans="31:89" x14ac:dyDescent="0.2">
      <c r="AE84" s="174">
        <v>7.8125E-3</v>
      </c>
      <c r="AF84" s="174">
        <v>0.271484375</v>
      </c>
      <c r="AG84" s="174">
        <v>4.8538075664516125</v>
      </c>
      <c r="AS84" s="174">
        <v>1.953125E-3</v>
      </c>
      <c r="AT84" s="174">
        <v>0.2734375</v>
      </c>
      <c r="AU84" s="174">
        <v>13.774776650322577</v>
      </c>
      <c r="BG84" s="174">
        <v>1.953125E-3</v>
      </c>
      <c r="BH84" s="174">
        <v>0.248046875</v>
      </c>
      <c r="BI84" s="174">
        <v>3360</v>
      </c>
      <c r="BU84" s="174">
        <v>1.953125E-3</v>
      </c>
      <c r="BV84" s="174">
        <v>0.3076171875</v>
      </c>
      <c r="BW84" s="174">
        <v>11040</v>
      </c>
      <c r="CI84" s="174">
        <v>7.8125E-3</v>
      </c>
      <c r="CJ84" s="174">
        <v>0.271484375</v>
      </c>
      <c r="CK84" s="174">
        <v>15.800154838709675</v>
      </c>
    </row>
    <row r="85" spans="31:89" x14ac:dyDescent="0.2">
      <c r="AE85" s="174">
        <v>9.765625E-4</v>
      </c>
      <c r="AF85" s="174">
        <v>0.2724609375</v>
      </c>
      <c r="AG85" s="174">
        <v>4.9079920970322579</v>
      </c>
      <c r="AS85" s="174">
        <v>7.8125E-3</v>
      </c>
      <c r="AT85" s="174">
        <v>0.28125</v>
      </c>
      <c r="AU85" s="174">
        <v>13.998529238709676</v>
      </c>
      <c r="BG85" s="174">
        <v>1.953125E-3</v>
      </c>
      <c r="BH85" s="174">
        <v>0.25</v>
      </c>
      <c r="BI85" s="174">
        <v>3360</v>
      </c>
      <c r="BU85" s="174">
        <v>1.953125E-3</v>
      </c>
      <c r="BV85" s="174">
        <v>0.3095703125</v>
      </c>
      <c r="BW85" s="174">
        <v>11600</v>
      </c>
      <c r="CI85" s="174">
        <v>9.765625E-4</v>
      </c>
      <c r="CJ85" s="174">
        <v>0.2724609375</v>
      </c>
      <c r="CK85" s="174">
        <v>15.976536774193546</v>
      </c>
    </row>
    <row r="86" spans="31:89" x14ac:dyDescent="0.2">
      <c r="AE86" s="174">
        <v>1.953125E-3</v>
      </c>
      <c r="AF86" s="174">
        <v>0.2744140625</v>
      </c>
      <c r="AG86" s="174">
        <v>5.2114565450322576</v>
      </c>
      <c r="AS86" s="174">
        <v>1.953125E-3</v>
      </c>
      <c r="AT86" s="174">
        <v>0.283203125</v>
      </c>
      <c r="AU86" s="174">
        <v>13.998529238709676</v>
      </c>
      <c r="BG86" s="174">
        <v>1.5625E-2</v>
      </c>
      <c r="BH86" s="174">
        <v>0.265625</v>
      </c>
      <c r="BI86" s="174">
        <v>3520</v>
      </c>
      <c r="BU86" s="174">
        <v>1.953125E-3</v>
      </c>
      <c r="BV86" s="174">
        <v>0.3115234375</v>
      </c>
      <c r="BW86" s="174">
        <v>11600</v>
      </c>
      <c r="CI86" s="174">
        <v>1.953125E-3</v>
      </c>
      <c r="CJ86" s="174">
        <v>0.2744140625</v>
      </c>
      <c r="CK86" s="174">
        <v>16.964376774193546</v>
      </c>
    </row>
    <row r="87" spans="31:89" x14ac:dyDescent="0.2">
      <c r="AE87" s="174">
        <v>1.5625E-2</v>
      </c>
      <c r="AF87" s="174">
        <v>0.2900390625</v>
      </c>
      <c r="AG87" s="174">
        <v>5.2114565450322576</v>
      </c>
      <c r="AS87" s="174">
        <v>1.953125E-3</v>
      </c>
      <c r="AT87" s="174">
        <v>0.28515625</v>
      </c>
      <c r="AU87" s="174">
        <v>13.998529238709676</v>
      </c>
      <c r="BG87" s="174">
        <v>1.5625E-2</v>
      </c>
      <c r="BH87" s="174">
        <v>0.28125</v>
      </c>
      <c r="BI87" s="174">
        <v>3520</v>
      </c>
      <c r="BU87" s="174">
        <v>1.953125E-3</v>
      </c>
      <c r="BV87" s="174">
        <v>0.3134765625</v>
      </c>
      <c r="BW87" s="174">
        <v>11680</v>
      </c>
      <c r="CI87" s="174">
        <v>1.5625E-2</v>
      </c>
      <c r="CJ87" s="174">
        <v>0.2900390625</v>
      </c>
      <c r="CK87" s="174">
        <v>16.964376774193546</v>
      </c>
    </row>
    <row r="88" spans="31:89" x14ac:dyDescent="0.2">
      <c r="AE88" s="174">
        <v>3.90625E-3</v>
      </c>
      <c r="AF88" s="174">
        <v>0.2939453125</v>
      </c>
      <c r="AG88" s="174">
        <v>5.251796067096774</v>
      </c>
      <c r="AS88" s="174">
        <v>7.8125E-3</v>
      </c>
      <c r="AT88" s="174">
        <v>0.29296875</v>
      </c>
      <c r="AU88" s="174">
        <v>13.998529238709676</v>
      </c>
      <c r="BG88" s="174">
        <v>3.90625E-3</v>
      </c>
      <c r="BH88" s="174">
        <v>0.28515625</v>
      </c>
      <c r="BI88" s="174">
        <v>3520</v>
      </c>
      <c r="BU88" s="174">
        <v>1.953125E-3</v>
      </c>
      <c r="BV88" s="174">
        <v>0.3154296875</v>
      </c>
      <c r="BW88" s="174">
        <v>11680</v>
      </c>
      <c r="CI88" s="174">
        <v>3.90625E-3</v>
      </c>
      <c r="CJ88" s="174">
        <v>0.2939453125</v>
      </c>
      <c r="CK88" s="174">
        <v>17.095690322580644</v>
      </c>
    </row>
    <row r="89" spans="31:89" x14ac:dyDescent="0.2">
      <c r="AE89" s="174">
        <v>3.90625E-3</v>
      </c>
      <c r="AF89" s="174">
        <v>0.2978515625</v>
      </c>
      <c r="AG89" s="174">
        <v>5.251796067096774</v>
      </c>
      <c r="AS89" s="174">
        <v>3.90625E-3</v>
      </c>
      <c r="AT89" s="174">
        <v>0.296875</v>
      </c>
      <c r="AU89" s="174">
        <v>13.998529238709677</v>
      </c>
      <c r="BG89" s="174">
        <v>3.90625E-3</v>
      </c>
      <c r="BH89" s="174">
        <v>0.2890625</v>
      </c>
      <c r="BI89" s="174">
        <v>3520</v>
      </c>
      <c r="BU89" s="174">
        <v>1.953125E-3</v>
      </c>
      <c r="BV89" s="174">
        <v>0.3173828125</v>
      </c>
      <c r="BW89" s="174">
        <v>11800</v>
      </c>
      <c r="CI89" s="174">
        <v>3.90625E-3</v>
      </c>
      <c r="CJ89" s="174">
        <v>0.2978515625</v>
      </c>
      <c r="CK89" s="174">
        <v>17.095690322580644</v>
      </c>
    </row>
    <row r="90" spans="31:89" x14ac:dyDescent="0.2">
      <c r="AE90" s="174">
        <v>1.953125E-3</v>
      </c>
      <c r="AF90" s="174">
        <v>0.2998046875</v>
      </c>
      <c r="AG90" s="174">
        <v>5.275322434064516</v>
      </c>
      <c r="AS90" s="174">
        <v>3.90625E-3</v>
      </c>
      <c r="AT90" s="174">
        <v>0.30078125</v>
      </c>
      <c r="AU90" s="174">
        <v>13.998529238709677</v>
      </c>
      <c r="BG90" s="174">
        <v>9.765625E-4</v>
      </c>
      <c r="BH90" s="174">
        <v>0.2900390625</v>
      </c>
      <c r="BI90" s="174">
        <v>3600</v>
      </c>
      <c r="BU90" s="174">
        <v>1.953125E-3</v>
      </c>
      <c r="BV90" s="174">
        <v>0.3193359375</v>
      </c>
      <c r="BW90" s="174">
        <v>11800</v>
      </c>
      <c r="CI90" s="174">
        <v>1.953125E-3</v>
      </c>
      <c r="CJ90" s="174">
        <v>0.2998046875</v>
      </c>
      <c r="CK90" s="174">
        <v>17.172273548387096</v>
      </c>
    </row>
    <row r="91" spans="31:89" x14ac:dyDescent="0.2">
      <c r="AE91" s="174">
        <v>1.953125E-3</v>
      </c>
      <c r="AF91" s="174">
        <v>0.3017578125</v>
      </c>
      <c r="AG91" s="174">
        <v>5.275322434064516</v>
      </c>
      <c r="AS91" s="174">
        <v>1.5625E-2</v>
      </c>
      <c r="AT91" s="174">
        <v>0.31640625</v>
      </c>
      <c r="AU91" s="174">
        <v>14.278219974193547</v>
      </c>
      <c r="BG91" s="174">
        <v>9.765625E-4</v>
      </c>
      <c r="BH91" s="174">
        <v>0.291015625</v>
      </c>
      <c r="BI91" s="174">
        <v>3600</v>
      </c>
      <c r="BU91" s="174">
        <v>3.90625E-3</v>
      </c>
      <c r="BV91" s="174">
        <v>0.3232421875</v>
      </c>
      <c r="BW91" s="174">
        <v>11840</v>
      </c>
      <c r="CI91" s="174">
        <v>1.953125E-3</v>
      </c>
      <c r="CJ91" s="174">
        <v>0.3017578125</v>
      </c>
      <c r="CK91" s="174">
        <v>17.172273548387096</v>
      </c>
    </row>
    <row r="92" spans="31:89" x14ac:dyDescent="0.2">
      <c r="AE92" s="174">
        <v>9.765625E-4</v>
      </c>
      <c r="AF92" s="174">
        <v>0.302734375</v>
      </c>
      <c r="AG92" s="174">
        <v>5.3006499840000005</v>
      </c>
      <c r="AS92" s="174">
        <v>1.953125E-3</v>
      </c>
      <c r="AT92" s="174">
        <v>0.318359375</v>
      </c>
      <c r="AU92" s="174">
        <v>14.371450219354836</v>
      </c>
      <c r="BG92" s="174">
        <v>3.90625E-3</v>
      </c>
      <c r="BH92" s="174">
        <v>0.294921875</v>
      </c>
      <c r="BI92" s="174">
        <v>3640</v>
      </c>
      <c r="BU92" s="174">
        <v>3.90625E-3</v>
      </c>
      <c r="BV92" s="174">
        <v>0.3271484375</v>
      </c>
      <c r="BW92" s="174">
        <v>11840</v>
      </c>
      <c r="CI92" s="174">
        <v>9.765625E-4</v>
      </c>
      <c r="CJ92" s="174">
        <v>0.302734375</v>
      </c>
      <c r="CK92" s="174">
        <v>17.254719999999999</v>
      </c>
    </row>
    <row r="93" spans="31:89" x14ac:dyDescent="0.2">
      <c r="AE93" s="174">
        <v>7.8125E-3</v>
      </c>
      <c r="AF93" s="174">
        <v>0.310546875</v>
      </c>
      <c r="AG93" s="174">
        <v>5.5034257672258056</v>
      </c>
      <c r="AS93" s="174">
        <v>1.953125E-3</v>
      </c>
      <c r="AT93" s="174">
        <v>0.3203125</v>
      </c>
      <c r="AU93" s="174">
        <v>14.371450219354836</v>
      </c>
      <c r="BG93" s="174">
        <v>3.90625E-3</v>
      </c>
      <c r="BH93" s="174">
        <v>0.298828125</v>
      </c>
      <c r="BI93" s="174">
        <v>3640</v>
      </c>
      <c r="BU93" s="174">
        <v>3.90625E-3</v>
      </c>
      <c r="BV93" s="174">
        <v>0.3310546875</v>
      </c>
      <c r="BW93" s="174">
        <v>11840</v>
      </c>
      <c r="CI93" s="174">
        <v>7.8125E-3</v>
      </c>
      <c r="CJ93" s="174">
        <v>0.310546875</v>
      </c>
      <c r="CK93" s="174">
        <v>17.914797419354834</v>
      </c>
    </row>
    <row r="94" spans="31:89" x14ac:dyDescent="0.2">
      <c r="AE94" s="174">
        <v>9.765625E-4</v>
      </c>
      <c r="AF94" s="174">
        <v>0.3115234375</v>
      </c>
      <c r="AG94" s="174">
        <v>5.5034257672258056</v>
      </c>
      <c r="AS94" s="174">
        <v>3.90625E-3</v>
      </c>
      <c r="AT94" s="174">
        <v>0.32421875</v>
      </c>
      <c r="AU94" s="174">
        <v>14.371450219354839</v>
      </c>
      <c r="BG94" s="174">
        <v>1.5625E-2</v>
      </c>
      <c r="BH94" s="174">
        <v>0.314453125</v>
      </c>
      <c r="BI94" s="174">
        <v>3640</v>
      </c>
      <c r="BU94" s="174">
        <v>3.90625E-3</v>
      </c>
      <c r="BV94" s="174">
        <v>0.3349609375</v>
      </c>
      <c r="BW94" s="174">
        <v>11840</v>
      </c>
      <c r="CI94" s="174">
        <v>9.765625E-4</v>
      </c>
      <c r="CJ94" s="174">
        <v>0.3115234375</v>
      </c>
      <c r="CK94" s="174">
        <v>17.914797419354834</v>
      </c>
    </row>
    <row r="95" spans="31:89" x14ac:dyDescent="0.2">
      <c r="AE95" s="174">
        <v>1.953125E-3</v>
      </c>
      <c r="AF95" s="174">
        <v>0.3134765625</v>
      </c>
      <c r="AG95" s="174">
        <v>5.5693465269677418</v>
      </c>
      <c r="AS95" s="174">
        <v>3.90625E-3</v>
      </c>
      <c r="AT95" s="174">
        <v>0.328125</v>
      </c>
      <c r="AU95" s="174">
        <v>14.371450219354839</v>
      </c>
      <c r="BG95" s="174">
        <v>1.953125E-3</v>
      </c>
      <c r="BH95" s="174">
        <v>0.31640625</v>
      </c>
      <c r="BI95" s="174">
        <v>3680</v>
      </c>
      <c r="BU95" s="174">
        <v>1.5625E-2</v>
      </c>
      <c r="BV95" s="174">
        <v>0.3505859375</v>
      </c>
      <c r="BW95" s="174">
        <v>12000</v>
      </c>
      <c r="CI95" s="174">
        <v>1.953125E-3</v>
      </c>
      <c r="CJ95" s="174">
        <v>0.3134765625</v>
      </c>
      <c r="CK95" s="174">
        <v>18.12938322580645</v>
      </c>
    </row>
    <row r="96" spans="31:89" x14ac:dyDescent="0.2">
      <c r="AE96" s="174">
        <v>1.5625E-2</v>
      </c>
      <c r="AF96" s="174">
        <v>0.3291015625</v>
      </c>
      <c r="AG96" s="174">
        <v>5.6201982348387105</v>
      </c>
      <c r="AS96" s="174">
        <v>9.765625E-4</v>
      </c>
      <c r="AT96" s="174">
        <v>0.3291015625</v>
      </c>
      <c r="AU96" s="174">
        <v>14.557910709677419</v>
      </c>
      <c r="BG96" s="174">
        <v>3.90625E-3</v>
      </c>
      <c r="BH96" s="174">
        <v>0.3203125</v>
      </c>
      <c r="BI96" s="174">
        <v>3680</v>
      </c>
      <c r="BU96" s="174">
        <v>3.90625E-3</v>
      </c>
      <c r="BV96" s="174">
        <v>0.3544921875</v>
      </c>
      <c r="BW96" s="174">
        <v>12400</v>
      </c>
      <c r="CI96" s="174">
        <v>1.5625E-2</v>
      </c>
      <c r="CJ96" s="174">
        <v>0.3291015625</v>
      </c>
      <c r="CK96" s="174">
        <v>18.294916129032259</v>
      </c>
    </row>
    <row r="97" spans="31:89" x14ac:dyDescent="0.2">
      <c r="AE97" s="174">
        <v>1.5625E-2</v>
      </c>
      <c r="AF97" s="174">
        <v>0.3447265625</v>
      </c>
      <c r="AG97" s="174">
        <v>5.6201982348387105</v>
      </c>
      <c r="AS97" s="174">
        <v>9.765625E-4</v>
      </c>
      <c r="AT97" s="174">
        <v>0.330078125</v>
      </c>
      <c r="AU97" s="174">
        <v>14.557910709677419</v>
      </c>
      <c r="BG97" s="174">
        <v>1.953125E-3</v>
      </c>
      <c r="BH97" s="174">
        <v>0.322265625</v>
      </c>
      <c r="BI97" s="174">
        <v>3680</v>
      </c>
      <c r="BU97" s="174">
        <v>3.90625E-3</v>
      </c>
      <c r="BV97" s="174">
        <v>0.3583984375</v>
      </c>
      <c r="BW97" s="174">
        <v>12400</v>
      </c>
      <c r="CI97" s="174">
        <v>1.5625E-2</v>
      </c>
      <c r="CJ97" s="174">
        <v>0.3447265625</v>
      </c>
      <c r="CK97" s="174">
        <v>18.294916129032259</v>
      </c>
    </row>
    <row r="98" spans="31:89" x14ac:dyDescent="0.2">
      <c r="AE98" s="174">
        <v>7.8125E-3</v>
      </c>
      <c r="AF98" s="174">
        <v>0.3525390625</v>
      </c>
      <c r="AG98" s="174">
        <v>5.6652912309677408</v>
      </c>
      <c r="AS98" s="174">
        <v>1.953125E-3</v>
      </c>
      <c r="AT98" s="174">
        <v>0.33203125</v>
      </c>
      <c r="AU98" s="174">
        <v>15.303752670967739</v>
      </c>
      <c r="BG98" s="174">
        <v>7.8125E-3</v>
      </c>
      <c r="BH98" s="174">
        <v>0.330078125</v>
      </c>
      <c r="BI98" s="174">
        <v>3840</v>
      </c>
      <c r="BU98" s="174">
        <v>7.8125E-3</v>
      </c>
      <c r="BV98" s="174">
        <v>0.3662109375</v>
      </c>
      <c r="BW98" s="174">
        <v>12480</v>
      </c>
      <c r="CI98" s="174">
        <v>7.8125E-3</v>
      </c>
      <c r="CJ98" s="174">
        <v>0.3525390625</v>
      </c>
      <c r="CK98" s="174">
        <v>18.441703225806446</v>
      </c>
    </row>
    <row r="99" spans="31:89" x14ac:dyDescent="0.2">
      <c r="AE99" s="174">
        <v>3.90625E-3</v>
      </c>
      <c r="AF99" s="174">
        <v>0.3564453125</v>
      </c>
      <c r="AG99" s="174">
        <v>5.6712909460645164</v>
      </c>
      <c r="AS99" s="174">
        <v>3.90625E-3</v>
      </c>
      <c r="AT99" s="174">
        <v>0.3359375</v>
      </c>
      <c r="AU99" s="174">
        <v>15.396982916129032</v>
      </c>
      <c r="BG99" s="174">
        <v>7.8125E-3</v>
      </c>
      <c r="BH99" s="174">
        <v>0.337890625</v>
      </c>
      <c r="BI99" s="174">
        <v>3840</v>
      </c>
      <c r="BU99" s="174">
        <v>7.8125E-3</v>
      </c>
      <c r="BV99" s="174">
        <v>0.3740234375</v>
      </c>
      <c r="BW99" s="174">
        <v>12480</v>
      </c>
      <c r="CI99" s="174">
        <v>3.90625E-3</v>
      </c>
      <c r="CJ99" s="174">
        <v>0.3564453125</v>
      </c>
      <c r="CK99" s="174">
        <v>18.461233548387096</v>
      </c>
    </row>
    <row r="100" spans="31:89" x14ac:dyDescent="0.2">
      <c r="AE100" s="174">
        <v>3.90625E-3</v>
      </c>
      <c r="AF100" s="174">
        <v>0.3603515625</v>
      </c>
      <c r="AG100" s="174">
        <v>5.6712909460645164</v>
      </c>
      <c r="AS100" s="174">
        <v>1.5625E-2</v>
      </c>
      <c r="AT100" s="174">
        <v>0.3515625</v>
      </c>
      <c r="AU100" s="174">
        <v>15.396982916129032</v>
      </c>
      <c r="BG100" s="174">
        <v>3.90625E-3</v>
      </c>
      <c r="BH100" s="174">
        <v>0.341796875</v>
      </c>
      <c r="BI100" s="174">
        <v>4000</v>
      </c>
      <c r="BU100" s="174">
        <v>7.8125E-3</v>
      </c>
      <c r="BV100" s="174">
        <v>0.3818359375</v>
      </c>
      <c r="BW100" s="174">
        <v>12720</v>
      </c>
      <c r="CI100" s="174">
        <v>3.90625E-3</v>
      </c>
      <c r="CJ100" s="174">
        <v>0.3603515625</v>
      </c>
      <c r="CK100" s="174">
        <v>18.461233548387096</v>
      </c>
    </row>
    <row r="101" spans="31:89" x14ac:dyDescent="0.2">
      <c r="AE101" s="174">
        <v>1.953125E-3</v>
      </c>
      <c r="AF101" s="174">
        <v>0.3623046875</v>
      </c>
      <c r="AG101" s="174">
        <v>5.6884148686451601</v>
      </c>
      <c r="AS101" s="174">
        <v>3.90625E-3</v>
      </c>
      <c r="AT101" s="174">
        <v>0.35546875</v>
      </c>
      <c r="AU101" s="174">
        <v>15.396982916129032</v>
      </c>
      <c r="BG101" s="174">
        <v>1.5625E-2</v>
      </c>
      <c r="BH101" s="174">
        <v>0.357421875</v>
      </c>
      <c r="BI101" s="174">
        <v>4000</v>
      </c>
      <c r="BU101" s="174">
        <v>9.765625E-4</v>
      </c>
      <c r="BV101" s="174">
        <v>0.3828125</v>
      </c>
      <c r="BW101" s="174">
        <v>12800</v>
      </c>
      <c r="CI101" s="174">
        <v>1.953125E-3</v>
      </c>
      <c r="CJ101" s="174">
        <v>0.3623046875</v>
      </c>
      <c r="CK101" s="174">
        <v>18.516975483870961</v>
      </c>
    </row>
    <row r="102" spans="31:89" x14ac:dyDescent="0.2">
      <c r="AE102" s="174">
        <v>7.8125E-3</v>
      </c>
      <c r="AF102" s="174">
        <v>0.3701171875</v>
      </c>
      <c r="AG102" s="174">
        <v>5.7809094193548383</v>
      </c>
      <c r="AS102" s="174">
        <v>1.5625E-2</v>
      </c>
      <c r="AT102" s="174">
        <v>0.37109375</v>
      </c>
      <c r="AU102" s="174">
        <v>15.396982916129032</v>
      </c>
      <c r="BG102" s="174">
        <v>3.90625E-3</v>
      </c>
      <c r="BH102" s="174">
        <v>0.361328125</v>
      </c>
      <c r="BI102" s="174">
        <v>4000</v>
      </c>
      <c r="BU102" s="174">
        <v>1.953125E-3</v>
      </c>
      <c r="BV102" s="174">
        <v>0.384765625</v>
      </c>
      <c r="BW102" s="174">
        <v>13120</v>
      </c>
      <c r="CI102" s="174">
        <v>7.8125E-3</v>
      </c>
      <c r="CJ102" s="174">
        <v>0.3701171875</v>
      </c>
      <c r="CK102" s="174">
        <v>18.818064516129031</v>
      </c>
    </row>
    <row r="103" spans="31:89" x14ac:dyDescent="0.2">
      <c r="AE103" s="174">
        <v>7.8125E-3</v>
      </c>
      <c r="AF103" s="174">
        <v>0.3779296875</v>
      </c>
      <c r="AG103" s="174">
        <v>5.7809094193548383</v>
      </c>
      <c r="AS103" s="174">
        <v>7.8125E-3</v>
      </c>
      <c r="AT103" s="174">
        <v>0.37890625</v>
      </c>
      <c r="AU103" s="174">
        <v>15.863134141935479</v>
      </c>
      <c r="BG103" s="174">
        <v>1.5625E-2</v>
      </c>
      <c r="BH103" s="174">
        <v>0.376953125</v>
      </c>
      <c r="BI103" s="174">
        <v>4160</v>
      </c>
      <c r="BU103" s="174">
        <v>1.953125E-3</v>
      </c>
      <c r="BV103" s="174">
        <v>0.38671875</v>
      </c>
      <c r="BW103" s="174">
        <v>13120</v>
      </c>
      <c r="CI103" s="174">
        <v>7.8125E-3</v>
      </c>
      <c r="CJ103" s="174">
        <v>0.3779296875</v>
      </c>
      <c r="CK103" s="174">
        <v>18.818064516129031</v>
      </c>
    </row>
    <row r="104" spans="31:89" x14ac:dyDescent="0.2">
      <c r="AE104" s="174">
        <v>1.5625E-2</v>
      </c>
      <c r="AF104" s="174">
        <v>0.3935546875</v>
      </c>
      <c r="AG104" s="174">
        <v>5.8117959019354846</v>
      </c>
      <c r="AS104" s="174">
        <v>1.5625E-2</v>
      </c>
      <c r="AT104" s="174">
        <v>0.39453125</v>
      </c>
      <c r="AU104" s="174">
        <v>15.863134141935483</v>
      </c>
      <c r="BG104" s="174">
        <v>7.8125E-3</v>
      </c>
      <c r="BH104" s="174">
        <v>0.384765625</v>
      </c>
      <c r="BI104" s="174">
        <v>4160</v>
      </c>
      <c r="BU104" s="174">
        <v>3.90625E-3</v>
      </c>
      <c r="BV104" s="174">
        <v>0.390625</v>
      </c>
      <c r="BW104" s="174">
        <v>13120</v>
      </c>
      <c r="CI104" s="174">
        <v>1.5625E-2</v>
      </c>
      <c r="CJ104" s="174">
        <v>0.3935546875</v>
      </c>
      <c r="CK104" s="174">
        <v>18.918606451612902</v>
      </c>
    </row>
    <row r="105" spans="31:89" x14ac:dyDescent="0.2">
      <c r="AE105" s="174">
        <v>3.90625E-3</v>
      </c>
      <c r="AF105" s="174">
        <v>0.3974609375</v>
      </c>
      <c r="AG105" s="174">
        <v>5.9395276799999994</v>
      </c>
      <c r="AS105" s="174">
        <v>1.953125E-3</v>
      </c>
      <c r="AT105" s="174">
        <v>0.396484375</v>
      </c>
      <c r="AU105" s="174">
        <v>15.956364387096773</v>
      </c>
      <c r="BG105" s="174">
        <v>7.8125E-3</v>
      </c>
      <c r="BH105" s="174">
        <v>0.392578125</v>
      </c>
      <c r="BI105" s="174">
        <v>4160</v>
      </c>
      <c r="BU105" s="174">
        <v>1.953125E-3</v>
      </c>
      <c r="BV105" s="174">
        <v>0.392578125</v>
      </c>
      <c r="BW105" s="174">
        <v>13120</v>
      </c>
      <c r="CI105" s="174">
        <v>3.90625E-3</v>
      </c>
      <c r="CJ105" s="174">
        <v>0.3974609375</v>
      </c>
      <c r="CK105" s="174">
        <v>19.334399999999995</v>
      </c>
    </row>
    <row r="106" spans="31:89" x14ac:dyDescent="0.2">
      <c r="AE106" s="174">
        <v>3.90625E-3</v>
      </c>
      <c r="AF106" s="174">
        <v>0.4013671875</v>
      </c>
      <c r="AG106" s="174">
        <v>5.9395276799999994</v>
      </c>
      <c r="AS106" s="174">
        <v>9.765625E-4</v>
      </c>
      <c r="AT106" s="174">
        <v>0.3974609375</v>
      </c>
      <c r="AU106" s="174">
        <v>16.981897083870962</v>
      </c>
      <c r="BG106" s="174">
        <v>1.953125E-3</v>
      </c>
      <c r="BH106" s="174">
        <v>0.39453125</v>
      </c>
      <c r="BI106" s="174">
        <v>4240</v>
      </c>
      <c r="BU106" s="174">
        <v>1.953125E-3</v>
      </c>
      <c r="BV106" s="174">
        <v>0.39453125</v>
      </c>
      <c r="BW106" s="174">
        <v>13120</v>
      </c>
      <c r="CI106" s="174">
        <v>3.90625E-3</v>
      </c>
      <c r="CJ106" s="174">
        <v>0.4013671875</v>
      </c>
      <c r="CK106" s="174">
        <v>19.334399999999995</v>
      </c>
    </row>
    <row r="107" spans="31:89" x14ac:dyDescent="0.2">
      <c r="AE107" s="174">
        <v>1.953125E-3</v>
      </c>
      <c r="AF107" s="174">
        <v>0.4033203125</v>
      </c>
      <c r="AG107" s="174">
        <v>5.9890221584516121</v>
      </c>
      <c r="AS107" s="174">
        <v>9.765625E-4</v>
      </c>
      <c r="AT107" s="174">
        <v>0.3984375</v>
      </c>
      <c r="AU107" s="174">
        <v>16.981897083870962</v>
      </c>
      <c r="BG107" s="174">
        <v>7.8125E-3</v>
      </c>
      <c r="BH107" s="174">
        <v>0.40234375</v>
      </c>
      <c r="BI107" s="174">
        <v>4240</v>
      </c>
      <c r="BU107" s="174">
        <v>3.90625E-3</v>
      </c>
      <c r="BV107" s="174">
        <v>0.3984375</v>
      </c>
      <c r="BW107" s="174">
        <v>13120</v>
      </c>
      <c r="CI107" s="174">
        <v>1.953125E-3</v>
      </c>
      <c r="CJ107" s="174">
        <v>0.4033203125</v>
      </c>
      <c r="CK107" s="174">
        <v>19.495514838709674</v>
      </c>
    </row>
    <row r="108" spans="31:89" x14ac:dyDescent="0.2">
      <c r="AE108" s="174">
        <v>1.953125E-3</v>
      </c>
      <c r="AF108" s="174">
        <v>0.4052734375</v>
      </c>
      <c r="AG108" s="174">
        <v>5.9890221584516121</v>
      </c>
      <c r="AS108" s="174">
        <v>1.953125E-3</v>
      </c>
      <c r="AT108" s="174">
        <v>0.400390625</v>
      </c>
      <c r="AU108" s="174">
        <v>16.981897083870969</v>
      </c>
      <c r="BG108" s="174">
        <v>1.953125E-3</v>
      </c>
      <c r="BH108" s="174">
        <v>0.404296875</v>
      </c>
      <c r="BI108" s="174">
        <v>4240</v>
      </c>
      <c r="BU108" s="174">
        <v>1.953125E-3</v>
      </c>
      <c r="BV108" s="174">
        <v>0.400390625</v>
      </c>
      <c r="BW108" s="174">
        <v>13600</v>
      </c>
      <c r="CI108" s="174">
        <v>1.953125E-3</v>
      </c>
      <c r="CJ108" s="174">
        <v>0.4052734375</v>
      </c>
      <c r="CK108" s="174">
        <v>19.495514838709674</v>
      </c>
    </row>
    <row r="109" spans="31:89" x14ac:dyDescent="0.2">
      <c r="AE109" s="174">
        <v>1.953125E-3</v>
      </c>
      <c r="AF109" s="174">
        <v>0.4072265625</v>
      </c>
      <c r="AG109" s="174">
        <v>6.2722867199999994</v>
      </c>
      <c r="AS109" s="174">
        <v>1.953125E-3</v>
      </c>
      <c r="AT109" s="174">
        <v>0.40234375</v>
      </c>
      <c r="AU109" s="174">
        <v>16.981897083870969</v>
      </c>
      <c r="BG109" s="174">
        <v>9.765625E-4</v>
      </c>
      <c r="BH109" s="174">
        <v>0.4052734375</v>
      </c>
      <c r="BI109" s="174">
        <v>4320</v>
      </c>
      <c r="BU109" s="174">
        <v>1.953125E-3</v>
      </c>
      <c r="BV109" s="174">
        <v>0.40234375</v>
      </c>
      <c r="BW109" s="174">
        <v>13600</v>
      </c>
      <c r="CI109" s="174">
        <v>1.953125E-3</v>
      </c>
      <c r="CJ109" s="174">
        <v>0.4072265625</v>
      </c>
      <c r="CK109" s="174">
        <v>20.417599999999997</v>
      </c>
    </row>
    <row r="110" spans="31:89" x14ac:dyDescent="0.2">
      <c r="AE110" s="174">
        <v>1.953125E-3</v>
      </c>
      <c r="AF110" s="174">
        <v>0.4091796875</v>
      </c>
      <c r="AG110" s="174">
        <v>6.2722867199999994</v>
      </c>
      <c r="AS110" s="174">
        <v>1.953125E-3</v>
      </c>
      <c r="AT110" s="174">
        <v>0.404296875</v>
      </c>
      <c r="AU110" s="174">
        <v>17.72773904516129</v>
      </c>
      <c r="BG110" s="174">
        <v>9.765625E-4</v>
      </c>
      <c r="BH110" s="174">
        <v>0.40625</v>
      </c>
      <c r="BI110" s="174">
        <v>4320</v>
      </c>
      <c r="BU110" s="174">
        <v>1.953125E-3</v>
      </c>
      <c r="BV110" s="174">
        <v>0.404296875</v>
      </c>
      <c r="BW110" s="174">
        <v>13600</v>
      </c>
      <c r="CI110" s="174">
        <v>1.953125E-3</v>
      </c>
      <c r="CJ110" s="174">
        <v>0.4091796875</v>
      </c>
      <c r="CK110" s="174">
        <v>20.417599999999997</v>
      </c>
    </row>
    <row r="111" spans="31:89" x14ac:dyDescent="0.2">
      <c r="AE111" s="174">
        <v>1.953125E-3</v>
      </c>
      <c r="AF111" s="174">
        <v>0.4111328125</v>
      </c>
      <c r="AG111" s="174">
        <v>6.2844034807741931</v>
      </c>
      <c r="AS111" s="174">
        <v>7.8125E-3</v>
      </c>
      <c r="AT111" s="174">
        <v>0.412109375</v>
      </c>
      <c r="AU111" s="174">
        <v>18.193890270967742</v>
      </c>
      <c r="BG111" s="174">
        <v>3.90625E-3</v>
      </c>
      <c r="BH111" s="174">
        <v>0.41015625</v>
      </c>
      <c r="BI111" s="174">
        <v>4560</v>
      </c>
      <c r="BU111" s="174">
        <v>1.953125E-3</v>
      </c>
      <c r="BV111" s="174">
        <v>0.40625</v>
      </c>
      <c r="BW111" s="174">
        <v>13600</v>
      </c>
      <c r="CI111" s="174">
        <v>1.953125E-3</v>
      </c>
      <c r="CJ111" s="174">
        <v>0.4111328125</v>
      </c>
      <c r="CK111" s="174">
        <v>20.457042580645158</v>
      </c>
    </row>
    <row r="112" spans="31:89" x14ac:dyDescent="0.2">
      <c r="AE112" s="174">
        <v>1.953125E-3</v>
      </c>
      <c r="AF112" s="174">
        <v>0.4130859375</v>
      </c>
      <c r="AG112" s="174">
        <v>6.2844034807741931</v>
      </c>
      <c r="AS112" s="174">
        <v>1.953125E-3</v>
      </c>
      <c r="AT112" s="174">
        <v>0.4140625</v>
      </c>
      <c r="AU112" s="174">
        <v>18.193890270967742</v>
      </c>
      <c r="BG112" s="174">
        <v>3.90625E-3</v>
      </c>
      <c r="BH112" s="174">
        <v>0.4140625</v>
      </c>
      <c r="BI112" s="174">
        <v>4800</v>
      </c>
      <c r="BU112" s="174">
        <v>9.765625E-4</v>
      </c>
      <c r="BV112" s="174">
        <v>0.4072265625</v>
      </c>
      <c r="BW112" s="174">
        <v>14800</v>
      </c>
      <c r="CI112" s="174">
        <v>1.953125E-3</v>
      </c>
      <c r="CJ112" s="174">
        <v>0.4130859375</v>
      </c>
      <c r="CK112" s="174">
        <v>20.457042580645158</v>
      </c>
    </row>
    <row r="113" spans="31:89" x14ac:dyDescent="0.2">
      <c r="AE113" s="174">
        <v>3.90625E-3</v>
      </c>
      <c r="AF113" s="174">
        <v>0.4169921875</v>
      </c>
      <c r="AG113" s="174">
        <v>6.4487170312258071</v>
      </c>
      <c r="AS113" s="174">
        <v>7.8125E-3</v>
      </c>
      <c r="AT113" s="174">
        <v>0.421875</v>
      </c>
      <c r="AU113" s="174">
        <v>18.193890270967742</v>
      </c>
      <c r="BG113" s="174">
        <v>3.90625E-3</v>
      </c>
      <c r="BH113" s="174">
        <v>0.41796875</v>
      </c>
      <c r="BI113" s="174">
        <v>4800</v>
      </c>
      <c r="BU113" s="174">
        <v>9.765625E-4</v>
      </c>
      <c r="BV113" s="174">
        <v>0.408203125</v>
      </c>
      <c r="BW113" s="174">
        <v>14800</v>
      </c>
      <c r="CI113" s="174">
        <v>3.90625E-3</v>
      </c>
      <c r="CJ113" s="174">
        <v>0.4169921875</v>
      </c>
      <c r="CK113" s="174">
        <v>20.991917419354838</v>
      </c>
    </row>
    <row r="114" spans="31:89" x14ac:dyDescent="0.2">
      <c r="AE114" s="174">
        <v>3.90625E-3</v>
      </c>
      <c r="AF114" s="174">
        <v>0.4208984375</v>
      </c>
      <c r="AG114" s="174">
        <v>6.4487170312258071</v>
      </c>
      <c r="AS114" s="174">
        <v>1.953125E-3</v>
      </c>
      <c r="AT114" s="174">
        <v>0.423828125</v>
      </c>
      <c r="AU114" s="174">
        <v>18.193890270967742</v>
      </c>
      <c r="BG114" s="174">
        <v>7.8125E-3</v>
      </c>
      <c r="BH114" s="174">
        <v>0.42578125</v>
      </c>
      <c r="BI114" s="174">
        <v>4920</v>
      </c>
      <c r="BU114" s="174">
        <v>7.8125E-3</v>
      </c>
      <c r="BV114" s="174">
        <v>0.416015625</v>
      </c>
      <c r="BW114" s="174">
        <v>14880</v>
      </c>
      <c r="CI114" s="174">
        <v>3.90625E-3</v>
      </c>
      <c r="CJ114" s="174">
        <v>0.4208984375</v>
      </c>
      <c r="CK114" s="174">
        <v>20.991917419354838</v>
      </c>
    </row>
    <row r="115" spans="31:89" x14ac:dyDescent="0.2">
      <c r="AE115" s="174">
        <v>9.765625E-4</v>
      </c>
      <c r="AF115" s="174">
        <v>0.421875</v>
      </c>
      <c r="AG115" s="174">
        <v>6.636484013419353</v>
      </c>
      <c r="AS115" s="174">
        <v>3.90625E-3</v>
      </c>
      <c r="AT115" s="174">
        <v>0.427734375</v>
      </c>
      <c r="AU115" s="174">
        <v>18.473581006451614</v>
      </c>
      <c r="BG115" s="174">
        <v>1.953125E-3</v>
      </c>
      <c r="BH115" s="174">
        <v>0.427734375</v>
      </c>
      <c r="BI115" s="174">
        <v>4960</v>
      </c>
      <c r="BU115" s="174">
        <v>1.953125E-3</v>
      </c>
      <c r="BV115" s="174">
        <v>0.41796875</v>
      </c>
      <c r="BW115" s="174">
        <v>15040</v>
      </c>
      <c r="CI115" s="174">
        <v>9.765625E-4</v>
      </c>
      <c r="CJ115" s="174">
        <v>0.421875</v>
      </c>
      <c r="CK115" s="174">
        <v>21.60313806451612</v>
      </c>
    </row>
    <row r="116" spans="31:89" x14ac:dyDescent="0.2">
      <c r="AE116" s="174">
        <v>9.765625E-4</v>
      </c>
      <c r="AF116" s="174">
        <v>0.4228515625</v>
      </c>
      <c r="AG116" s="174">
        <v>6.636484013419353</v>
      </c>
      <c r="AS116" s="174">
        <v>3.90625E-3</v>
      </c>
      <c r="AT116" s="174">
        <v>0.431640625</v>
      </c>
      <c r="AU116" s="174">
        <v>18.473581006451614</v>
      </c>
      <c r="BG116" s="174">
        <v>7.8125E-3</v>
      </c>
      <c r="BH116" s="174">
        <v>0.435546875</v>
      </c>
      <c r="BI116" s="174">
        <v>4960</v>
      </c>
      <c r="BU116" s="174">
        <v>1.953125E-3</v>
      </c>
      <c r="BV116" s="174">
        <v>0.419921875</v>
      </c>
      <c r="BW116" s="174">
        <v>15040</v>
      </c>
      <c r="CI116" s="174">
        <v>9.765625E-4</v>
      </c>
      <c r="CJ116" s="174">
        <v>0.4228515625</v>
      </c>
      <c r="CK116" s="174">
        <v>21.60313806451612</v>
      </c>
    </row>
    <row r="117" spans="31:89" x14ac:dyDescent="0.2">
      <c r="AE117" s="174">
        <v>7.8125E-3</v>
      </c>
      <c r="AF117" s="174">
        <v>0.4306640625</v>
      </c>
      <c r="AG117" s="174">
        <v>6.6420524593548382</v>
      </c>
      <c r="AS117" s="174">
        <v>3.90625E-3</v>
      </c>
      <c r="AT117" s="174">
        <v>0.435546875</v>
      </c>
      <c r="AU117" s="174">
        <v>18.613426374193551</v>
      </c>
      <c r="BG117" s="174">
        <v>1.953125E-3</v>
      </c>
      <c r="BH117" s="174">
        <v>0.4375</v>
      </c>
      <c r="BI117" s="174">
        <v>4960</v>
      </c>
      <c r="BU117" s="174">
        <v>1.953125E-3</v>
      </c>
      <c r="BV117" s="174">
        <v>0.421875</v>
      </c>
      <c r="BW117" s="174">
        <v>15200</v>
      </c>
      <c r="CI117" s="174">
        <v>7.8125E-3</v>
      </c>
      <c r="CJ117" s="174">
        <v>0.4306640625</v>
      </c>
      <c r="CK117" s="174">
        <v>21.621264516129028</v>
      </c>
    </row>
    <row r="118" spans="31:89" x14ac:dyDescent="0.2">
      <c r="AE118" s="174">
        <v>7.8125E-3</v>
      </c>
      <c r="AF118" s="174">
        <v>0.4384765625</v>
      </c>
      <c r="AG118" s="174">
        <v>6.6420524593548382</v>
      </c>
      <c r="AS118" s="174">
        <v>3.90625E-3</v>
      </c>
      <c r="AT118" s="174">
        <v>0.439453125</v>
      </c>
      <c r="AU118" s="174">
        <v>19.032962477419353</v>
      </c>
      <c r="BG118" s="174">
        <v>7.8125E-3</v>
      </c>
      <c r="BH118" s="174">
        <v>0.4453125</v>
      </c>
      <c r="BI118" s="174">
        <v>5280</v>
      </c>
      <c r="BU118" s="174">
        <v>1.953125E-3</v>
      </c>
      <c r="BV118" s="174">
        <v>0.423828125</v>
      </c>
      <c r="BW118" s="174">
        <v>15200</v>
      </c>
      <c r="CI118" s="174">
        <v>7.8125E-3</v>
      </c>
      <c r="CJ118" s="174">
        <v>0.4384765625</v>
      </c>
      <c r="CK118" s="174">
        <v>21.621264516129028</v>
      </c>
    </row>
    <row r="119" spans="31:89" x14ac:dyDescent="0.2">
      <c r="AE119" s="174">
        <v>3.90625E-3</v>
      </c>
      <c r="AF119" s="174">
        <v>0.4423828125</v>
      </c>
      <c r="AG119" s="174">
        <v>6.668559657290321</v>
      </c>
      <c r="AS119" s="174">
        <v>3.90625E-3</v>
      </c>
      <c r="AT119" s="174">
        <v>0.443359375</v>
      </c>
      <c r="AU119" s="174">
        <v>19.592343948387089</v>
      </c>
      <c r="BG119" s="174">
        <v>1.953125E-3</v>
      </c>
      <c r="BH119" s="174">
        <v>0.447265625</v>
      </c>
      <c r="BI119" s="174">
        <v>5360</v>
      </c>
      <c r="BU119" s="174">
        <v>3.90625E-3</v>
      </c>
      <c r="BV119" s="174">
        <v>0.427734375</v>
      </c>
      <c r="BW119" s="174">
        <v>15200</v>
      </c>
      <c r="CI119" s="174">
        <v>3.90625E-3</v>
      </c>
      <c r="CJ119" s="174">
        <v>0.4423828125</v>
      </c>
      <c r="CK119" s="174">
        <v>21.707550967741927</v>
      </c>
    </row>
    <row r="120" spans="31:89" x14ac:dyDescent="0.2">
      <c r="AE120" s="174">
        <v>9.765625E-4</v>
      </c>
      <c r="AF120" s="174">
        <v>0.443359375</v>
      </c>
      <c r="AG120" s="174">
        <v>6.7289785641290312</v>
      </c>
      <c r="AS120" s="174">
        <v>3.90625E-3</v>
      </c>
      <c r="AT120" s="174">
        <v>0.447265625</v>
      </c>
      <c r="AU120" s="174">
        <v>19.592343948387089</v>
      </c>
      <c r="BG120" s="174">
        <v>1.953125E-3</v>
      </c>
      <c r="BH120" s="174">
        <v>0.44921875</v>
      </c>
      <c r="BI120" s="174">
        <v>5360</v>
      </c>
      <c r="BU120" s="174">
        <v>7.8125E-3</v>
      </c>
      <c r="BV120" s="174">
        <v>0.435546875</v>
      </c>
      <c r="BW120" s="174">
        <v>15680</v>
      </c>
      <c r="CI120" s="174">
        <v>9.765625E-4</v>
      </c>
      <c r="CJ120" s="174">
        <v>0.443359375</v>
      </c>
      <c r="CK120" s="174">
        <v>21.904227096774189</v>
      </c>
    </row>
    <row r="121" spans="31:89" x14ac:dyDescent="0.2">
      <c r="AE121" s="174">
        <v>3.90625E-3</v>
      </c>
      <c r="AF121" s="174">
        <v>0.447265625</v>
      </c>
      <c r="AG121" s="174">
        <v>6.7953305930322578</v>
      </c>
      <c r="AS121" s="174">
        <v>3.90625E-3</v>
      </c>
      <c r="AT121" s="174">
        <v>0.451171875</v>
      </c>
      <c r="AU121" s="174">
        <v>20.524646400000002</v>
      </c>
      <c r="BG121" s="174">
        <v>7.8125E-3</v>
      </c>
      <c r="BH121" s="174">
        <v>0.45703125</v>
      </c>
      <c r="BI121" s="174">
        <v>5440</v>
      </c>
      <c r="BU121" s="174">
        <v>7.8125E-3</v>
      </c>
      <c r="BV121" s="174">
        <v>0.443359375</v>
      </c>
      <c r="BW121" s="174">
        <v>15680</v>
      </c>
      <c r="CI121" s="174">
        <v>3.90625E-3</v>
      </c>
      <c r="CJ121" s="174">
        <v>0.447265625</v>
      </c>
      <c r="CK121" s="174">
        <v>22.120216774193544</v>
      </c>
    </row>
    <row r="122" spans="31:89" x14ac:dyDescent="0.2">
      <c r="AE122" s="174">
        <v>1.953125E-3</v>
      </c>
      <c r="AF122" s="174">
        <v>0.44921875</v>
      </c>
      <c r="AG122" s="174">
        <v>7.2059527432258061</v>
      </c>
      <c r="AS122" s="174">
        <v>3.90625E-3</v>
      </c>
      <c r="AT122" s="174">
        <v>0.455078125</v>
      </c>
      <c r="AU122" s="174">
        <v>20.524646400000002</v>
      </c>
      <c r="BG122" s="174">
        <v>7.8125E-3</v>
      </c>
      <c r="BH122" s="174">
        <v>0.46484375</v>
      </c>
      <c r="BI122" s="174">
        <v>5440</v>
      </c>
      <c r="BU122" s="174">
        <v>7.8125E-3</v>
      </c>
      <c r="BV122" s="174">
        <v>0.451171875</v>
      </c>
      <c r="BW122" s="174">
        <v>16000</v>
      </c>
      <c r="CI122" s="174">
        <v>1.953125E-3</v>
      </c>
      <c r="CJ122" s="174">
        <v>0.44921875</v>
      </c>
      <c r="CK122" s="174">
        <v>23.456877419354836</v>
      </c>
    </row>
    <row r="123" spans="31:89" x14ac:dyDescent="0.2">
      <c r="AE123" s="174">
        <v>1.953125E-3</v>
      </c>
      <c r="AF123" s="174">
        <v>0.451171875</v>
      </c>
      <c r="AG123" s="174">
        <v>7.2059527432258061</v>
      </c>
      <c r="AS123" s="174">
        <v>7.8125E-3</v>
      </c>
      <c r="AT123" s="174">
        <v>0.462890625</v>
      </c>
      <c r="AU123" s="174">
        <v>20.990797625806451</v>
      </c>
      <c r="BG123" s="174">
        <v>3.125E-2</v>
      </c>
      <c r="BH123" s="174">
        <v>0.49609375</v>
      </c>
      <c r="BI123" s="174">
        <v>5440</v>
      </c>
      <c r="BU123" s="174">
        <v>7.8125E-3</v>
      </c>
      <c r="BV123" s="174">
        <v>0.458984375</v>
      </c>
      <c r="BW123" s="174">
        <v>16000</v>
      </c>
      <c r="CI123" s="174">
        <v>1.953125E-3</v>
      </c>
      <c r="CJ123" s="174">
        <v>0.451171875</v>
      </c>
      <c r="CK123" s="174">
        <v>23.456877419354836</v>
      </c>
    </row>
    <row r="124" spans="31:89" x14ac:dyDescent="0.2">
      <c r="AE124" s="174">
        <v>1.953125E-3</v>
      </c>
      <c r="AF124" s="174">
        <v>0.453125</v>
      </c>
      <c r="AG124" s="174">
        <v>7.3525144939354838</v>
      </c>
      <c r="AS124" s="174">
        <v>7.8125E-3</v>
      </c>
      <c r="AT124" s="174">
        <v>0.470703125</v>
      </c>
      <c r="AU124" s="174">
        <v>20.990797625806451</v>
      </c>
      <c r="BG124" s="174">
        <v>3.90625E-3</v>
      </c>
      <c r="BH124" s="174">
        <v>0.5</v>
      </c>
      <c r="BI124" s="174">
        <v>5440</v>
      </c>
      <c r="BU124" s="174">
        <v>3.125E-2</v>
      </c>
      <c r="BV124" s="174">
        <v>0.490234375</v>
      </c>
      <c r="BW124" s="174">
        <v>16320</v>
      </c>
      <c r="CI124" s="174">
        <v>1.953125E-3</v>
      </c>
      <c r="CJ124" s="174">
        <v>0.453125</v>
      </c>
      <c r="CK124" s="174">
        <v>23.9339664516129</v>
      </c>
    </row>
    <row r="125" spans="31:89" x14ac:dyDescent="0.2">
      <c r="AE125" s="174">
        <v>1.953125E-3</v>
      </c>
      <c r="AF125" s="174">
        <v>0.455078125</v>
      </c>
      <c r="AG125" s="174">
        <v>7.3525144939354838</v>
      </c>
      <c r="AS125" s="174">
        <v>9.765625E-4</v>
      </c>
      <c r="AT125" s="174">
        <v>0.4716796875</v>
      </c>
      <c r="AU125" s="174">
        <v>21.419656753548381</v>
      </c>
      <c r="BG125" s="174">
        <v>3.90625E-3</v>
      </c>
      <c r="BH125" s="174">
        <v>0.50390625</v>
      </c>
      <c r="BI125" s="174">
        <v>5440</v>
      </c>
      <c r="BU125" s="174">
        <v>3.90625E-3</v>
      </c>
      <c r="BV125" s="174">
        <v>0.494140625</v>
      </c>
      <c r="BW125" s="174">
        <v>16320</v>
      </c>
      <c r="CI125" s="174">
        <v>1.953125E-3</v>
      </c>
      <c r="CJ125" s="174">
        <v>0.455078125</v>
      </c>
      <c r="CK125" s="174">
        <v>23.9339664516129</v>
      </c>
    </row>
    <row r="126" spans="31:89" x14ac:dyDescent="0.2">
      <c r="AE126" s="174">
        <v>7.8125E-3</v>
      </c>
      <c r="AF126" s="174">
        <v>0.462890625</v>
      </c>
      <c r="AG126" s="174">
        <v>7.510628550193549</v>
      </c>
      <c r="AS126" s="174">
        <v>7.8125E-3</v>
      </c>
      <c r="AT126" s="174">
        <v>0.4794921875</v>
      </c>
      <c r="AU126" s="174">
        <v>21.550179096774194</v>
      </c>
      <c r="BG126" s="174">
        <v>3.90625E-3</v>
      </c>
      <c r="BH126" s="174">
        <v>0.5078125</v>
      </c>
      <c r="BI126" s="174">
        <v>5520</v>
      </c>
      <c r="BU126" s="174">
        <v>3.90625E-3</v>
      </c>
      <c r="BV126" s="174">
        <v>0.498046875</v>
      </c>
      <c r="BW126" s="174">
        <v>16320</v>
      </c>
      <c r="CI126" s="174">
        <v>7.8125E-3</v>
      </c>
      <c r="CJ126" s="174">
        <v>0.462890625</v>
      </c>
      <c r="CK126" s="174">
        <v>24.44866064516129</v>
      </c>
    </row>
    <row r="127" spans="31:89" x14ac:dyDescent="0.2">
      <c r="AE127" s="174">
        <v>3.90625E-3</v>
      </c>
      <c r="AF127" s="174">
        <v>0.466796875</v>
      </c>
      <c r="AG127" s="174">
        <v>7.515182245161288</v>
      </c>
      <c r="AS127" s="174">
        <v>7.8125E-3</v>
      </c>
      <c r="AT127" s="174">
        <v>0.4873046875</v>
      </c>
      <c r="AU127" s="174">
        <v>21.550179096774194</v>
      </c>
      <c r="BG127" s="174">
        <v>1.953125E-3</v>
      </c>
      <c r="BH127" s="174">
        <v>0.509765625</v>
      </c>
      <c r="BI127" s="174">
        <v>5520</v>
      </c>
      <c r="BU127" s="174">
        <v>3.90625E-3</v>
      </c>
      <c r="BV127" s="174">
        <v>0.501953125</v>
      </c>
      <c r="BW127" s="174">
        <v>16400</v>
      </c>
      <c r="CI127" s="174">
        <v>3.90625E-3</v>
      </c>
      <c r="CJ127" s="174">
        <v>0.466796875</v>
      </c>
      <c r="CK127" s="174">
        <v>24.463483870967732</v>
      </c>
    </row>
    <row r="128" spans="31:89" x14ac:dyDescent="0.2">
      <c r="AE128" s="174">
        <v>3.90625E-3</v>
      </c>
      <c r="AF128" s="174">
        <v>0.470703125</v>
      </c>
      <c r="AG128" s="174">
        <v>7.515182245161288</v>
      </c>
      <c r="AS128" s="174">
        <v>1.953125E-3</v>
      </c>
      <c r="AT128" s="174">
        <v>0.4892578125</v>
      </c>
      <c r="AU128" s="174">
        <v>21.829869832258066</v>
      </c>
      <c r="BG128" s="174">
        <v>1.953125E-3</v>
      </c>
      <c r="BH128" s="174">
        <v>0.51171875</v>
      </c>
      <c r="BI128" s="174">
        <v>5520</v>
      </c>
      <c r="BU128" s="174">
        <v>3.90625E-3</v>
      </c>
      <c r="BV128" s="174">
        <v>0.505859375</v>
      </c>
      <c r="BW128" s="174">
        <v>17520</v>
      </c>
      <c r="CI128" s="174">
        <v>3.90625E-3</v>
      </c>
      <c r="CJ128" s="174">
        <v>0.470703125</v>
      </c>
      <c r="CK128" s="174">
        <v>24.463483870967732</v>
      </c>
    </row>
    <row r="129" spans="31:89" x14ac:dyDescent="0.2">
      <c r="AE129" s="174">
        <v>1.953125E-3</v>
      </c>
      <c r="AF129" s="174">
        <v>0.47265625</v>
      </c>
      <c r="AG129" s="174">
        <v>7.621211036903226</v>
      </c>
      <c r="AS129" s="174">
        <v>1.953125E-3</v>
      </c>
      <c r="AT129" s="174">
        <v>0.4912109375</v>
      </c>
      <c r="AU129" s="174">
        <v>21.829869832258066</v>
      </c>
      <c r="BG129" s="174">
        <v>3.90625E-3</v>
      </c>
      <c r="BH129" s="174">
        <v>0.515625</v>
      </c>
      <c r="BI129" s="174">
        <v>5600</v>
      </c>
      <c r="BU129" s="174">
        <v>3.90625E-3</v>
      </c>
      <c r="BV129" s="174">
        <v>0.509765625</v>
      </c>
      <c r="BW129" s="174">
        <v>17520</v>
      </c>
      <c r="CI129" s="174">
        <v>1.953125E-3</v>
      </c>
      <c r="CJ129" s="174">
        <v>0.47265625</v>
      </c>
      <c r="CK129" s="174">
        <v>24.808629677419354</v>
      </c>
    </row>
    <row r="130" spans="31:89" x14ac:dyDescent="0.2">
      <c r="AE130" s="174">
        <v>1.953125E-3</v>
      </c>
      <c r="AF130" s="174">
        <v>0.474609375</v>
      </c>
      <c r="AG130" s="174">
        <v>7.621211036903226</v>
      </c>
      <c r="AS130" s="174">
        <v>3.90625E-3</v>
      </c>
      <c r="AT130" s="174">
        <v>0.4951171875</v>
      </c>
      <c r="AU130" s="174">
        <v>22.156175690322581</v>
      </c>
      <c r="BG130" s="174">
        <v>3.90625E-3</v>
      </c>
      <c r="BH130" s="174">
        <v>0.51953125</v>
      </c>
      <c r="BI130" s="174">
        <v>5600</v>
      </c>
      <c r="BU130" s="174">
        <v>7.8125E-3</v>
      </c>
      <c r="BV130" s="174">
        <v>0.517578125</v>
      </c>
      <c r="BW130" s="174">
        <v>17600</v>
      </c>
      <c r="CI130" s="174">
        <v>1.953125E-3</v>
      </c>
      <c r="CJ130" s="174">
        <v>0.474609375</v>
      </c>
      <c r="CK130" s="174">
        <v>24.808629677419354</v>
      </c>
    </row>
    <row r="131" spans="31:89" x14ac:dyDescent="0.2">
      <c r="AE131" s="174">
        <v>7.8125E-3</v>
      </c>
      <c r="AF131" s="174">
        <v>0.482421875</v>
      </c>
      <c r="AG131" s="174">
        <v>7.6639066838709677</v>
      </c>
      <c r="AS131" s="174">
        <v>3.90625E-3</v>
      </c>
      <c r="AT131" s="174">
        <v>0.4990234375</v>
      </c>
      <c r="AU131" s="174">
        <v>22.202790812903221</v>
      </c>
      <c r="BG131" s="174">
        <v>3.90625E-3</v>
      </c>
      <c r="BH131" s="174">
        <v>0.5234375</v>
      </c>
      <c r="BI131" s="174">
        <v>5600</v>
      </c>
      <c r="BU131" s="174">
        <v>7.8125E-3</v>
      </c>
      <c r="BV131" s="174">
        <v>0.525390625</v>
      </c>
      <c r="BW131" s="174">
        <v>17600</v>
      </c>
      <c r="CI131" s="174">
        <v>7.8125E-3</v>
      </c>
      <c r="CJ131" s="174">
        <v>0.482421875</v>
      </c>
      <c r="CK131" s="174">
        <v>24.947612903225803</v>
      </c>
    </row>
    <row r="132" spans="31:89" x14ac:dyDescent="0.2">
      <c r="AE132" s="174">
        <v>7.8125E-3</v>
      </c>
      <c r="AF132" s="174">
        <v>0.490234375</v>
      </c>
      <c r="AG132" s="174">
        <v>7.6639066838709677</v>
      </c>
      <c r="AS132" s="174">
        <v>7.8125E-3</v>
      </c>
      <c r="AT132" s="174">
        <v>0.5068359375</v>
      </c>
      <c r="AU132" s="174">
        <v>22.202790812903224</v>
      </c>
      <c r="BG132" s="174">
        <v>3.90625E-3</v>
      </c>
      <c r="BH132" s="174">
        <v>0.52734375</v>
      </c>
      <c r="BI132" s="174">
        <v>5600</v>
      </c>
      <c r="BU132" s="174">
        <v>7.8125E-3</v>
      </c>
      <c r="BV132" s="174">
        <v>0.533203125</v>
      </c>
      <c r="BW132" s="174">
        <v>17760</v>
      </c>
      <c r="CI132" s="174">
        <v>7.8125E-3</v>
      </c>
      <c r="CJ132" s="174">
        <v>0.490234375</v>
      </c>
      <c r="CK132" s="174">
        <v>24.947612903225803</v>
      </c>
    </row>
    <row r="133" spans="31:89" x14ac:dyDescent="0.2">
      <c r="AE133" s="174">
        <v>7.8125E-3</v>
      </c>
      <c r="AF133" s="174">
        <v>0.498046875</v>
      </c>
      <c r="AG133" s="174">
        <v>7.8682775287741942</v>
      </c>
      <c r="AS133" s="174">
        <v>3.90625E-3</v>
      </c>
      <c r="AT133" s="174">
        <v>0.5107421875</v>
      </c>
      <c r="AU133" s="174">
        <v>22.948632774193545</v>
      </c>
      <c r="BG133" s="174">
        <v>3.90625E-3</v>
      </c>
      <c r="BH133" s="174">
        <v>0.53125</v>
      </c>
      <c r="BI133" s="174">
        <v>5840</v>
      </c>
      <c r="BU133" s="174">
        <v>7.8125E-3</v>
      </c>
      <c r="BV133" s="174">
        <v>0.541015625</v>
      </c>
      <c r="BW133" s="174">
        <v>17760</v>
      </c>
      <c r="CI133" s="174">
        <v>7.8125E-3</v>
      </c>
      <c r="CJ133" s="174">
        <v>0.498046875</v>
      </c>
      <c r="CK133" s="174">
        <v>25.612882580645159</v>
      </c>
    </row>
    <row r="134" spans="31:89" x14ac:dyDescent="0.2">
      <c r="AE134" s="174">
        <v>7.8125E-3</v>
      </c>
      <c r="AF134" s="174">
        <v>0.505859375</v>
      </c>
      <c r="AG134" s="174">
        <v>7.8682775287741942</v>
      </c>
      <c r="AS134" s="174">
        <v>9.765625E-4</v>
      </c>
      <c r="AT134" s="174">
        <v>0.51171875</v>
      </c>
      <c r="AU134" s="174">
        <v>22.948632774193545</v>
      </c>
      <c r="BG134" s="174">
        <v>9.765625E-4</v>
      </c>
      <c r="BH134" s="174">
        <v>0.5322265625</v>
      </c>
      <c r="BI134" s="174">
        <v>5840</v>
      </c>
      <c r="BU134" s="174">
        <v>7.8125E-3</v>
      </c>
      <c r="BV134" s="174">
        <v>0.548828125</v>
      </c>
      <c r="BW134" s="174">
        <v>17760</v>
      </c>
      <c r="CI134" s="174">
        <v>7.8125E-3</v>
      </c>
      <c r="CJ134" s="174">
        <v>0.505859375</v>
      </c>
      <c r="CK134" s="174">
        <v>25.612882580645159</v>
      </c>
    </row>
    <row r="135" spans="31:89" x14ac:dyDescent="0.2">
      <c r="AE135" s="174">
        <v>3.90625E-3</v>
      </c>
      <c r="AF135" s="174">
        <v>0.509765625</v>
      </c>
      <c r="AG135" s="174">
        <v>7.9314077233548375</v>
      </c>
      <c r="AS135" s="174">
        <v>1.953125E-3</v>
      </c>
      <c r="AT135" s="174">
        <v>0.513671875</v>
      </c>
      <c r="AU135" s="174">
        <v>22.948632774193548</v>
      </c>
      <c r="BG135" s="174">
        <v>3.90625E-3</v>
      </c>
      <c r="BH135" s="174">
        <v>0.5361328125</v>
      </c>
      <c r="BI135" s="174">
        <v>5840</v>
      </c>
      <c r="BU135" s="174">
        <v>7.8125E-3</v>
      </c>
      <c r="BV135" s="174">
        <v>0.556640625</v>
      </c>
      <c r="BW135" s="174">
        <v>17760</v>
      </c>
      <c r="CI135" s="174">
        <v>3.90625E-3</v>
      </c>
      <c r="CJ135" s="174">
        <v>0.509765625</v>
      </c>
      <c r="CK135" s="174">
        <v>25.818384516129026</v>
      </c>
    </row>
    <row r="136" spans="31:89" x14ac:dyDescent="0.2">
      <c r="AE136" s="174">
        <v>3.90625E-3</v>
      </c>
      <c r="AF136" s="174">
        <v>0.513671875</v>
      </c>
      <c r="AG136" s="174">
        <v>8.0932731870967718</v>
      </c>
      <c r="AS136" s="174">
        <v>3.90625E-3</v>
      </c>
      <c r="AT136" s="174">
        <v>0.517578125</v>
      </c>
      <c r="AU136" s="174">
        <v>23.321553754838703</v>
      </c>
      <c r="BG136" s="174">
        <v>1.953125E-3</v>
      </c>
      <c r="BH136" s="174">
        <v>0.5380859375</v>
      </c>
      <c r="BI136" s="174">
        <v>5920</v>
      </c>
      <c r="BU136" s="174">
        <v>7.8125E-3</v>
      </c>
      <c r="BV136" s="174">
        <v>0.564453125</v>
      </c>
      <c r="BW136" s="174">
        <v>18200</v>
      </c>
      <c r="CI136" s="174">
        <v>3.90625E-3</v>
      </c>
      <c r="CJ136" s="174">
        <v>0.513671875</v>
      </c>
      <c r="CK136" s="174">
        <v>26.345290322580635</v>
      </c>
    </row>
    <row r="137" spans="31:89" x14ac:dyDescent="0.2">
      <c r="AE137" s="174">
        <v>3.90625E-3</v>
      </c>
      <c r="AF137" s="174">
        <v>0.517578125</v>
      </c>
      <c r="AG137" s="174">
        <v>8.0932731870967718</v>
      </c>
      <c r="AS137" s="174">
        <v>3.90625E-3</v>
      </c>
      <c r="AT137" s="174">
        <v>0.521484375</v>
      </c>
      <c r="AU137" s="174">
        <v>23.321553754838703</v>
      </c>
      <c r="BG137" s="174">
        <v>7.8125E-3</v>
      </c>
      <c r="BH137" s="174">
        <v>0.5458984375</v>
      </c>
      <c r="BI137" s="174">
        <v>5920</v>
      </c>
      <c r="BU137" s="174">
        <v>9.765625E-4</v>
      </c>
      <c r="BV137" s="174">
        <v>0.5654296875</v>
      </c>
      <c r="BW137" s="174">
        <v>18400</v>
      </c>
      <c r="CI137" s="174">
        <v>3.90625E-3</v>
      </c>
      <c r="CJ137" s="174">
        <v>0.517578125</v>
      </c>
      <c r="CK137" s="174">
        <v>26.345290322580635</v>
      </c>
    </row>
    <row r="138" spans="31:89" x14ac:dyDescent="0.2">
      <c r="AE138" s="174">
        <v>7.8125E-3</v>
      </c>
      <c r="AF138" s="174">
        <v>0.525390625</v>
      </c>
      <c r="AG138" s="174">
        <v>8.136514262709678</v>
      </c>
      <c r="AS138" s="174">
        <v>7.8125E-3</v>
      </c>
      <c r="AT138" s="174">
        <v>0.529296875</v>
      </c>
      <c r="AU138" s="174">
        <v>23.32155375483871</v>
      </c>
      <c r="BG138" s="174">
        <v>7.8125E-3</v>
      </c>
      <c r="BH138" s="174">
        <v>0.5537109375</v>
      </c>
      <c r="BI138" s="174">
        <v>5920</v>
      </c>
      <c r="BU138" s="174">
        <v>9.765625E-4</v>
      </c>
      <c r="BV138" s="174">
        <v>0.56640625</v>
      </c>
      <c r="BW138" s="174">
        <v>18400</v>
      </c>
      <c r="CI138" s="174">
        <v>7.8125E-3</v>
      </c>
      <c r="CJ138" s="174">
        <v>0.525390625</v>
      </c>
      <c r="CK138" s="174">
        <v>26.486049032258062</v>
      </c>
    </row>
    <row r="139" spans="31:89" x14ac:dyDescent="0.2">
      <c r="AE139" s="174">
        <v>1.953125E-3</v>
      </c>
      <c r="AF139" s="174">
        <v>0.52734375</v>
      </c>
      <c r="AG139" s="174">
        <v>8.1799868283870953</v>
      </c>
      <c r="AS139" s="174">
        <v>7.8125E-3</v>
      </c>
      <c r="AT139" s="174">
        <v>0.537109375</v>
      </c>
      <c r="AU139" s="174">
        <v>23.32155375483871</v>
      </c>
      <c r="BG139" s="174">
        <v>1.953125E-3</v>
      </c>
      <c r="BH139" s="174">
        <v>0.5556640625</v>
      </c>
      <c r="BI139" s="174">
        <v>5920</v>
      </c>
      <c r="BU139" s="174">
        <v>7.8125E-3</v>
      </c>
      <c r="BV139" s="174">
        <v>0.57421875</v>
      </c>
      <c r="BW139" s="174">
        <v>18600</v>
      </c>
      <c r="CI139" s="174">
        <v>1.953125E-3</v>
      </c>
      <c r="CJ139" s="174">
        <v>0.52734375</v>
      </c>
      <c r="CK139" s="174">
        <v>26.627561290322575</v>
      </c>
    </row>
    <row r="140" spans="31:89" x14ac:dyDescent="0.2">
      <c r="AE140" s="174">
        <v>3.125E-2</v>
      </c>
      <c r="AF140" s="174">
        <v>0.55859375</v>
      </c>
      <c r="AG140" s="174">
        <v>8.6857609083870955</v>
      </c>
      <c r="AS140" s="174">
        <v>7.8125E-3</v>
      </c>
      <c r="AT140" s="174">
        <v>0.544921875</v>
      </c>
      <c r="AU140" s="174">
        <v>23.787704980645159</v>
      </c>
      <c r="BG140" s="174">
        <v>1.953125E-3</v>
      </c>
      <c r="BH140" s="174">
        <v>0.5576171875</v>
      </c>
      <c r="BI140" s="174">
        <v>5920</v>
      </c>
      <c r="BU140" s="174">
        <v>7.8125E-3</v>
      </c>
      <c r="BV140" s="174">
        <v>0.58203125</v>
      </c>
      <c r="BW140" s="174">
        <v>18600</v>
      </c>
      <c r="CI140" s="174">
        <v>3.125E-2</v>
      </c>
      <c r="CJ140" s="174">
        <v>0.55859375</v>
      </c>
      <c r="CK140" s="174">
        <v>28.273961290322575</v>
      </c>
    </row>
    <row r="141" spans="31:89" x14ac:dyDescent="0.2">
      <c r="AE141" s="174">
        <v>3.90625E-3</v>
      </c>
      <c r="AF141" s="174">
        <v>0.5625</v>
      </c>
      <c r="AG141" s="174">
        <v>8.6857609083870955</v>
      </c>
      <c r="AS141" s="174">
        <v>3.125E-2</v>
      </c>
      <c r="AT141" s="174">
        <v>0.576171875</v>
      </c>
      <c r="AU141" s="174">
        <v>23.787704980645163</v>
      </c>
      <c r="BG141" s="174">
        <v>1.953125E-3</v>
      </c>
      <c r="BH141" s="174">
        <v>0.5595703125</v>
      </c>
      <c r="BI141" s="174">
        <v>5920</v>
      </c>
      <c r="BU141" s="174">
        <v>3.90625E-3</v>
      </c>
      <c r="BV141" s="174">
        <v>0.5859375</v>
      </c>
      <c r="BW141" s="174">
        <v>19680</v>
      </c>
      <c r="CI141" s="174">
        <v>3.90625E-3</v>
      </c>
      <c r="CJ141" s="174">
        <v>0.5625</v>
      </c>
      <c r="CK141" s="174">
        <v>28.273961290322575</v>
      </c>
    </row>
    <row r="142" spans="31:89" x14ac:dyDescent="0.2">
      <c r="AE142" s="174">
        <v>3.90625E-3</v>
      </c>
      <c r="AF142" s="174">
        <v>0.56640625</v>
      </c>
      <c r="AG142" s="174">
        <v>9.2822442116129036</v>
      </c>
      <c r="AS142" s="174">
        <v>1.953125E-3</v>
      </c>
      <c r="AT142" s="174">
        <v>0.578125</v>
      </c>
      <c r="AU142" s="174">
        <v>24.253856206451612</v>
      </c>
      <c r="BG142" s="174">
        <v>7.8125E-3</v>
      </c>
      <c r="BH142" s="174">
        <v>0.5673828125</v>
      </c>
      <c r="BI142" s="174">
        <v>5920</v>
      </c>
      <c r="BU142" s="174">
        <v>7.8125E-3</v>
      </c>
      <c r="BV142" s="174">
        <v>0.59375</v>
      </c>
      <c r="BW142" s="174">
        <v>19680</v>
      </c>
      <c r="CI142" s="174">
        <v>3.90625E-3</v>
      </c>
      <c r="CJ142" s="174">
        <v>0.56640625</v>
      </c>
      <c r="CK142" s="174">
        <v>30.215638709677417</v>
      </c>
    </row>
    <row r="143" spans="31:89" x14ac:dyDescent="0.2">
      <c r="AE143" s="174">
        <v>3.90625E-3</v>
      </c>
      <c r="AF143" s="174">
        <v>0.5703125</v>
      </c>
      <c r="AG143" s="174">
        <v>9.2988734430967757</v>
      </c>
      <c r="AS143" s="174">
        <v>1.953125E-3</v>
      </c>
      <c r="AT143" s="174">
        <v>0.580078125</v>
      </c>
      <c r="AU143" s="174">
        <v>24.253856206451612</v>
      </c>
      <c r="BG143" s="174">
        <v>7.8125E-3</v>
      </c>
      <c r="BH143" s="174">
        <v>0.5751953125</v>
      </c>
      <c r="BI143" s="174">
        <v>5920</v>
      </c>
      <c r="BU143" s="174">
        <v>3.90625E-3</v>
      </c>
      <c r="BV143" s="174">
        <v>0.59765625</v>
      </c>
      <c r="BW143" s="174">
        <v>19680</v>
      </c>
      <c r="CI143" s="174">
        <v>3.90625E-3</v>
      </c>
      <c r="CJ143" s="174">
        <v>0.5703125</v>
      </c>
      <c r="CK143" s="174">
        <v>30.269770322580648</v>
      </c>
    </row>
    <row r="144" spans="31:89" x14ac:dyDescent="0.2">
      <c r="AE144" s="174">
        <v>3.90625E-3</v>
      </c>
      <c r="AF144" s="174">
        <v>0.57421875</v>
      </c>
      <c r="AG144" s="174">
        <v>9.2988734430967757</v>
      </c>
      <c r="AS144" s="174">
        <v>9.765625E-4</v>
      </c>
      <c r="AT144" s="174">
        <v>0.5810546875</v>
      </c>
      <c r="AU144" s="174">
        <v>24.813237677419352</v>
      </c>
      <c r="BG144" s="174">
        <v>1.953125E-3</v>
      </c>
      <c r="BH144" s="174">
        <v>0.5771484375</v>
      </c>
      <c r="BI144" s="174">
        <v>6200</v>
      </c>
      <c r="BU144" s="174">
        <v>3.90625E-3</v>
      </c>
      <c r="BV144" s="174">
        <v>0.6015625</v>
      </c>
      <c r="BW144" s="174">
        <v>19680</v>
      </c>
      <c r="CI144" s="174">
        <v>3.90625E-3</v>
      </c>
      <c r="CJ144" s="174">
        <v>0.57421875</v>
      </c>
      <c r="CK144" s="174">
        <v>30.269770322580648</v>
      </c>
    </row>
    <row r="145" spans="31:89" x14ac:dyDescent="0.2">
      <c r="AE145" s="174">
        <v>7.8125E-3</v>
      </c>
      <c r="AF145" s="174">
        <v>0.58203125</v>
      </c>
      <c r="AG145" s="174">
        <v>9.4521515767741935</v>
      </c>
      <c r="AS145" s="174">
        <v>3.90625E-3</v>
      </c>
      <c r="AT145" s="174">
        <v>0.5849609375</v>
      </c>
      <c r="AU145" s="174">
        <v>25.465849393548385</v>
      </c>
      <c r="BG145" s="174">
        <v>7.8125E-3</v>
      </c>
      <c r="BH145" s="174">
        <v>0.5849609375</v>
      </c>
      <c r="BI145" s="174">
        <v>6200</v>
      </c>
      <c r="BU145" s="174">
        <v>3.90625E-3</v>
      </c>
      <c r="BV145" s="174">
        <v>0.60546875</v>
      </c>
      <c r="BW145" s="174">
        <v>19680</v>
      </c>
      <c r="CI145" s="174">
        <v>7.8125E-3</v>
      </c>
      <c r="CJ145" s="174">
        <v>0.58203125</v>
      </c>
      <c r="CK145" s="174">
        <v>30.768722580645157</v>
      </c>
    </row>
    <row r="146" spans="31:89" x14ac:dyDescent="0.2">
      <c r="AE146" s="174">
        <v>7.8125E-3</v>
      </c>
      <c r="AF146" s="174">
        <v>0.58984375</v>
      </c>
      <c r="AG146" s="174">
        <v>9.4521515767741935</v>
      </c>
      <c r="AS146" s="174">
        <v>3.90625E-3</v>
      </c>
      <c r="AT146" s="174">
        <v>0.5888671875</v>
      </c>
      <c r="AU146" s="174">
        <v>25.465849393548385</v>
      </c>
      <c r="BG146" s="174">
        <v>7.8125E-3</v>
      </c>
      <c r="BH146" s="174">
        <v>0.5927734375</v>
      </c>
      <c r="BI146" s="174">
        <v>6200</v>
      </c>
      <c r="BU146" s="174">
        <v>7.8125E-3</v>
      </c>
      <c r="BV146" s="174">
        <v>0.61328125</v>
      </c>
      <c r="BW146" s="174">
        <v>19680</v>
      </c>
      <c r="CI146" s="174">
        <v>7.8125E-3</v>
      </c>
      <c r="CJ146" s="174">
        <v>0.58984375</v>
      </c>
      <c r="CK146" s="174">
        <v>30.768722580645157</v>
      </c>
    </row>
    <row r="147" spans="31:89" x14ac:dyDescent="0.2">
      <c r="AE147" s="174">
        <v>3.90625E-3</v>
      </c>
      <c r="AF147" s="174">
        <v>0.59375</v>
      </c>
      <c r="AG147" s="174">
        <v>9.4806914477419344</v>
      </c>
      <c r="AS147" s="174">
        <v>7.8125E-3</v>
      </c>
      <c r="AT147" s="174">
        <v>0.5966796875</v>
      </c>
      <c r="AU147" s="174">
        <v>25.65230988387097</v>
      </c>
      <c r="BG147" s="174">
        <v>3.90625E-3</v>
      </c>
      <c r="BH147" s="174">
        <v>0.5966796875</v>
      </c>
      <c r="BI147" s="174">
        <v>6240</v>
      </c>
      <c r="BU147" s="174">
        <v>7.8125E-3</v>
      </c>
      <c r="BV147" s="174">
        <v>0.62109375</v>
      </c>
      <c r="BW147" s="174">
        <v>20000</v>
      </c>
      <c r="CI147" s="174">
        <v>3.90625E-3</v>
      </c>
      <c r="CJ147" s="174">
        <v>0.59375</v>
      </c>
      <c r="CK147" s="174">
        <v>30.861625806451606</v>
      </c>
    </row>
    <row r="148" spans="31:89" x14ac:dyDescent="0.2">
      <c r="AE148" s="174">
        <v>7.8125E-3</v>
      </c>
      <c r="AF148" s="174">
        <v>0.6015625</v>
      </c>
      <c r="AG148" s="174">
        <v>9.899212799999999</v>
      </c>
      <c r="AS148" s="174">
        <v>7.8125E-3</v>
      </c>
      <c r="AT148" s="174">
        <v>0.6044921875</v>
      </c>
      <c r="AU148" s="174">
        <v>25.65230988387097</v>
      </c>
      <c r="BG148" s="174">
        <v>3.90625E-3</v>
      </c>
      <c r="BH148" s="174">
        <v>0.6005859375</v>
      </c>
      <c r="BI148" s="174">
        <v>6240</v>
      </c>
      <c r="BU148" s="174">
        <v>3.90625E-3</v>
      </c>
      <c r="BV148" s="174">
        <v>0.625</v>
      </c>
      <c r="BW148" s="174">
        <v>20400</v>
      </c>
      <c r="CI148" s="174">
        <v>7.8125E-3</v>
      </c>
      <c r="CJ148" s="174">
        <v>0.6015625</v>
      </c>
      <c r="CK148" s="174">
        <v>32.223999999999997</v>
      </c>
    </row>
    <row r="149" spans="31:89" x14ac:dyDescent="0.2">
      <c r="AE149" s="174">
        <v>7.8125E-3</v>
      </c>
      <c r="AF149" s="174">
        <v>0.609375</v>
      </c>
      <c r="AG149" s="174">
        <v>9.899212799999999</v>
      </c>
      <c r="AS149" s="174">
        <v>9.765625E-4</v>
      </c>
      <c r="AT149" s="174">
        <v>0.60546875</v>
      </c>
      <c r="AU149" s="174">
        <v>26.584612335483872</v>
      </c>
      <c r="BG149" s="174">
        <v>3.90625E-3</v>
      </c>
      <c r="BH149" s="174">
        <v>0.6044921875</v>
      </c>
      <c r="BI149" s="174">
        <v>6240</v>
      </c>
      <c r="BU149" s="174">
        <v>3.90625E-3</v>
      </c>
      <c r="BV149" s="174">
        <v>0.62890625</v>
      </c>
      <c r="BW149" s="174">
        <v>20400</v>
      </c>
      <c r="CI149" s="174">
        <v>7.8125E-3</v>
      </c>
      <c r="CJ149" s="174">
        <v>0.609375</v>
      </c>
      <c r="CK149" s="174">
        <v>32.223999999999997</v>
      </c>
    </row>
    <row r="150" spans="31:89" x14ac:dyDescent="0.2">
      <c r="AE150" s="174">
        <v>3.90625E-3</v>
      </c>
      <c r="AF150" s="174">
        <v>0.61328125</v>
      </c>
      <c r="AG150" s="174">
        <v>9.9630786890322582</v>
      </c>
      <c r="AS150" s="174">
        <v>3.90625E-3</v>
      </c>
      <c r="AT150" s="174">
        <v>0.609375</v>
      </c>
      <c r="AU150" s="174">
        <v>26.584612335483872</v>
      </c>
      <c r="BG150" s="174">
        <v>3.90625E-3</v>
      </c>
      <c r="BH150" s="174">
        <v>0.6083984375</v>
      </c>
      <c r="BI150" s="174">
        <v>6240</v>
      </c>
      <c r="BU150" s="174">
        <v>9.765625E-4</v>
      </c>
      <c r="BV150" s="174">
        <v>0.6298828125</v>
      </c>
      <c r="BW150" s="174">
        <v>20480</v>
      </c>
      <c r="CI150" s="174">
        <v>3.90625E-3</v>
      </c>
      <c r="CJ150" s="174">
        <v>0.61328125</v>
      </c>
      <c r="CK150" s="174">
        <v>32.431896774193547</v>
      </c>
    </row>
    <row r="151" spans="31:89" x14ac:dyDescent="0.2">
      <c r="AE151" s="174">
        <v>3.90625E-3</v>
      </c>
      <c r="AF151" s="174">
        <v>0.6171875</v>
      </c>
      <c r="AG151" s="174">
        <v>9.9630786890322582</v>
      </c>
      <c r="AS151" s="174">
        <v>1.953125E-3</v>
      </c>
      <c r="AT151" s="174">
        <v>0.611328125</v>
      </c>
      <c r="AU151" s="174">
        <v>27.983066012903226</v>
      </c>
      <c r="BG151" s="174">
        <v>3.90625E-3</v>
      </c>
      <c r="BH151" s="174">
        <v>0.6123046875</v>
      </c>
      <c r="BI151" s="174">
        <v>6240</v>
      </c>
      <c r="BU151" s="174">
        <v>3.90625E-3</v>
      </c>
      <c r="BV151" s="174">
        <v>0.6337890625</v>
      </c>
      <c r="BW151" s="174">
        <v>20800</v>
      </c>
      <c r="CI151" s="174">
        <v>3.90625E-3</v>
      </c>
      <c r="CJ151" s="174">
        <v>0.6171875</v>
      </c>
      <c r="CK151" s="174">
        <v>32.431896774193547</v>
      </c>
    </row>
    <row r="152" spans="31:89" x14ac:dyDescent="0.2">
      <c r="AE152" s="174">
        <v>7.8125E-3</v>
      </c>
      <c r="AF152" s="174">
        <v>0.625</v>
      </c>
      <c r="AG152" s="174">
        <v>9.9661990482580638</v>
      </c>
      <c r="AS152" s="174">
        <v>1.953125E-3</v>
      </c>
      <c r="AT152" s="174">
        <v>0.61328125</v>
      </c>
      <c r="AU152" s="174">
        <v>27.983066012903226</v>
      </c>
      <c r="BG152" s="174">
        <v>7.8125E-3</v>
      </c>
      <c r="BH152" s="174">
        <v>0.6201171875</v>
      </c>
      <c r="BI152" s="174">
        <v>6560</v>
      </c>
      <c r="BU152" s="174">
        <v>3.90625E-3</v>
      </c>
      <c r="BV152" s="174">
        <v>0.6376953125</v>
      </c>
      <c r="BW152" s="174">
        <v>20800</v>
      </c>
      <c r="CI152" s="174">
        <v>7.8125E-3</v>
      </c>
      <c r="CJ152" s="174">
        <v>0.625</v>
      </c>
      <c r="CK152" s="174">
        <v>32.44205419354838</v>
      </c>
    </row>
    <row r="153" spans="31:89" x14ac:dyDescent="0.2">
      <c r="AE153" s="174">
        <v>9.765625E-4</v>
      </c>
      <c r="AF153" s="174">
        <v>0.6259765625</v>
      </c>
      <c r="AG153" s="174">
        <v>9.9661990482580638</v>
      </c>
      <c r="AS153" s="174">
        <v>7.8125E-3</v>
      </c>
      <c r="AT153" s="174">
        <v>0.62109375</v>
      </c>
      <c r="AU153" s="174">
        <v>28.542447483870966</v>
      </c>
      <c r="BG153" s="174">
        <v>7.8125E-3</v>
      </c>
      <c r="BH153" s="174">
        <v>0.6279296875</v>
      </c>
      <c r="BI153" s="174">
        <v>6560</v>
      </c>
      <c r="BU153" s="174">
        <v>3.90625E-3</v>
      </c>
      <c r="BV153" s="174">
        <v>0.6416015625</v>
      </c>
      <c r="BW153" s="174">
        <v>20800</v>
      </c>
      <c r="CI153" s="174">
        <v>9.765625E-4</v>
      </c>
      <c r="CJ153" s="174">
        <v>0.6259765625</v>
      </c>
      <c r="CK153" s="174">
        <v>32.44205419354838</v>
      </c>
    </row>
    <row r="154" spans="31:89" x14ac:dyDescent="0.2">
      <c r="AE154" s="174">
        <v>9.765625E-4</v>
      </c>
      <c r="AF154" s="174">
        <v>0.626953125</v>
      </c>
      <c r="AG154" s="174">
        <v>10.08833384051613</v>
      </c>
      <c r="AS154" s="174">
        <v>1.953125E-3</v>
      </c>
      <c r="AT154" s="174">
        <v>0.623046875</v>
      </c>
      <c r="AU154" s="174">
        <v>28.72890797419355</v>
      </c>
      <c r="BG154" s="174">
        <v>3.90625E-3</v>
      </c>
      <c r="BH154" s="174">
        <v>0.6318359375</v>
      </c>
      <c r="BI154" s="174">
        <v>6560</v>
      </c>
      <c r="BU154" s="174">
        <v>3.90625E-3</v>
      </c>
      <c r="BV154" s="174">
        <v>0.6455078125</v>
      </c>
      <c r="BW154" s="174">
        <v>20800</v>
      </c>
      <c r="CI154" s="174">
        <v>9.765625E-4</v>
      </c>
      <c r="CJ154" s="174">
        <v>0.626953125</v>
      </c>
      <c r="CK154" s="174">
        <v>32.839628387096774</v>
      </c>
    </row>
    <row r="155" spans="31:89" x14ac:dyDescent="0.2">
      <c r="AE155" s="174">
        <v>9.765625E-4</v>
      </c>
      <c r="AF155" s="174">
        <v>0.6279296875</v>
      </c>
      <c r="AG155" s="174">
        <v>10.08833384051613</v>
      </c>
      <c r="AS155" s="174">
        <v>1.953125E-3</v>
      </c>
      <c r="AT155" s="174">
        <v>0.625</v>
      </c>
      <c r="AU155" s="174">
        <v>28.72890797419355</v>
      </c>
      <c r="BG155" s="174">
        <v>3.90625E-3</v>
      </c>
      <c r="BH155" s="174">
        <v>0.6357421875</v>
      </c>
      <c r="BI155" s="174">
        <v>6560</v>
      </c>
      <c r="BU155" s="174">
        <v>3.90625E-3</v>
      </c>
      <c r="BV155" s="174">
        <v>0.6494140625</v>
      </c>
      <c r="BW155" s="174">
        <v>20800</v>
      </c>
      <c r="CI155" s="174">
        <v>9.765625E-4</v>
      </c>
      <c r="CJ155" s="174">
        <v>0.6279296875</v>
      </c>
      <c r="CK155" s="174">
        <v>32.839628387096774</v>
      </c>
    </row>
    <row r="156" spans="31:89" x14ac:dyDescent="0.2">
      <c r="AE156" s="174">
        <v>3.90625E-3</v>
      </c>
      <c r="AF156" s="174">
        <v>0.6318359375</v>
      </c>
      <c r="AG156" s="174">
        <v>10.474005801290321</v>
      </c>
      <c r="AS156" s="174">
        <v>3.90625E-3</v>
      </c>
      <c r="AT156" s="174">
        <v>0.62890625</v>
      </c>
      <c r="AU156" s="174">
        <v>30.313822141935482</v>
      </c>
      <c r="BG156" s="174">
        <v>7.8125E-3</v>
      </c>
      <c r="BH156" s="174">
        <v>0.6435546875</v>
      </c>
      <c r="BI156" s="174">
        <v>6560</v>
      </c>
      <c r="BU156" s="174">
        <v>3.90625E-3</v>
      </c>
      <c r="BV156" s="174">
        <v>0.6533203125</v>
      </c>
      <c r="BW156" s="174">
        <v>20800</v>
      </c>
      <c r="CI156" s="174">
        <v>3.90625E-3</v>
      </c>
      <c r="CJ156" s="174">
        <v>0.6318359375</v>
      </c>
      <c r="CK156" s="174">
        <v>34.095070967741925</v>
      </c>
    </row>
    <row r="157" spans="31:89" x14ac:dyDescent="0.2">
      <c r="AE157" s="174">
        <v>3.90625E-3</v>
      </c>
      <c r="AF157" s="174">
        <v>0.6357421875</v>
      </c>
      <c r="AG157" s="174">
        <v>10.474005801290321</v>
      </c>
      <c r="AS157" s="174">
        <v>3.90625E-3</v>
      </c>
      <c r="AT157" s="174">
        <v>0.6328125</v>
      </c>
      <c r="AU157" s="174">
        <v>30.313822141935482</v>
      </c>
      <c r="BG157" s="174">
        <v>3.90625E-3</v>
      </c>
      <c r="BH157" s="174">
        <v>0.6474609375</v>
      </c>
      <c r="BI157" s="174">
        <v>6560</v>
      </c>
      <c r="BU157" s="174">
        <v>3.90625E-3</v>
      </c>
      <c r="BV157" s="174">
        <v>0.6572265625</v>
      </c>
      <c r="BW157" s="174">
        <v>21200</v>
      </c>
      <c r="CI157" s="174">
        <v>3.90625E-3</v>
      </c>
      <c r="CJ157" s="174">
        <v>0.6357421875</v>
      </c>
      <c r="CK157" s="174">
        <v>34.095070967741925</v>
      </c>
    </row>
    <row r="158" spans="31:89" x14ac:dyDescent="0.2">
      <c r="AE158" s="174">
        <v>1.953125E-3</v>
      </c>
      <c r="AF158" s="174">
        <v>0.6376953125</v>
      </c>
      <c r="AG158" s="174">
        <v>10.521255143225803</v>
      </c>
      <c r="AS158" s="174">
        <v>7.8125E-3</v>
      </c>
      <c r="AT158" s="174">
        <v>0.640625</v>
      </c>
      <c r="AU158" s="174">
        <v>30.779973367741935</v>
      </c>
      <c r="BG158" s="174">
        <v>3.90625E-3</v>
      </c>
      <c r="BH158" s="174">
        <v>0.6513671875</v>
      </c>
      <c r="BI158" s="174">
        <v>6560</v>
      </c>
      <c r="BU158" s="174">
        <v>1.953125E-3</v>
      </c>
      <c r="BV158" s="174">
        <v>0.6591796875</v>
      </c>
      <c r="BW158" s="174">
        <v>21440</v>
      </c>
      <c r="CI158" s="174">
        <v>1.953125E-3</v>
      </c>
      <c r="CJ158" s="174">
        <v>0.6376953125</v>
      </c>
      <c r="CK158" s="174">
        <v>34.248877419354827</v>
      </c>
    </row>
    <row r="159" spans="31:89" x14ac:dyDescent="0.2">
      <c r="AE159" s="174">
        <v>1.953125E-3</v>
      </c>
      <c r="AF159" s="174">
        <v>0.6396484375</v>
      </c>
      <c r="AG159" s="174">
        <v>10.521255143225803</v>
      </c>
      <c r="AS159" s="174">
        <v>7.8125E-3</v>
      </c>
      <c r="AT159" s="174">
        <v>0.6484375</v>
      </c>
      <c r="AU159" s="174">
        <v>30.779973367741935</v>
      </c>
      <c r="BG159" s="174">
        <v>1.953125E-3</v>
      </c>
      <c r="BH159" s="174">
        <v>0.6533203125</v>
      </c>
      <c r="BI159" s="174">
        <v>6560</v>
      </c>
      <c r="BU159" s="174">
        <v>1.953125E-3</v>
      </c>
      <c r="BV159" s="174">
        <v>0.6611328125</v>
      </c>
      <c r="BW159" s="174">
        <v>21440</v>
      </c>
      <c r="CI159" s="174">
        <v>1.953125E-3</v>
      </c>
      <c r="CJ159" s="174">
        <v>0.6396484375</v>
      </c>
      <c r="CK159" s="174">
        <v>34.248877419354827</v>
      </c>
    </row>
    <row r="160" spans="31:89" x14ac:dyDescent="0.2">
      <c r="AE160" s="174">
        <v>7.8125E-3</v>
      </c>
      <c r="AF160" s="174">
        <v>0.6474609375</v>
      </c>
      <c r="AG160" s="174">
        <v>10.747861718709679</v>
      </c>
      <c r="AS160" s="174">
        <v>1.953125E-3</v>
      </c>
      <c r="AT160" s="174">
        <v>0.650390625</v>
      </c>
      <c r="AU160" s="174">
        <v>30.779973367741935</v>
      </c>
      <c r="BG160" s="174">
        <v>7.8125E-3</v>
      </c>
      <c r="BH160" s="174">
        <v>0.6611328125</v>
      </c>
      <c r="BI160" s="174">
        <v>6560</v>
      </c>
      <c r="BU160" s="174">
        <v>9.765625E-4</v>
      </c>
      <c r="BV160" s="174">
        <v>0.662109375</v>
      </c>
      <c r="BW160" s="174">
        <v>21920</v>
      </c>
      <c r="CI160" s="174">
        <v>7.8125E-3</v>
      </c>
      <c r="CJ160" s="174">
        <v>0.6474609375</v>
      </c>
      <c r="CK160" s="174">
        <v>34.986529032258069</v>
      </c>
    </row>
    <row r="161" spans="31:89" x14ac:dyDescent="0.2">
      <c r="AE161" s="174">
        <v>7.8125E-3</v>
      </c>
      <c r="AF161" s="174">
        <v>0.6552734375</v>
      </c>
      <c r="AG161" s="174">
        <v>10.747861718709679</v>
      </c>
      <c r="AS161" s="174">
        <v>1.953125E-3</v>
      </c>
      <c r="AT161" s="174">
        <v>0.65234375</v>
      </c>
      <c r="AU161" s="174">
        <v>30.779973367741935</v>
      </c>
      <c r="BG161" s="174">
        <v>1.5625E-2</v>
      </c>
      <c r="BH161" s="174">
        <v>0.6767578125</v>
      </c>
      <c r="BI161" s="174">
        <v>6720</v>
      </c>
      <c r="BU161" s="174">
        <v>3.90625E-3</v>
      </c>
      <c r="BV161" s="174">
        <v>0.666015625</v>
      </c>
      <c r="BW161" s="174">
        <v>22560</v>
      </c>
      <c r="CI161" s="174">
        <v>7.8125E-3</v>
      </c>
      <c r="CJ161" s="174">
        <v>0.6552734375</v>
      </c>
      <c r="CK161" s="174">
        <v>34.986529032258069</v>
      </c>
    </row>
    <row r="162" spans="31:89" x14ac:dyDescent="0.2">
      <c r="AE162" s="174">
        <v>1.953125E-3</v>
      </c>
      <c r="AF162" s="174">
        <v>0.6572265625</v>
      </c>
      <c r="AG162" s="174">
        <v>10.84442795767742</v>
      </c>
      <c r="AS162" s="174">
        <v>1.953125E-3</v>
      </c>
      <c r="AT162" s="174">
        <v>0.654296875</v>
      </c>
      <c r="AU162" s="174">
        <v>31.013048980645159</v>
      </c>
      <c r="BG162" s="174">
        <v>3.90625E-3</v>
      </c>
      <c r="BH162" s="174">
        <v>0.6806640625</v>
      </c>
      <c r="BI162" s="174">
        <v>6800</v>
      </c>
      <c r="BU162" s="174">
        <v>3.90625E-3</v>
      </c>
      <c r="BV162" s="174">
        <v>0.669921875</v>
      </c>
      <c r="BW162" s="174">
        <v>22560</v>
      </c>
      <c r="CI162" s="174">
        <v>1.953125E-3</v>
      </c>
      <c r="CJ162" s="174">
        <v>0.6572265625</v>
      </c>
      <c r="CK162" s="174">
        <v>35.300872258064516</v>
      </c>
    </row>
    <row r="163" spans="31:89" x14ac:dyDescent="0.2">
      <c r="AE163" s="174">
        <v>1.953125E-3</v>
      </c>
      <c r="AF163" s="174">
        <v>0.6591796875</v>
      </c>
      <c r="AG163" s="174">
        <v>10.84556955251613</v>
      </c>
      <c r="AS163" s="174">
        <v>7.8125E-3</v>
      </c>
      <c r="AT163" s="174">
        <v>0.662109375</v>
      </c>
      <c r="AU163" s="174">
        <v>31.712275819354836</v>
      </c>
      <c r="BG163" s="174">
        <v>9.765625E-4</v>
      </c>
      <c r="BH163" s="174">
        <v>0.681640625</v>
      </c>
      <c r="BI163" s="174">
        <v>6800</v>
      </c>
      <c r="BU163" s="174">
        <v>1.953125E-3</v>
      </c>
      <c r="BV163" s="174">
        <v>0.671875</v>
      </c>
      <c r="BW163" s="174">
        <v>22640</v>
      </c>
      <c r="CI163" s="174">
        <v>1.953125E-3</v>
      </c>
      <c r="CJ163" s="174">
        <v>0.6591796875</v>
      </c>
      <c r="CK163" s="174">
        <v>35.304588387096771</v>
      </c>
    </row>
    <row r="164" spans="31:89" x14ac:dyDescent="0.2">
      <c r="AE164" s="174">
        <v>1.953125E-3</v>
      </c>
      <c r="AF164" s="174">
        <v>0.6611328125</v>
      </c>
      <c r="AG164" s="174">
        <v>10.84556955251613</v>
      </c>
      <c r="AS164" s="174">
        <v>1.953125E-3</v>
      </c>
      <c r="AT164" s="174">
        <v>0.6640625</v>
      </c>
      <c r="AU164" s="174">
        <v>32.12248889806451</v>
      </c>
      <c r="BG164" s="174">
        <v>3.90625E-3</v>
      </c>
      <c r="BH164" s="174">
        <v>0.685546875</v>
      </c>
      <c r="BI164" s="174">
        <v>6800</v>
      </c>
      <c r="BU164" s="174">
        <v>9.765625E-4</v>
      </c>
      <c r="BV164" s="174">
        <v>0.6728515625</v>
      </c>
      <c r="BW164" s="174">
        <v>22720</v>
      </c>
      <c r="CI164" s="174">
        <v>1.953125E-3</v>
      </c>
      <c r="CJ164" s="174">
        <v>0.6611328125</v>
      </c>
      <c r="CK164" s="174">
        <v>35.304588387096771</v>
      </c>
    </row>
    <row r="165" spans="31:89" x14ac:dyDescent="0.2">
      <c r="AE165" s="174">
        <v>7.8125E-3</v>
      </c>
      <c r="AF165" s="174">
        <v>0.6689453125</v>
      </c>
      <c r="AG165" s="174">
        <v>11.114266095483872</v>
      </c>
      <c r="AS165" s="174">
        <v>1.953125E-3</v>
      </c>
      <c r="AT165" s="174">
        <v>0.666015625</v>
      </c>
      <c r="AU165" s="174">
        <v>32.644578270967735</v>
      </c>
      <c r="BG165" s="174">
        <v>1.953125E-3</v>
      </c>
      <c r="BH165" s="174">
        <v>0.6875</v>
      </c>
      <c r="BI165" s="174">
        <v>7200</v>
      </c>
      <c r="BU165" s="174">
        <v>9.765625E-4</v>
      </c>
      <c r="BV165" s="174">
        <v>0.673828125</v>
      </c>
      <c r="BW165" s="174">
        <v>22720</v>
      </c>
      <c r="CI165" s="174">
        <v>7.8125E-3</v>
      </c>
      <c r="CJ165" s="174">
        <v>0.6689453125</v>
      </c>
      <c r="CK165" s="174">
        <v>36.179251612903229</v>
      </c>
    </row>
    <row r="166" spans="31:89" x14ac:dyDescent="0.2">
      <c r="AE166" s="174">
        <v>1.953125E-3</v>
      </c>
      <c r="AF166" s="174">
        <v>0.6708984375</v>
      </c>
      <c r="AG166" s="174">
        <v>11.214964273548386</v>
      </c>
      <c r="AS166" s="174">
        <v>1.953125E-3</v>
      </c>
      <c r="AT166" s="174">
        <v>0.66796875</v>
      </c>
      <c r="AU166" s="174">
        <v>32.644578270967735</v>
      </c>
      <c r="BG166" s="174">
        <v>1.953125E-3</v>
      </c>
      <c r="BH166" s="174">
        <v>0.689453125</v>
      </c>
      <c r="BI166" s="174">
        <v>7200</v>
      </c>
      <c r="BU166" s="174">
        <v>1.953125E-3</v>
      </c>
      <c r="BV166" s="174">
        <v>0.67578125</v>
      </c>
      <c r="BW166" s="174">
        <v>23360</v>
      </c>
      <c r="CI166" s="174">
        <v>1.953125E-3</v>
      </c>
      <c r="CJ166" s="174">
        <v>0.6708984375</v>
      </c>
      <c r="CK166" s="174">
        <v>36.507045161290314</v>
      </c>
    </row>
    <row r="167" spans="31:89" x14ac:dyDescent="0.2">
      <c r="AE167" s="174">
        <v>1.953125E-3</v>
      </c>
      <c r="AF167" s="174">
        <v>0.6728515625</v>
      </c>
      <c r="AG167" s="174">
        <v>11.358535679999999</v>
      </c>
      <c r="AS167" s="174">
        <v>3.90625E-3</v>
      </c>
      <c r="AT167" s="174">
        <v>0.671875</v>
      </c>
      <c r="AU167" s="174">
        <v>32.644578270967742</v>
      </c>
      <c r="BG167" s="174">
        <v>1.953125E-3</v>
      </c>
      <c r="BH167" s="174">
        <v>0.69140625</v>
      </c>
      <c r="BI167" s="174">
        <v>7200</v>
      </c>
      <c r="BU167" s="174">
        <v>1.5625E-2</v>
      </c>
      <c r="BV167" s="174">
        <v>0.69140625</v>
      </c>
      <c r="BW167" s="174">
        <v>23520</v>
      </c>
      <c r="CI167" s="174">
        <v>1.953125E-3</v>
      </c>
      <c r="CJ167" s="174">
        <v>0.6728515625</v>
      </c>
      <c r="CK167" s="174">
        <v>36.974399999999996</v>
      </c>
    </row>
    <row r="168" spans="31:89" x14ac:dyDescent="0.2">
      <c r="AE168" s="174">
        <v>1.953125E-3</v>
      </c>
      <c r="AF168" s="174">
        <v>0.6748046875</v>
      </c>
      <c r="AG168" s="174">
        <v>11.358535679999999</v>
      </c>
      <c r="AS168" s="174">
        <v>3.90625E-3</v>
      </c>
      <c r="AT168" s="174">
        <v>0.67578125</v>
      </c>
      <c r="AU168" s="174">
        <v>32.644578270967742</v>
      </c>
      <c r="BG168" s="174">
        <v>1.953125E-3</v>
      </c>
      <c r="BH168" s="174">
        <v>0.693359375</v>
      </c>
      <c r="BI168" s="174">
        <v>7200</v>
      </c>
      <c r="BU168" s="174">
        <v>1.5625E-2</v>
      </c>
      <c r="BV168" s="174">
        <v>0.70703125</v>
      </c>
      <c r="BW168" s="174">
        <v>23520</v>
      </c>
      <c r="CI168" s="174">
        <v>1.953125E-3</v>
      </c>
      <c r="CJ168" s="174">
        <v>0.6748046875</v>
      </c>
      <c r="CK168" s="174">
        <v>36.974399999999996</v>
      </c>
    </row>
    <row r="169" spans="31:89" x14ac:dyDescent="0.2">
      <c r="AE169" s="174">
        <v>9.765625E-4</v>
      </c>
      <c r="AF169" s="174">
        <v>0.67578125</v>
      </c>
      <c r="AG169" s="174">
        <v>11.451981559741935</v>
      </c>
      <c r="AS169" s="174">
        <v>1.5625E-2</v>
      </c>
      <c r="AT169" s="174">
        <v>0.69140625</v>
      </c>
      <c r="AU169" s="174">
        <v>33.297189987096772</v>
      </c>
      <c r="BG169" s="174">
        <v>3.90625E-3</v>
      </c>
      <c r="BH169" s="174">
        <v>0.697265625</v>
      </c>
      <c r="BI169" s="174">
        <v>7520</v>
      </c>
      <c r="BU169" s="174">
        <v>9.765625E-4</v>
      </c>
      <c r="BV169" s="174">
        <v>0.7080078125</v>
      </c>
      <c r="BW169" s="174">
        <v>23840</v>
      </c>
      <c r="CI169" s="174">
        <v>9.765625E-4</v>
      </c>
      <c r="CJ169" s="174">
        <v>0.67578125</v>
      </c>
      <c r="CK169" s="174">
        <v>37.278585806451609</v>
      </c>
    </row>
    <row r="170" spans="31:89" x14ac:dyDescent="0.2">
      <c r="AE170" s="174">
        <v>9.765625E-4</v>
      </c>
      <c r="AF170" s="174">
        <v>0.6767578125</v>
      </c>
      <c r="AG170" s="174">
        <v>12.018063558193548</v>
      </c>
      <c r="AS170" s="174">
        <v>9.765625E-4</v>
      </c>
      <c r="AT170" s="174">
        <v>0.6923828125</v>
      </c>
      <c r="AU170" s="174">
        <v>33.949801703225809</v>
      </c>
      <c r="BG170" s="174">
        <v>3.90625E-3</v>
      </c>
      <c r="BH170" s="174">
        <v>0.701171875</v>
      </c>
      <c r="BI170" s="174">
        <v>7520</v>
      </c>
      <c r="BU170" s="174">
        <v>1.5625E-2</v>
      </c>
      <c r="BV170" s="174">
        <v>0.7236328125</v>
      </c>
      <c r="BW170" s="174">
        <v>24000</v>
      </c>
      <c r="CI170" s="174">
        <v>9.765625E-4</v>
      </c>
      <c r="CJ170" s="174">
        <v>0.6767578125</v>
      </c>
      <c r="CK170" s="174">
        <v>39.121300645161284</v>
      </c>
    </row>
    <row r="171" spans="31:89" x14ac:dyDescent="0.2">
      <c r="AE171" s="174">
        <v>9.765625E-4</v>
      </c>
      <c r="AF171" s="174">
        <v>0.677734375</v>
      </c>
      <c r="AG171" s="174">
        <v>12.018063558193548</v>
      </c>
      <c r="AS171" s="174">
        <v>9.765625E-4</v>
      </c>
      <c r="AT171" s="174">
        <v>0.693359375</v>
      </c>
      <c r="AU171" s="174">
        <v>33.949801703225809</v>
      </c>
      <c r="BG171" s="174">
        <v>9.765625E-4</v>
      </c>
      <c r="BH171" s="174">
        <v>0.7021484375</v>
      </c>
      <c r="BI171" s="174">
        <v>7520</v>
      </c>
      <c r="BU171" s="174">
        <v>1.5625E-2</v>
      </c>
      <c r="BV171" s="174">
        <v>0.7392578125</v>
      </c>
      <c r="BW171" s="174">
        <v>24000</v>
      </c>
      <c r="CI171" s="174">
        <v>9.765625E-4</v>
      </c>
      <c r="CJ171" s="174">
        <v>0.677734375</v>
      </c>
      <c r="CK171" s="174">
        <v>39.121300645161284</v>
      </c>
    </row>
    <row r="172" spans="31:89" x14ac:dyDescent="0.2">
      <c r="AE172" s="174">
        <v>1.953125E-3</v>
      </c>
      <c r="AF172" s="174">
        <v>0.6796875</v>
      </c>
      <c r="AG172" s="174">
        <v>12.160065271741935</v>
      </c>
      <c r="AS172" s="174">
        <v>3.90625E-3</v>
      </c>
      <c r="AT172" s="174">
        <v>0.697265625</v>
      </c>
      <c r="AU172" s="174">
        <v>34.415952929032258</v>
      </c>
      <c r="BG172" s="174">
        <v>1.5625E-2</v>
      </c>
      <c r="BH172" s="174">
        <v>0.7177734375</v>
      </c>
      <c r="BI172" s="174">
        <v>7840</v>
      </c>
      <c r="BU172" s="174">
        <v>3.90625E-3</v>
      </c>
      <c r="BV172" s="174">
        <v>0.7431640625</v>
      </c>
      <c r="BW172" s="174">
        <v>24800</v>
      </c>
      <c r="CI172" s="174">
        <v>1.953125E-3</v>
      </c>
      <c r="CJ172" s="174">
        <v>0.6796875</v>
      </c>
      <c r="CK172" s="174">
        <v>39.58354580645161</v>
      </c>
    </row>
    <row r="173" spans="31:89" x14ac:dyDescent="0.2">
      <c r="AE173" s="174">
        <v>1.5625E-2</v>
      </c>
      <c r="AF173" s="174">
        <v>0.6953125</v>
      </c>
      <c r="AG173" s="174">
        <v>12.160065271741935</v>
      </c>
      <c r="AS173" s="174">
        <v>1.5625E-2</v>
      </c>
      <c r="AT173" s="174">
        <v>0.712890625</v>
      </c>
      <c r="AU173" s="174">
        <v>34.975334400000001</v>
      </c>
      <c r="BG173" s="174">
        <v>3.90625E-3</v>
      </c>
      <c r="BH173" s="174">
        <v>0.7216796875</v>
      </c>
      <c r="BI173" s="174">
        <v>7840</v>
      </c>
      <c r="BU173" s="174">
        <v>9.765625E-4</v>
      </c>
      <c r="BV173" s="174">
        <v>0.744140625</v>
      </c>
      <c r="BW173" s="174">
        <v>25280</v>
      </c>
      <c r="CI173" s="174">
        <v>1.5625E-2</v>
      </c>
      <c r="CJ173" s="174">
        <v>0.6953125</v>
      </c>
      <c r="CK173" s="174">
        <v>39.58354580645161</v>
      </c>
    </row>
    <row r="174" spans="31:89" x14ac:dyDescent="0.2">
      <c r="AE174" s="174">
        <v>1.5625E-2</v>
      </c>
      <c r="AF174" s="174">
        <v>0.7109375</v>
      </c>
      <c r="AG174" s="174">
        <v>12.51771425032258</v>
      </c>
      <c r="AS174" s="174">
        <v>3.90625E-3</v>
      </c>
      <c r="AT174" s="174">
        <v>0.716796875</v>
      </c>
      <c r="AU174" s="174">
        <v>34.975334400000001</v>
      </c>
      <c r="BG174" s="174">
        <v>1.5625E-2</v>
      </c>
      <c r="BH174" s="174">
        <v>0.7373046875</v>
      </c>
      <c r="BI174" s="174">
        <v>7840</v>
      </c>
      <c r="BU174" s="174">
        <v>3.90625E-3</v>
      </c>
      <c r="BV174" s="174">
        <v>0.748046875</v>
      </c>
      <c r="BW174" s="174">
        <v>25280</v>
      </c>
      <c r="CI174" s="174">
        <v>1.5625E-2</v>
      </c>
      <c r="CJ174" s="174">
        <v>0.7109375</v>
      </c>
      <c r="CK174" s="174">
        <v>40.747767741935476</v>
      </c>
    </row>
    <row r="175" spans="31:89" x14ac:dyDescent="0.2">
      <c r="AE175" s="174">
        <v>3.90625E-3</v>
      </c>
      <c r="AF175" s="174">
        <v>0.71484375</v>
      </c>
      <c r="AG175" s="174">
        <v>12.568806961548386</v>
      </c>
      <c r="AS175" s="174">
        <v>3.90625E-3</v>
      </c>
      <c r="AT175" s="174">
        <v>0.720703125</v>
      </c>
      <c r="AU175" s="174">
        <v>34.975334400000001</v>
      </c>
      <c r="BG175" s="174">
        <v>3.90625E-3</v>
      </c>
      <c r="BH175" s="174">
        <v>0.7412109375</v>
      </c>
      <c r="BI175" s="174">
        <v>7840</v>
      </c>
      <c r="BU175" s="174">
        <v>3.90625E-3</v>
      </c>
      <c r="BV175" s="174">
        <v>0.751953125</v>
      </c>
      <c r="BW175" s="174">
        <v>26240</v>
      </c>
      <c r="CI175" s="174">
        <v>3.90625E-3</v>
      </c>
      <c r="CJ175" s="174">
        <v>0.71484375</v>
      </c>
      <c r="CK175" s="174">
        <v>40.914085161290316</v>
      </c>
    </row>
    <row r="176" spans="31:89" x14ac:dyDescent="0.2">
      <c r="AE176" s="174">
        <v>3.90625E-3</v>
      </c>
      <c r="AF176" s="174">
        <v>0.71875</v>
      </c>
      <c r="AG176" s="174">
        <v>12.70201839483871</v>
      </c>
      <c r="AS176" s="174">
        <v>1.5625E-2</v>
      </c>
      <c r="AT176" s="174">
        <v>0.736328125</v>
      </c>
      <c r="AU176" s="174">
        <v>34.975334400000001</v>
      </c>
      <c r="BG176" s="174">
        <v>3.90625E-3</v>
      </c>
      <c r="BH176" s="174">
        <v>0.7451171875</v>
      </c>
      <c r="BI176" s="174">
        <v>7840</v>
      </c>
      <c r="BU176" s="174">
        <v>1.5625E-2</v>
      </c>
      <c r="BV176" s="174">
        <v>0.767578125</v>
      </c>
      <c r="BW176" s="174">
        <v>27200</v>
      </c>
      <c r="CI176" s="174">
        <v>3.90625E-3</v>
      </c>
      <c r="CJ176" s="174">
        <v>0.71875</v>
      </c>
      <c r="CK176" s="174">
        <v>41.347716129032257</v>
      </c>
    </row>
    <row r="177" spans="31:89" x14ac:dyDescent="0.2">
      <c r="AE177" s="174">
        <v>3.90625E-3</v>
      </c>
      <c r="AF177" s="174">
        <v>0.72265625</v>
      </c>
      <c r="AG177" s="174">
        <v>12.70201839483871</v>
      </c>
      <c r="AS177" s="174">
        <v>3.90625E-3</v>
      </c>
      <c r="AT177" s="174">
        <v>0.740234375</v>
      </c>
      <c r="AU177" s="174">
        <v>35.907636851612899</v>
      </c>
      <c r="BG177" s="174">
        <v>3.90625E-3</v>
      </c>
      <c r="BH177" s="174">
        <v>0.7490234375</v>
      </c>
      <c r="BI177" s="174">
        <v>7840</v>
      </c>
      <c r="BU177" s="174">
        <v>1.953125E-3</v>
      </c>
      <c r="BV177" s="174">
        <v>0.76953125</v>
      </c>
      <c r="BW177" s="174">
        <v>27200</v>
      </c>
      <c r="CI177" s="174">
        <v>3.90625E-3</v>
      </c>
      <c r="CJ177" s="174">
        <v>0.72265625</v>
      </c>
      <c r="CK177" s="174">
        <v>41.347716129032257</v>
      </c>
    </row>
    <row r="178" spans="31:89" x14ac:dyDescent="0.2">
      <c r="AE178" s="174">
        <v>1.5625E-2</v>
      </c>
      <c r="AF178" s="174">
        <v>0.73828125</v>
      </c>
      <c r="AG178" s="174">
        <v>12.773177806451613</v>
      </c>
      <c r="AS178" s="174">
        <v>3.90625E-3</v>
      </c>
      <c r="AT178" s="174">
        <v>0.744140625</v>
      </c>
      <c r="AU178" s="174">
        <v>35.907636851612899</v>
      </c>
      <c r="BG178" s="174">
        <v>1.5625E-2</v>
      </c>
      <c r="BH178" s="174">
        <v>0.7646484375</v>
      </c>
      <c r="BI178" s="174">
        <v>8000</v>
      </c>
      <c r="BU178" s="174">
        <v>1.953125E-3</v>
      </c>
      <c r="BV178" s="174">
        <v>0.771484375</v>
      </c>
      <c r="BW178" s="174">
        <v>27200</v>
      </c>
      <c r="CI178" s="174">
        <v>1.5625E-2</v>
      </c>
      <c r="CJ178" s="174">
        <v>0.73828125</v>
      </c>
      <c r="CK178" s="174">
        <v>41.579354838709676</v>
      </c>
    </row>
    <row r="179" spans="31:89" x14ac:dyDescent="0.2">
      <c r="AE179" s="174">
        <v>1.5625E-2</v>
      </c>
      <c r="AF179" s="174">
        <v>0.75390625</v>
      </c>
      <c r="AG179" s="174">
        <v>12.773177806451613</v>
      </c>
      <c r="AS179" s="174">
        <v>3.90625E-3</v>
      </c>
      <c r="AT179" s="174">
        <v>0.748046875</v>
      </c>
      <c r="AU179" s="174">
        <v>36.373788077419356</v>
      </c>
      <c r="BG179" s="174">
        <v>1.5625E-2</v>
      </c>
      <c r="BH179" s="174">
        <v>0.7802734375</v>
      </c>
      <c r="BI179" s="174">
        <v>8000</v>
      </c>
      <c r="BU179" s="174">
        <v>1.953125E-3</v>
      </c>
      <c r="BV179" s="174">
        <v>0.7734375</v>
      </c>
      <c r="BW179" s="174">
        <v>29200</v>
      </c>
      <c r="CI179" s="174">
        <v>1.5625E-2</v>
      </c>
      <c r="CJ179" s="174">
        <v>0.75390625</v>
      </c>
      <c r="CK179" s="174">
        <v>41.579354838709676</v>
      </c>
    </row>
    <row r="180" spans="31:89" x14ac:dyDescent="0.2">
      <c r="AE180" s="174">
        <v>1.953125E-3</v>
      </c>
      <c r="AF180" s="174">
        <v>0.755859375</v>
      </c>
      <c r="AG180" s="174">
        <v>12.995141896258064</v>
      </c>
      <c r="AS180" s="174">
        <v>9.765625E-4</v>
      </c>
      <c r="AT180" s="174">
        <v>0.7490234375</v>
      </c>
      <c r="AU180" s="174">
        <v>36.373788077419356</v>
      </c>
      <c r="BG180" s="174">
        <v>3.90625E-3</v>
      </c>
      <c r="BH180" s="174">
        <v>0.7841796875</v>
      </c>
      <c r="BI180" s="174">
        <v>8000</v>
      </c>
      <c r="BU180" s="174">
        <v>1.953125E-3</v>
      </c>
      <c r="BV180" s="174">
        <v>0.775390625</v>
      </c>
      <c r="BW180" s="174">
        <v>29200</v>
      </c>
      <c r="CI180" s="174">
        <v>1.953125E-3</v>
      </c>
      <c r="CJ180" s="174">
        <v>0.755859375</v>
      </c>
      <c r="CK180" s="174">
        <v>42.301894193548378</v>
      </c>
    </row>
    <row r="181" spans="31:89" x14ac:dyDescent="0.2">
      <c r="AE181" s="174">
        <v>3.90625E-3</v>
      </c>
      <c r="AF181" s="174">
        <v>0.759765625</v>
      </c>
      <c r="AG181" s="174">
        <v>13.233012207483871</v>
      </c>
      <c r="AS181" s="174">
        <v>9.765625E-4</v>
      </c>
      <c r="AT181" s="174">
        <v>0.75</v>
      </c>
      <c r="AU181" s="174">
        <v>36.373788077419356</v>
      </c>
      <c r="BG181" s="174">
        <v>1.953125E-3</v>
      </c>
      <c r="BH181" s="174">
        <v>0.7861328125</v>
      </c>
      <c r="BI181" s="174">
        <v>8400</v>
      </c>
      <c r="BU181" s="174">
        <v>3.90625E-3</v>
      </c>
      <c r="BV181" s="174">
        <v>0.779296875</v>
      </c>
      <c r="BW181" s="174">
        <v>29600</v>
      </c>
      <c r="CI181" s="174">
        <v>3.90625E-3</v>
      </c>
      <c r="CJ181" s="174">
        <v>0.759765625</v>
      </c>
      <c r="CK181" s="174">
        <v>43.076211612903222</v>
      </c>
    </row>
    <row r="182" spans="31:89" x14ac:dyDescent="0.2">
      <c r="AE182" s="174">
        <v>3.90625E-3</v>
      </c>
      <c r="AF182" s="174">
        <v>0.763671875</v>
      </c>
      <c r="AG182" s="174">
        <v>13.233012207483871</v>
      </c>
      <c r="AS182" s="174">
        <v>3.90625E-3</v>
      </c>
      <c r="AT182" s="174">
        <v>0.75390625</v>
      </c>
      <c r="AU182" s="174">
        <v>36.373788077419356</v>
      </c>
      <c r="BG182" s="174">
        <v>1.953125E-3</v>
      </c>
      <c r="BH182" s="174">
        <v>0.7880859375</v>
      </c>
      <c r="BI182" s="174">
        <v>8400</v>
      </c>
      <c r="BU182" s="174">
        <v>3.90625E-3</v>
      </c>
      <c r="BV182" s="174">
        <v>0.783203125</v>
      </c>
      <c r="BW182" s="174">
        <v>29600</v>
      </c>
      <c r="CI182" s="174">
        <v>3.90625E-3</v>
      </c>
      <c r="CJ182" s="174">
        <v>0.763671875</v>
      </c>
      <c r="CK182" s="174">
        <v>43.076211612903222</v>
      </c>
    </row>
    <row r="183" spans="31:89" x14ac:dyDescent="0.2">
      <c r="AE183" s="174">
        <v>1.953125E-3</v>
      </c>
      <c r="AF183" s="174">
        <v>0.765625</v>
      </c>
      <c r="AG183" s="174">
        <v>13.272968026838706</v>
      </c>
      <c r="AS183" s="174">
        <v>1.953125E-3</v>
      </c>
      <c r="AT183" s="174">
        <v>0.755859375</v>
      </c>
      <c r="AU183" s="174">
        <v>37.212860283870974</v>
      </c>
      <c r="BG183" s="174">
        <v>3.90625E-3</v>
      </c>
      <c r="BH183" s="174">
        <v>0.7919921875</v>
      </c>
      <c r="BI183" s="174">
        <v>8760</v>
      </c>
      <c r="BU183" s="174">
        <v>3.90625E-3</v>
      </c>
      <c r="BV183" s="174">
        <v>0.787109375</v>
      </c>
      <c r="BW183" s="174">
        <v>29600</v>
      </c>
      <c r="CI183" s="174">
        <v>1.953125E-3</v>
      </c>
      <c r="CJ183" s="174">
        <v>0.765625</v>
      </c>
      <c r="CK183" s="174">
        <v>43.20627612903224</v>
      </c>
    </row>
    <row r="184" spans="31:89" x14ac:dyDescent="0.2">
      <c r="AE184" s="174">
        <v>3.90625E-3</v>
      </c>
      <c r="AF184" s="174">
        <v>0.76953125</v>
      </c>
      <c r="AG184" s="174">
        <v>13.85889792</v>
      </c>
      <c r="AS184" s="174">
        <v>1.953125E-3</v>
      </c>
      <c r="AT184" s="174">
        <v>0.7578125</v>
      </c>
      <c r="AU184" s="174">
        <v>38.238392980645152</v>
      </c>
      <c r="BG184" s="174">
        <v>3.90625E-3</v>
      </c>
      <c r="BH184" s="174">
        <v>0.7958984375</v>
      </c>
      <c r="BI184" s="174">
        <v>8760</v>
      </c>
      <c r="BU184" s="174">
        <v>3.90625E-3</v>
      </c>
      <c r="BV184" s="174">
        <v>0.791015625</v>
      </c>
      <c r="BW184" s="174">
        <v>29600</v>
      </c>
      <c r="CI184" s="174">
        <v>3.90625E-3</v>
      </c>
      <c r="CJ184" s="174">
        <v>0.76953125</v>
      </c>
      <c r="CK184" s="174">
        <v>45.113599999999998</v>
      </c>
    </row>
    <row r="185" spans="31:89" x14ac:dyDescent="0.2">
      <c r="AE185" s="174">
        <v>3.90625E-3</v>
      </c>
      <c r="AF185" s="174">
        <v>0.7734375</v>
      </c>
      <c r="AG185" s="174">
        <v>13.85889792</v>
      </c>
      <c r="AS185" s="174">
        <v>3.90625E-3</v>
      </c>
      <c r="AT185" s="174">
        <v>0.76171875</v>
      </c>
      <c r="AU185" s="174">
        <v>38.238392980645159</v>
      </c>
      <c r="BG185" s="174">
        <v>3.90625E-3</v>
      </c>
      <c r="BH185" s="174">
        <v>0.7998046875</v>
      </c>
      <c r="BI185" s="174">
        <v>9120</v>
      </c>
      <c r="BU185" s="174">
        <v>1.953125E-3</v>
      </c>
      <c r="BV185" s="174">
        <v>0.79296875</v>
      </c>
      <c r="BW185" s="174">
        <v>30400</v>
      </c>
      <c r="CI185" s="174">
        <v>3.90625E-3</v>
      </c>
      <c r="CJ185" s="174">
        <v>0.7734375</v>
      </c>
      <c r="CK185" s="174">
        <v>45.113599999999998</v>
      </c>
    </row>
    <row r="186" spans="31:89" x14ac:dyDescent="0.2">
      <c r="AE186" s="174">
        <v>3.90625E-3</v>
      </c>
      <c r="AF186" s="174">
        <v>0.77734375</v>
      </c>
      <c r="AG186" s="174">
        <v>14.363051569548389</v>
      </c>
      <c r="AS186" s="174">
        <v>1.5625E-2</v>
      </c>
      <c r="AT186" s="174">
        <v>0.77734375</v>
      </c>
      <c r="AU186" s="174">
        <v>39.636846658064513</v>
      </c>
      <c r="BG186" s="174">
        <v>7.8125E-3</v>
      </c>
      <c r="BH186" s="174">
        <v>0.8076171875</v>
      </c>
      <c r="BI186" s="174">
        <v>9120</v>
      </c>
      <c r="BU186" s="174">
        <v>1.953125E-3</v>
      </c>
      <c r="BV186" s="174">
        <v>0.794921875</v>
      </c>
      <c r="BW186" s="174">
        <v>30400</v>
      </c>
      <c r="CI186" s="174">
        <v>3.90625E-3</v>
      </c>
      <c r="CJ186" s="174">
        <v>0.77734375</v>
      </c>
      <c r="CK186" s="174">
        <v>46.754725161290324</v>
      </c>
    </row>
    <row r="187" spans="31:89" x14ac:dyDescent="0.2">
      <c r="AE187" s="174">
        <v>3.90625E-3</v>
      </c>
      <c r="AF187" s="174">
        <v>0.78125</v>
      </c>
      <c r="AG187" s="174">
        <v>14.656175070967743</v>
      </c>
      <c r="AS187" s="174">
        <v>3.90625E-3</v>
      </c>
      <c r="AT187" s="174">
        <v>0.78125</v>
      </c>
      <c r="AU187" s="174">
        <v>41.967602787096773</v>
      </c>
      <c r="BG187" s="174">
        <v>7.8125E-3</v>
      </c>
      <c r="BH187" s="174">
        <v>0.8154296875</v>
      </c>
      <c r="BI187" s="174">
        <v>9120</v>
      </c>
      <c r="BU187" s="174">
        <v>1.953125E-3</v>
      </c>
      <c r="BV187" s="174">
        <v>0.796875</v>
      </c>
      <c r="BW187" s="174">
        <v>30720</v>
      </c>
      <c r="CI187" s="174">
        <v>3.90625E-3</v>
      </c>
      <c r="CJ187" s="174">
        <v>0.78125</v>
      </c>
      <c r="CK187" s="174">
        <v>47.708903225806452</v>
      </c>
    </row>
    <row r="188" spans="31:89" x14ac:dyDescent="0.2">
      <c r="AE188" s="174">
        <v>3.90625E-3</v>
      </c>
      <c r="AF188" s="174">
        <v>0.78515625</v>
      </c>
      <c r="AG188" s="174">
        <v>14.656175070967743</v>
      </c>
      <c r="AS188" s="174">
        <v>3.90625E-3</v>
      </c>
      <c r="AT188" s="174">
        <v>0.78515625</v>
      </c>
      <c r="AU188" s="174">
        <v>41.967602787096773</v>
      </c>
      <c r="BG188" s="174">
        <v>3.90625E-3</v>
      </c>
      <c r="BH188" s="174">
        <v>0.8193359375</v>
      </c>
      <c r="BI188" s="174">
        <v>9120</v>
      </c>
      <c r="BU188" s="174">
        <v>3.90625E-3</v>
      </c>
      <c r="BV188" s="174">
        <v>0.80078125</v>
      </c>
      <c r="BW188" s="174">
        <v>31000</v>
      </c>
      <c r="CI188" s="174">
        <v>3.90625E-3</v>
      </c>
      <c r="CJ188" s="174">
        <v>0.78515625</v>
      </c>
      <c r="CK188" s="174">
        <v>47.708903225806452</v>
      </c>
    </row>
    <row r="189" spans="31:89" x14ac:dyDescent="0.2">
      <c r="AE189" s="174">
        <v>1.953125E-3</v>
      </c>
      <c r="AF189" s="174">
        <v>0.787109375</v>
      </c>
      <c r="AG189" s="174">
        <v>14.663608121806453</v>
      </c>
      <c r="AS189" s="174">
        <v>1.953125E-3</v>
      </c>
      <c r="AT189" s="174">
        <v>0.787109375</v>
      </c>
      <c r="AU189" s="174">
        <v>42.433754012903229</v>
      </c>
      <c r="BG189" s="174">
        <v>1.953125E-3</v>
      </c>
      <c r="BH189" s="174">
        <v>0.8212890625</v>
      </c>
      <c r="BI189" s="174">
        <v>9360</v>
      </c>
      <c r="BU189" s="174">
        <v>3.90625E-3</v>
      </c>
      <c r="BV189" s="174">
        <v>0.8046875</v>
      </c>
      <c r="BW189" s="174">
        <v>31000</v>
      </c>
      <c r="CI189" s="174">
        <v>1.953125E-3</v>
      </c>
      <c r="CJ189" s="174">
        <v>0.787109375</v>
      </c>
      <c r="CK189" s="174">
        <v>47.733099354838707</v>
      </c>
    </row>
    <row r="190" spans="31:89" x14ac:dyDescent="0.2">
      <c r="AE190" s="174">
        <v>1.953125E-3</v>
      </c>
      <c r="AF190" s="174">
        <v>0.7890625</v>
      </c>
      <c r="AG190" s="174">
        <v>14.663608121806453</v>
      </c>
      <c r="AS190" s="174">
        <v>1.953125E-3</v>
      </c>
      <c r="AT190" s="174">
        <v>0.7890625</v>
      </c>
      <c r="AU190" s="174">
        <v>42.433754012903229</v>
      </c>
      <c r="BG190" s="174">
        <v>1.953125E-3</v>
      </c>
      <c r="BH190" s="174">
        <v>0.8232421875</v>
      </c>
      <c r="BI190" s="174">
        <v>9360</v>
      </c>
      <c r="BU190" s="174">
        <v>1.953125E-3</v>
      </c>
      <c r="BV190" s="174">
        <v>0.806640625</v>
      </c>
      <c r="BW190" s="174">
        <v>31040</v>
      </c>
      <c r="CI190" s="174">
        <v>1.953125E-3</v>
      </c>
      <c r="CJ190" s="174">
        <v>0.7890625</v>
      </c>
      <c r="CK190" s="174">
        <v>47.733099354838707</v>
      </c>
    </row>
    <row r="191" spans="31:89" x14ac:dyDescent="0.2">
      <c r="AE191" s="174">
        <v>1.953125E-3</v>
      </c>
      <c r="AF191" s="174">
        <v>0.791015625</v>
      </c>
      <c r="AG191" s="174">
        <v>14.867978966709678</v>
      </c>
      <c r="AS191" s="174">
        <v>3.90625E-3</v>
      </c>
      <c r="AT191" s="174">
        <v>0.79296875</v>
      </c>
      <c r="AU191" s="174">
        <v>43.086365729032259</v>
      </c>
      <c r="BG191" s="174">
        <v>1.953125E-3</v>
      </c>
      <c r="BH191" s="174">
        <v>0.8251953125</v>
      </c>
      <c r="BI191" s="174">
        <v>10080</v>
      </c>
      <c r="BU191" s="174">
        <v>1.953125E-3</v>
      </c>
      <c r="BV191" s="174">
        <v>0.80859375</v>
      </c>
      <c r="BW191" s="174">
        <v>31040</v>
      </c>
      <c r="CI191" s="174">
        <v>1.953125E-3</v>
      </c>
      <c r="CJ191" s="174">
        <v>0.791015625</v>
      </c>
      <c r="CK191" s="174">
        <v>48.39836903225806</v>
      </c>
    </row>
    <row r="192" spans="31:89" x14ac:dyDescent="0.2">
      <c r="AE192" s="174">
        <v>3.90625E-3</v>
      </c>
      <c r="AF192" s="174">
        <v>0.794921875</v>
      </c>
      <c r="AG192" s="174">
        <v>15.04700640619355</v>
      </c>
      <c r="AS192" s="174">
        <v>3.90625E-3</v>
      </c>
      <c r="AT192" s="174">
        <v>0.796875</v>
      </c>
      <c r="AU192" s="174">
        <v>43.086365729032259</v>
      </c>
      <c r="BG192" s="174">
        <v>1.953125E-3</v>
      </c>
      <c r="BH192" s="174">
        <v>0.8271484375</v>
      </c>
      <c r="BI192" s="174">
        <v>10080</v>
      </c>
      <c r="BU192" s="174">
        <v>7.8125E-3</v>
      </c>
      <c r="BV192" s="174">
        <v>0.81640625</v>
      </c>
      <c r="BW192" s="174">
        <v>31200</v>
      </c>
      <c r="CI192" s="174">
        <v>3.90625E-3</v>
      </c>
      <c r="CJ192" s="174">
        <v>0.794921875</v>
      </c>
      <c r="CK192" s="174">
        <v>48.98114064516129</v>
      </c>
    </row>
    <row r="193" spans="31:89" x14ac:dyDescent="0.2">
      <c r="AE193" s="174">
        <v>3.90625E-3</v>
      </c>
      <c r="AF193" s="174">
        <v>0.798828125</v>
      </c>
      <c r="AG193" s="174">
        <v>15.04700640619355</v>
      </c>
      <c r="AS193" s="174">
        <v>1.953125E-3</v>
      </c>
      <c r="AT193" s="174">
        <v>0.798828125</v>
      </c>
      <c r="AU193" s="174">
        <v>44.298358916129033</v>
      </c>
      <c r="BG193" s="174">
        <v>9.765625E-4</v>
      </c>
      <c r="BH193" s="174">
        <v>0.828125</v>
      </c>
      <c r="BI193" s="174">
        <v>10160</v>
      </c>
      <c r="BU193" s="174">
        <v>7.8125E-3</v>
      </c>
      <c r="BV193" s="174">
        <v>0.82421875</v>
      </c>
      <c r="BW193" s="174">
        <v>31200</v>
      </c>
      <c r="CI193" s="174">
        <v>3.90625E-3</v>
      </c>
      <c r="CJ193" s="174">
        <v>0.798828125</v>
      </c>
      <c r="CK193" s="174">
        <v>48.98114064516129</v>
      </c>
    </row>
    <row r="194" spans="31:89" x14ac:dyDescent="0.2">
      <c r="AE194" s="174">
        <v>3.90625E-3</v>
      </c>
      <c r="AF194" s="174">
        <v>0.802734375</v>
      </c>
      <c r="AG194" s="174">
        <v>15.559972533677419</v>
      </c>
      <c r="AS194" s="174">
        <v>3.90625E-3</v>
      </c>
      <c r="AT194" s="174">
        <v>0.802734375</v>
      </c>
      <c r="AU194" s="174">
        <v>44.39158916129032</v>
      </c>
      <c r="BG194" s="174">
        <v>1.953125E-3</v>
      </c>
      <c r="BH194" s="174">
        <v>0.830078125</v>
      </c>
      <c r="BI194" s="174">
        <v>10240</v>
      </c>
      <c r="BU194" s="174">
        <v>7.8125E-3</v>
      </c>
      <c r="BV194" s="174">
        <v>0.83203125</v>
      </c>
      <c r="BW194" s="174">
        <v>31200</v>
      </c>
      <c r="CI194" s="174">
        <v>3.90625E-3</v>
      </c>
      <c r="CJ194" s="174">
        <v>0.802734375</v>
      </c>
      <c r="CK194" s="174">
        <v>50.650952258064507</v>
      </c>
    </row>
    <row r="195" spans="31:89" x14ac:dyDescent="0.2">
      <c r="AE195" s="174">
        <v>9.765625E-4</v>
      </c>
      <c r="AF195" s="174">
        <v>0.8037109375</v>
      </c>
      <c r="AG195" s="174">
        <v>15.700949982967739</v>
      </c>
      <c r="AS195" s="174">
        <v>9.765625E-4</v>
      </c>
      <c r="AT195" s="174">
        <v>0.8037109375</v>
      </c>
      <c r="AU195" s="174">
        <v>45.883273083870968</v>
      </c>
      <c r="BG195" s="174">
        <v>9.765625E-4</v>
      </c>
      <c r="BH195" s="174">
        <v>0.8310546875</v>
      </c>
      <c r="BI195" s="174">
        <v>10320</v>
      </c>
      <c r="BU195" s="174">
        <v>7.8125E-3</v>
      </c>
      <c r="BV195" s="174">
        <v>0.83984375</v>
      </c>
      <c r="BW195" s="174">
        <v>31200</v>
      </c>
      <c r="CI195" s="174">
        <v>9.765625E-4</v>
      </c>
      <c r="CJ195" s="174">
        <v>0.8037109375</v>
      </c>
      <c r="CK195" s="174">
        <v>51.109863225806436</v>
      </c>
    </row>
    <row r="196" spans="31:89" x14ac:dyDescent="0.2">
      <c r="AE196" s="174">
        <v>7.8125E-3</v>
      </c>
      <c r="AF196" s="174">
        <v>0.8115234375</v>
      </c>
      <c r="AG196" s="174">
        <v>16.605131148387095</v>
      </c>
      <c r="AS196" s="174">
        <v>3.90625E-3</v>
      </c>
      <c r="AT196" s="174">
        <v>0.8076171875</v>
      </c>
      <c r="AU196" s="174">
        <v>46.629115045161292</v>
      </c>
      <c r="BG196" s="174">
        <v>1.953125E-3</v>
      </c>
      <c r="BH196" s="174">
        <v>0.8330078125</v>
      </c>
      <c r="BI196" s="174">
        <v>10400</v>
      </c>
      <c r="BU196" s="174">
        <v>3.90625E-3</v>
      </c>
      <c r="BV196" s="174">
        <v>0.84375</v>
      </c>
      <c r="BW196" s="174">
        <v>32160</v>
      </c>
      <c r="CI196" s="174">
        <v>7.8125E-3</v>
      </c>
      <c r="CJ196" s="174">
        <v>0.8115234375</v>
      </c>
      <c r="CK196" s="174">
        <v>54.053161290322571</v>
      </c>
    </row>
    <row r="197" spans="31:89" x14ac:dyDescent="0.2">
      <c r="AE197" s="174">
        <v>7.8125E-3</v>
      </c>
      <c r="AF197" s="174">
        <v>0.8193359375</v>
      </c>
      <c r="AG197" s="174">
        <v>16.605131148387095</v>
      </c>
      <c r="AS197" s="174">
        <v>3.90625E-3</v>
      </c>
      <c r="AT197" s="174">
        <v>0.8115234375</v>
      </c>
      <c r="AU197" s="174">
        <v>46.629115045161292</v>
      </c>
      <c r="BG197" s="174">
        <v>1.953125E-3</v>
      </c>
      <c r="BH197" s="174">
        <v>0.8349609375</v>
      </c>
      <c r="BI197" s="174">
        <v>10400</v>
      </c>
      <c r="BU197" s="174">
        <v>3.90625E-3</v>
      </c>
      <c r="BV197" s="174">
        <v>0.84765625</v>
      </c>
      <c r="BW197" s="174">
        <v>32160</v>
      </c>
      <c r="CI197" s="174">
        <v>7.8125E-3</v>
      </c>
      <c r="CJ197" s="174">
        <v>0.8193359375</v>
      </c>
      <c r="CK197" s="174">
        <v>54.053161290322571</v>
      </c>
    </row>
    <row r="198" spans="31:89" x14ac:dyDescent="0.2">
      <c r="AE198" s="174">
        <v>1.953125E-3</v>
      </c>
      <c r="AF198" s="174">
        <v>0.8212890625</v>
      </c>
      <c r="AG198" s="174">
        <v>16.610331747096772</v>
      </c>
      <c r="AS198" s="174">
        <v>3.90625E-3</v>
      </c>
      <c r="AT198" s="174">
        <v>0.8154296875</v>
      </c>
      <c r="AU198" s="174">
        <v>47.56141749677419</v>
      </c>
      <c r="BG198" s="174">
        <v>7.8125E-3</v>
      </c>
      <c r="BH198" s="174">
        <v>0.8427734375</v>
      </c>
      <c r="BI198" s="174">
        <v>10400</v>
      </c>
      <c r="BU198" s="174">
        <v>1.953125E-3</v>
      </c>
      <c r="BV198" s="174">
        <v>0.849609375</v>
      </c>
      <c r="BW198" s="174">
        <v>32800</v>
      </c>
      <c r="CI198" s="174">
        <v>1.953125E-3</v>
      </c>
      <c r="CJ198" s="174">
        <v>0.8212890625</v>
      </c>
      <c r="CK198" s="174">
        <v>54.070090322580633</v>
      </c>
    </row>
    <row r="199" spans="31:89" x14ac:dyDescent="0.2">
      <c r="AE199" s="174">
        <v>1.5625E-2</v>
      </c>
      <c r="AF199" s="174">
        <v>0.8369140625</v>
      </c>
      <c r="AG199" s="174">
        <v>16.610331747096772</v>
      </c>
      <c r="AS199" s="174">
        <v>1.5625E-2</v>
      </c>
      <c r="AT199" s="174">
        <v>0.8310546875</v>
      </c>
      <c r="AU199" s="174">
        <v>47.561417496774197</v>
      </c>
      <c r="BG199" s="174">
        <v>7.8125E-3</v>
      </c>
      <c r="BH199" s="174">
        <v>0.8505859375</v>
      </c>
      <c r="BI199" s="174">
        <v>10400</v>
      </c>
      <c r="BU199" s="174">
        <v>1.953125E-3</v>
      </c>
      <c r="BV199" s="174">
        <v>0.8515625</v>
      </c>
      <c r="BW199" s="174">
        <v>32800</v>
      </c>
      <c r="CI199" s="174">
        <v>1.5625E-2</v>
      </c>
      <c r="CJ199" s="174">
        <v>0.8369140625</v>
      </c>
      <c r="CK199" s="174">
        <v>54.070090322580633</v>
      </c>
    </row>
    <row r="200" spans="31:89" x14ac:dyDescent="0.2">
      <c r="AE200" s="174">
        <v>7.8125E-3</v>
      </c>
      <c r="AF200" s="174">
        <v>0.8447265625</v>
      </c>
      <c r="AG200" s="174">
        <v>17.524799950451612</v>
      </c>
      <c r="AS200" s="174">
        <v>7.8125E-3</v>
      </c>
      <c r="AT200" s="174">
        <v>0.8388671875</v>
      </c>
      <c r="AU200" s="174">
        <v>48.959871174193545</v>
      </c>
      <c r="BG200" s="174">
        <v>7.8125E-3</v>
      </c>
      <c r="BH200" s="174">
        <v>0.8583984375</v>
      </c>
      <c r="BI200" s="174">
        <v>10400</v>
      </c>
      <c r="BU200" s="174">
        <v>3.90625E-3</v>
      </c>
      <c r="BV200" s="174">
        <v>0.85546875</v>
      </c>
      <c r="BW200" s="174">
        <v>32800</v>
      </c>
      <c r="CI200" s="174">
        <v>7.8125E-3</v>
      </c>
      <c r="CJ200" s="174">
        <v>0.8447265625</v>
      </c>
      <c r="CK200" s="174">
        <v>57.04687483870967</v>
      </c>
    </row>
    <row r="201" spans="31:89" x14ac:dyDescent="0.2">
      <c r="AE201" s="174">
        <v>1.953125E-3</v>
      </c>
      <c r="AF201" s="174">
        <v>0.8466796875</v>
      </c>
      <c r="AG201" s="174">
        <v>17.782825752774194</v>
      </c>
      <c r="AS201" s="174">
        <v>7.8125E-3</v>
      </c>
      <c r="AT201" s="174">
        <v>0.8466796875</v>
      </c>
      <c r="AU201" s="174">
        <v>48.959871174193545</v>
      </c>
      <c r="BG201" s="174">
        <v>7.8125E-3</v>
      </c>
      <c r="BH201" s="174">
        <v>0.8662109375</v>
      </c>
      <c r="BI201" s="174">
        <v>10400</v>
      </c>
      <c r="BU201" s="174">
        <v>3.90625E-3</v>
      </c>
      <c r="BV201" s="174">
        <v>0.859375</v>
      </c>
      <c r="BW201" s="174">
        <v>32800</v>
      </c>
      <c r="CI201" s="174">
        <v>1.953125E-3</v>
      </c>
      <c r="CJ201" s="174">
        <v>0.8466796875</v>
      </c>
      <c r="CK201" s="174">
        <v>57.88680258064516</v>
      </c>
    </row>
    <row r="202" spans="31:89" x14ac:dyDescent="0.2">
      <c r="AE202" s="174">
        <v>1.953125E-3</v>
      </c>
      <c r="AF202" s="174">
        <v>0.8486328125</v>
      </c>
      <c r="AG202" s="174">
        <v>17.782825752774194</v>
      </c>
      <c r="AS202" s="174">
        <v>1.953125E-3</v>
      </c>
      <c r="AT202" s="174">
        <v>0.8486328125</v>
      </c>
      <c r="AU202" s="174">
        <v>50.917706322580642</v>
      </c>
      <c r="BG202" s="174">
        <v>1.953125E-3</v>
      </c>
      <c r="BH202" s="174">
        <v>0.8681640625</v>
      </c>
      <c r="BI202" s="174">
        <v>10400</v>
      </c>
      <c r="BU202" s="174">
        <v>1.953125E-3</v>
      </c>
      <c r="BV202" s="174">
        <v>0.861328125</v>
      </c>
      <c r="BW202" s="174">
        <v>32800</v>
      </c>
      <c r="CI202" s="174">
        <v>1.953125E-3</v>
      </c>
      <c r="CJ202" s="174">
        <v>0.8486328125</v>
      </c>
      <c r="CK202" s="174">
        <v>57.88680258064516</v>
      </c>
    </row>
    <row r="203" spans="31:89" x14ac:dyDescent="0.2">
      <c r="AE203" s="174">
        <v>7.8125E-3</v>
      </c>
      <c r="AF203" s="174">
        <v>0.8564453125</v>
      </c>
      <c r="AG203" s="174">
        <v>17.882448929032257</v>
      </c>
      <c r="AS203" s="174">
        <v>1.953125E-3</v>
      </c>
      <c r="AT203" s="174">
        <v>0.8505859375</v>
      </c>
      <c r="AU203" s="174">
        <v>50.917706322580642</v>
      </c>
      <c r="BG203" s="174">
        <v>1.953125E-3</v>
      </c>
      <c r="BH203" s="174">
        <v>0.8701171875</v>
      </c>
      <c r="BI203" s="174">
        <v>10400</v>
      </c>
      <c r="BU203" s="174">
        <v>1.953125E-3</v>
      </c>
      <c r="BV203" s="174">
        <v>0.86328125</v>
      </c>
      <c r="BW203" s="174">
        <v>32800</v>
      </c>
      <c r="CI203" s="174">
        <v>7.8125E-3</v>
      </c>
      <c r="CJ203" s="174">
        <v>0.8564453125</v>
      </c>
      <c r="CK203" s="174">
        <v>58.211096774193543</v>
      </c>
    </row>
    <row r="204" spans="31:89" x14ac:dyDescent="0.2">
      <c r="AE204" s="174">
        <v>7.8125E-3</v>
      </c>
      <c r="AF204" s="174">
        <v>0.8642578125</v>
      </c>
      <c r="AG204" s="174">
        <v>17.882448929032257</v>
      </c>
      <c r="AS204" s="174">
        <v>3.90625E-3</v>
      </c>
      <c r="AT204" s="174">
        <v>0.8544921875</v>
      </c>
      <c r="AU204" s="174">
        <v>51.290627303225811</v>
      </c>
      <c r="BG204" s="174">
        <v>7.8125E-3</v>
      </c>
      <c r="BH204" s="174">
        <v>0.8779296875</v>
      </c>
      <c r="BI204" s="174">
        <v>10560</v>
      </c>
      <c r="BU204" s="174">
        <v>1.953125E-3</v>
      </c>
      <c r="BV204" s="174">
        <v>0.865234375</v>
      </c>
      <c r="BW204" s="174">
        <v>32880</v>
      </c>
      <c r="CI204" s="174">
        <v>7.8125E-3</v>
      </c>
      <c r="CJ204" s="174">
        <v>0.8642578125</v>
      </c>
      <c r="CK204" s="174">
        <v>58.211096774193543</v>
      </c>
    </row>
    <row r="205" spans="31:89" x14ac:dyDescent="0.2">
      <c r="AE205" s="174">
        <v>3.90625E-3</v>
      </c>
      <c r="AF205" s="174">
        <v>0.8681640625</v>
      </c>
      <c r="AG205" s="174">
        <v>18.074046596129033</v>
      </c>
      <c r="AS205" s="174">
        <v>3.90625E-3</v>
      </c>
      <c r="AT205" s="174">
        <v>0.8583984375</v>
      </c>
      <c r="AU205" s="174">
        <v>51.290627303225811</v>
      </c>
      <c r="BG205" s="174">
        <v>7.8125E-3</v>
      </c>
      <c r="BH205" s="174">
        <v>0.8857421875</v>
      </c>
      <c r="BI205" s="174">
        <v>10560</v>
      </c>
      <c r="BU205" s="174">
        <v>3.90625E-3</v>
      </c>
      <c r="BV205" s="174">
        <v>0.869140625</v>
      </c>
      <c r="BW205" s="174">
        <v>33960</v>
      </c>
      <c r="CI205" s="174">
        <v>3.90625E-3</v>
      </c>
      <c r="CJ205" s="174">
        <v>0.8681640625</v>
      </c>
      <c r="CK205" s="174">
        <v>58.834787096774193</v>
      </c>
    </row>
    <row r="206" spans="31:89" x14ac:dyDescent="0.2">
      <c r="AE206" s="174">
        <v>3.90625E-3</v>
      </c>
      <c r="AF206" s="174">
        <v>0.8720703125</v>
      </c>
      <c r="AG206" s="174">
        <v>18.075949254193546</v>
      </c>
      <c r="AS206" s="174">
        <v>9.765625E-4</v>
      </c>
      <c r="AT206" s="174">
        <v>0.859375</v>
      </c>
      <c r="AU206" s="174">
        <v>53.528153187096763</v>
      </c>
      <c r="BG206" s="174">
        <v>3.90625E-3</v>
      </c>
      <c r="BH206" s="174">
        <v>0.8896484375</v>
      </c>
      <c r="BI206" s="174">
        <v>10720</v>
      </c>
      <c r="BU206" s="174">
        <v>1.953125E-3</v>
      </c>
      <c r="BV206" s="174">
        <v>0.87109375</v>
      </c>
      <c r="BW206" s="174">
        <v>34000</v>
      </c>
      <c r="CI206" s="174">
        <v>3.90625E-3</v>
      </c>
      <c r="CJ206" s="174">
        <v>0.8720703125</v>
      </c>
      <c r="CK206" s="174">
        <v>58.840980645161274</v>
      </c>
    </row>
    <row r="207" spans="31:89" x14ac:dyDescent="0.2">
      <c r="AE207" s="174">
        <v>3.90625E-3</v>
      </c>
      <c r="AF207" s="174">
        <v>0.8759765625</v>
      </c>
      <c r="AG207" s="174">
        <v>18.075949254193546</v>
      </c>
      <c r="AS207" s="174">
        <v>1.953125E-3</v>
      </c>
      <c r="AT207" s="174">
        <v>0.861328125</v>
      </c>
      <c r="AU207" s="174">
        <v>53.528153187096777</v>
      </c>
      <c r="BG207" s="174">
        <v>9.765625E-4</v>
      </c>
      <c r="BH207" s="174">
        <v>0.890625</v>
      </c>
      <c r="BI207" s="174">
        <v>10720</v>
      </c>
      <c r="BU207" s="174">
        <v>1.953125E-3</v>
      </c>
      <c r="BV207" s="174">
        <v>0.873046875</v>
      </c>
      <c r="BW207" s="174">
        <v>34000</v>
      </c>
      <c r="CI207" s="174">
        <v>3.90625E-3</v>
      </c>
      <c r="CJ207" s="174">
        <v>0.8759765625</v>
      </c>
      <c r="CK207" s="174">
        <v>58.840980645161274</v>
      </c>
    </row>
    <row r="208" spans="31:89" x14ac:dyDescent="0.2">
      <c r="AE208" s="174">
        <v>3.90625E-3</v>
      </c>
      <c r="AF208" s="174">
        <v>0.8798828125</v>
      </c>
      <c r="AG208" s="174">
        <v>18.930892799999999</v>
      </c>
      <c r="AS208" s="174">
        <v>7.8125E-3</v>
      </c>
      <c r="AT208" s="174">
        <v>0.869140625</v>
      </c>
      <c r="AU208" s="174">
        <v>55.485988335483867</v>
      </c>
      <c r="BG208" s="174">
        <v>3.90625E-3</v>
      </c>
      <c r="BH208" s="174">
        <v>0.89453125</v>
      </c>
      <c r="BI208" s="174">
        <v>10720</v>
      </c>
      <c r="BU208" s="174">
        <v>1.953125E-3</v>
      </c>
      <c r="BV208" s="174">
        <v>0.875</v>
      </c>
      <c r="BW208" s="174">
        <v>34080</v>
      </c>
      <c r="CI208" s="174">
        <v>3.90625E-3</v>
      </c>
      <c r="CJ208" s="174">
        <v>0.8798828125</v>
      </c>
      <c r="CK208" s="174">
        <v>61.623999999999988</v>
      </c>
    </row>
    <row r="209" spans="31:89" x14ac:dyDescent="0.2">
      <c r="AE209" s="174">
        <v>3.90625E-3</v>
      </c>
      <c r="AF209" s="174">
        <v>0.8837890625</v>
      </c>
      <c r="AG209" s="174">
        <v>18.930892799999999</v>
      </c>
      <c r="AS209" s="174">
        <v>7.8125E-3</v>
      </c>
      <c r="AT209" s="174">
        <v>0.876953125</v>
      </c>
      <c r="AU209" s="174">
        <v>57.350593238709678</v>
      </c>
      <c r="BG209" s="174">
        <v>9.765625E-4</v>
      </c>
      <c r="BH209" s="174">
        <v>0.8955078125</v>
      </c>
      <c r="BI209" s="174">
        <v>10720</v>
      </c>
      <c r="BU209" s="174">
        <v>1.953125E-3</v>
      </c>
      <c r="BV209" s="174">
        <v>0.876953125</v>
      </c>
      <c r="BW209" s="174">
        <v>34080</v>
      </c>
      <c r="CI209" s="174">
        <v>3.90625E-3</v>
      </c>
      <c r="CJ209" s="174">
        <v>0.8837890625</v>
      </c>
      <c r="CK209" s="174">
        <v>61.623999999999988</v>
      </c>
    </row>
    <row r="210" spans="31:89" x14ac:dyDescent="0.2">
      <c r="AE210" s="174">
        <v>1.953125E-3</v>
      </c>
      <c r="AF210" s="174">
        <v>0.8857421875</v>
      </c>
      <c r="AG210" s="174">
        <v>19.053027592258065</v>
      </c>
      <c r="AS210" s="174">
        <v>1.953125E-3</v>
      </c>
      <c r="AT210" s="174">
        <v>0.87890625</v>
      </c>
      <c r="AU210" s="174">
        <v>57.350593238709678</v>
      </c>
      <c r="BG210" s="174">
        <v>1.953125E-3</v>
      </c>
      <c r="BH210" s="174">
        <v>0.8974609375</v>
      </c>
      <c r="BI210" s="174">
        <v>10960</v>
      </c>
      <c r="BU210" s="174">
        <v>3.90625E-3</v>
      </c>
      <c r="BV210" s="174">
        <v>0.880859375</v>
      </c>
      <c r="BW210" s="174">
        <v>35040</v>
      </c>
      <c r="CI210" s="174">
        <v>1.953125E-3</v>
      </c>
      <c r="CJ210" s="174">
        <v>0.8857421875</v>
      </c>
      <c r="CK210" s="174">
        <v>62.021574193548382</v>
      </c>
    </row>
    <row r="211" spans="31:89" x14ac:dyDescent="0.2">
      <c r="AE211" s="174">
        <v>1.953125E-3</v>
      </c>
      <c r="AF211" s="174">
        <v>0.8876953125</v>
      </c>
      <c r="AG211" s="174">
        <v>19.053027592258065</v>
      </c>
      <c r="AS211" s="174">
        <v>7.8125E-3</v>
      </c>
      <c r="AT211" s="174">
        <v>0.88671875</v>
      </c>
      <c r="AU211" s="174">
        <v>58.282895690322576</v>
      </c>
      <c r="BG211" s="174">
        <v>1.953125E-3</v>
      </c>
      <c r="BH211" s="174">
        <v>0.8994140625</v>
      </c>
      <c r="BI211" s="174">
        <v>11040</v>
      </c>
      <c r="BU211" s="174">
        <v>1.953125E-3</v>
      </c>
      <c r="BV211" s="174">
        <v>0.8828125</v>
      </c>
      <c r="BW211" s="174">
        <v>35760</v>
      </c>
      <c r="CI211" s="174">
        <v>1.953125E-3</v>
      </c>
      <c r="CJ211" s="174">
        <v>0.8876953125</v>
      </c>
      <c r="CK211" s="174">
        <v>62.021574193548382</v>
      </c>
    </row>
    <row r="212" spans="31:89" x14ac:dyDescent="0.2">
      <c r="AE212" s="174">
        <v>1.953125E-3</v>
      </c>
      <c r="AF212" s="174">
        <v>0.8896484375</v>
      </c>
      <c r="AG212" s="174">
        <v>20.030105930322581</v>
      </c>
      <c r="AS212" s="174">
        <v>7.8125E-3</v>
      </c>
      <c r="AT212" s="174">
        <v>0.89453125</v>
      </c>
      <c r="AU212" s="174">
        <v>58.282895690322576</v>
      </c>
      <c r="BG212" s="174">
        <v>1.953125E-3</v>
      </c>
      <c r="BH212" s="174">
        <v>0.9013671875</v>
      </c>
      <c r="BI212" s="174">
        <v>11040</v>
      </c>
      <c r="BU212" s="174">
        <v>1.953125E-3</v>
      </c>
      <c r="BV212" s="174">
        <v>0.884765625</v>
      </c>
      <c r="BW212" s="174">
        <v>37600</v>
      </c>
      <c r="CI212" s="174">
        <v>1.953125E-3</v>
      </c>
      <c r="CJ212" s="174">
        <v>0.8896484375</v>
      </c>
      <c r="CK212" s="174">
        <v>65.202167741935483</v>
      </c>
    </row>
    <row r="213" spans="31:89" x14ac:dyDescent="0.2">
      <c r="AE213" s="174">
        <v>1.953125E-3</v>
      </c>
      <c r="AF213" s="174">
        <v>0.8916015625</v>
      </c>
      <c r="AG213" s="174">
        <v>20.030105930322581</v>
      </c>
      <c r="AS213" s="174">
        <v>1.953125E-3</v>
      </c>
      <c r="AT213" s="174">
        <v>0.896484375</v>
      </c>
      <c r="AU213" s="174">
        <v>60.613651819354835</v>
      </c>
      <c r="BG213" s="174">
        <v>3.90625E-3</v>
      </c>
      <c r="BH213" s="174">
        <v>0.9052734375</v>
      </c>
      <c r="BI213" s="174">
        <v>11320</v>
      </c>
      <c r="BU213" s="174">
        <v>1.953125E-3</v>
      </c>
      <c r="BV213" s="174">
        <v>0.88671875</v>
      </c>
      <c r="BW213" s="174">
        <v>37600</v>
      </c>
      <c r="CI213" s="174">
        <v>1.953125E-3</v>
      </c>
      <c r="CJ213" s="174">
        <v>0.8916015625</v>
      </c>
      <c r="CK213" s="174">
        <v>65.202167741935483</v>
      </c>
    </row>
    <row r="214" spans="31:89" x14ac:dyDescent="0.2">
      <c r="AE214" s="174">
        <v>9.765625E-4</v>
      </c>
      <c r="AF214" s="174">
        <v>0.892578125</v>
      </c>
      <c r="AG214" s="174">
        <v>20.738487725419358</v>
      </c>
      <c r="AS214" s="174">
        <v>1.953125E-3</v>
      </c>
      <c r="AT214" s="174">
        <v>0.8984375</v>
      </c>
      <c r="AU214" s="174">
        <v>60.613651819354835</v>
      </c>
      <c r="BG214" s="174">
        <v>1.953125E-3</v>
      </c>
      <c r="BH214" s="174">
        <v>0.9072265625</v>
      </c>
      <c r="BI214" s="174">
        <v>11360</v>
      </c>
      <c r="BU214" s="174">
        <v>7.8125E-3</v>
      </c>
      <c r="BV214" s="174">
        <v>0.89453125</v>
      </c>
      <c r="BW214" s="174">
        <v>37920</v>
      </c>
      <c r="CI214" s="174">
        <v>9.765625E-4</v>
      </c>
      <c r="CJ214" s="174">
        <v>0.892578125</v>
      </c>
      <c r="CK214" s="174">
        <v>67.508098064516133</v>
      </c>
    </row>
    <row r="215" spans="31:89" x14ac:dyDescent="0.2">
      <c r="AE215" s="174">
        <v>7.8125E-3</v>
      </c>
      <c r="AF215" s="174">
        <v>0.900390625</v>
      </c>
      <c r="AG215" s="174">
        <v>20.948011602580642</v>
      </c>
      <c r="AS215" s="174">
        <v>9.765625E-4</v>
      </c>
      <c r="AT215" s="174">
        <v>0.8994140625</v>
      </c>
      <c r="AU215" s="174">
        <v>62.01210549677419</v>
      </c>
      <c r="BG215" s="174">
        <v>1.953125E-3</v>
      </c>
      <c r="BH215" s="174">
        <v>0.9091796875</v>
      </c>
      <c r="BI215" s="174">
        <v>11360</v>
      </c>
      <c r="BU215" s="174">
        <v>1.953125E-3</v>
      </c>
      <c r="BV215" s="174">
        <v>0.896484375</v>
      </c>
      <c r="BW215" s="174">
        <v>37920</v>
      </c>
      <c r="CI215" s="174">
        <v>7.8125E-3</v>
      </c>
      <c r="CJ215" s="174">
        <v>0.900390625</v>
      </c>
      <c r="CK215" s="174">
        <v>68.190141935483851</v>
      </c>
    </row>
    <row r="216" spans="31:89" x14ac:dyDescent="0.2">
      <c r="AE216" s="174">
        <v>3.90625E-3</v>
      </c>
      <c r="AF216" s="174">
        <v>0.904296875</v>
      </c>
      <c r="AG216" s="174">
        <v>23.247183607741938</v>
      </c>
      <c r="AS216" s="174">
        <v>1.953125E-3</v>
      </c>
      <c r="AT216" s="174">
        <v>0.9013671875</v>
      </c>
      <c r="AU216" s="174">
        <v>65.275164077419362</v>
      </c>
      <c r="BG216" s="174">
        <v>3.90625E-3</v>
      </c>
      <c r="BH216" s="174">
        <v>0.9130859375</v>
      </c>
      <c r="BI216" s="174">
        <v>11360</v>
      </c>
      <c r="BU216" s="174">
        <v>7.8125E-3</v>
      </c>
      <c r="BV216" s="174">
        <v>0.904296875</v>
      </c>
      <c r="BW216" s="174">
        <v>39200</v>
      </c>
      <c r="CI216" s="174">
        <v>3.90625E-3</v>
      </c>
      <c r="CJ216" s="174">
        <v>0.904296875</v>
      </c>
      <c r="CK216" s="174">
        <v>75.674425806451609</v>
      </c>
    </row>
    <row r="217" spans="31:89" x14ac:dyDescent="0.2">
      <c r="AE217" s="174">
        <v>3.90625E-3</v>
      </c>
      <c r="AF217" s="174">
        <v>0.908203125</v>
      </c>
      <c r="AG217" s="174">
        <v>23.247183607741938</v>
      </c>
      <c r="AS217" s="174">
        <v>1.953125E-3</v>
      </c>
      <c r="AT217" s="174">
        <v>0.9033203125</v>
      </c>
      <c r="AU217" s="174">
        <v>65.275164077419362</v>
      </c>
      <c r="BG217" s="174">
        <v>3.90625E-3</v>
      </c>
      <c r="BH217" s="174">
        <v>0.9169921875</v>
      </c>
      <c r="BI217" s="174">
        <v>11680</v>
      </c>
      <c r="BU217" s="174">
        <v>7.8125E-3</v>
      </c>
      <c r="BV217" s="174">
        <v>0.912109375</v>
      </c>
      <c r="BW217" s="174">
        <v>39200</v>
      </c>
      <c r="CI217" s="174">
        <v>3.90625E-3</v>
      </c>
      <c r="CJ217" s="174">
        <v>0.908203125</v>
      </c>
      <c r="CK217" s="174">
        <v>75.674425806451609</v>
      </c>
    </row>
    <row r="218" spans="31:89" x14ac:dyDescent="0.2">
      <c r="AE218" s="174">
        <v>7.8125E-3</v>
      </c>
      <c r="AF218" s="174">
        <v>0.916015625</v>
      </c>
      <c r="AG218" s="174">
        <v>23.254464445935483</v>
      </c>
      <c r="AS218" s="174">
        <v>7.8125E-3</v>
      </c>
      <c r="AT218" s="174">
        <v>0.9111328125</v>
      </c>
      <c r="AU218" s="174">
        <v>66.580387509677422</v>
      </c>
      <c r="BG218" s="174">
        <v>1.953125E-3</v>
      </c>
      <c r="BH218" s="174">
        <v>0.9189453125</v>
      </c>
      <c r="BI218" s="174">
        <v>11920</v>
      </c>
      <c r="BU218" s="174">
        <v>7.8125E-3</v>
      </c>
      <c r="BV218" s="174">
        <v>0.919921875</v>
      </c>
      <c r="BW218" s="174">
        <v>39360</v>
      </c>
      <c r="CI218" s="174">
        <v>7.8125E-3</v>
      </c>
      <c r="CJ218" s="174">
        <v>0.916015625</v>
      </c>
      <c r="CK218" s="174">
        <v>75.698126451612893</v>
      </c>
    </row>
    <row r="219" spans="31:89" x14ac:dyDescent="0.2">
      <c r="AE219" s="174">
        <v>9.765625E-4</v>
      </c>
      <c r="AF219" s="174">
        <v>0.9169921875</v>
      </c>
      <c r="AG219" s="174">
        <v>23.254464445935483</v>
      </c>
      <c r="AS219" s="174">
        <v>1.953125E-3</v>
      </c>
      <c r="AT219" s="174">
        <v>0.9130859375</v>
      </c>
      <c r="AU219" s="174">
        <v>68.817913393548395</v>
      </c>
      <c r="BG219" s="174">
        <v>9.765625E-4</v>
      </c>
      <c r="BH219" s="174">
        <v>0.919921875</v>
      </c>
      <c r="BI219" s="174">
        <v>12000</v>
      </c>
      <c r="BU219" s="174">
        <v>7.8125E-3</v>
      </c>
      <c r="BV219" s="174">
        <v>0.927734375</v>
      </c>
      <c r="BW219" s="174">
        <v>40000</v>
      </c>
      <c r="CI219" s="174">
        <v>9.765625E-4</v>
      </c>
      <c r="CJ219" s="174">
        <v>0.9169921875</v>
      </c>
      <c r="CK219" s="174">
        <v>75.698126451612893</v>
      </c>
    </row>
    <row r="220" spans="31:89" x14ac:dyDescent="0.2">
      <c r="AE220" s="174">
        <v>7.8125E-3</v>
      </c>
      <c r="AF220" s="174">
        <v>0.9248046875</v>
      </c>
      <c r="AG220" s="174">
        <v>23.938419282580647</v>
      </c>
      <c r="AS220" s="174">
        <v>1.953125E-3</v>
      </c>
      <c r="AT220" s="174">
        <v>0.9150390625</v>
      </c>
      <c r="AU220" s="174">
        <v>69.936676335483881</v>
      </c>
      <c r="BG220" s="174">
        <v>9.765625E-4</v>
      </c>
      <c r="BH220" s="174">
        <v>0.9208984375</v>
      </c>
      <c r="BI220" s="174">
        <v>12000</v>
      </c>
      <c r="BU220" s="174">
        <v>7.8125E-3</v>
      </c>
      <c r="BV220" s="174">
        <v>0.935546875</v>
      </c>
      <c r="BW220" s="174">
        <v>40000</v>
      </c>
      <c r="CI220" s="174">
        <v>7.8125E-3</v>
      </c>
      <c r="CJ220" s="174">
        <v>0.9248046875</v>
      </c>
      <c r="CK220" s="174">
        <v>77.924541935483873</v>
      </c>
    </row>
    <row r="221" spans="31:89" x14ac:dyDescent="0.2">
      <c r="AE221" s="174">
        <v>1.953125E-3</v>
      </c>
      <c r="AF221" s="174">
        <v>0.9267578125</v>
      </c>
      <c r="AG221" s="174">
        <v>24.036127116387096</v>
      </c>
      <c r="AS221" s="174">
        <v>7.8125E-3</v>
      </c>
      <c r="AT221" s="174">
        <v>0.9228515625</v>
      </c>
      <c r="AU221" s="174">
        <v>69.936676335483881</v>
      </c>
      <c r="BG221" s="174">
        <v>1.953125E-3</v>
      </c>
      <c r="BH221" s="174">
        <v>0.9228515625</v>
      </c>
      <c r="BI221" s="174">
        <v>12640</v>
      </c>
      <c r="BU221" s="174">
        <v>9.765625E-4</v>
      </c>
      <c r="BV221" s="174">
        <v>0.9365234375</v>
      </c>
      <c r="BW221" s="174">
        <v>40640</v>
      </c>
      <c r="CI221" s="174">
        <v>1.953125E-3</v>
      </c>
      <c r="CJ221" s="174">
        <v>0.9267578125</v>
      </c>
      <c r="CK221" s="174">
        <v>78.242601290322568</v>
      </c>
    </row>
    <row r="222" spans="31:89" x14ac:dyDescent="0.2">
      <c r="AE222" s="174">
        <v>7.8125E-3</v>
      </c>
      <c r="AF222" s="174">
        <v>0.9345703125</v>
      </c>
      <c r="AG222" s="174">
        <v>24.426958451612904</v>
      </c>
      <c r="AS222" s="174">
        <v>7.8125E-3</v>
      </c>
      <c r="AT222" s="174">
        <v>0.9306640625</v>
      </c>
      <c r="AU222" s="174">
        <v>69.936676335483881</v>
      </c>
      <c r="BG222" s="174">
        <v>7.8125E-3</v>
      </c>
      <c r="BH222" s="174">
        <v>0.9306640625</v>
      </c>
      <c r="BI222" s="174">
        <v>12640</v>
      </c>
      <c r="BU222" s="174">
        <v>3.90625E-3</v>
      </c>
      <c r="BV222" s="174">
        <v>0.9404296875</v>
      </c>
      <c r="BW222" s="174">
        <v>45600</v>
      </c>
      <c r="CI222" s="174">
        <v>7.8125E-3</v>
      </c>
      <c r="CJ222" s="174">
        <v>0.9345703125</v>
      </c>
      <c r="CK222" s="174">
        <v>79.51483870967742</v>
      </c>
    </row>
    <row r="223" spans="31:89" x14ac:dyDescent="0.2">
      <c r="AE223" s="174">
        <v>7.8125E-3</v>
      </c>
      <c r="AF223" s="174">
        <v>0.9423828125</v>
      </c>
      <c r="AG223" s="174">
        <v>24.426958451612904</v>
      </c>
      <c r="AS223" s="174">
        <v>1.953125E-3</v>
      </c>
      <c r="AT223" s="174">
        <v>0.9326171875</v>
      </c>
      <c r="AU223" s="174">
        <v>69.936676335483881</v>
      </c>
      <c r="BG223" s="174">
        <v>1.953125E-3</v>
      </c>
      <c r="BH223" s="174">
        <v>0.9326171875</v>
      </c>
      <c r="BI223" s="174">
        <v>12640</v>
      </c>
      <c r="BU223" s="174">
        <v>3.90625E-3</v>
      </c>
      <c r="BV223" s="174">
        <v>0.9443359375</v>
      </c>
      <c r="BW223" s="174">
        <v>45600</v>
      </c>
      <c r="CI223" s="174">
        <v>7.8125E-3</v>
      </c>
      <c r="CJ223" s="174">
        <v>0.9423828125</v>
      </c>
      <c r="CK223" s="174">
        <v>79.51483870967742</v>
      </c>
    </row>
    <row r="224" spans="31:89" x14ac:dyDescent="0.2">
      <c r="AE224" s="174">
        <v>3.90625E-3</v>
      </c>
      <c r="AF224" s="174">
        <v>0.9462890625</v>
      </c>
      <c r="AG224" s="174">
        <v>24.779964944516127</v>
      </c>
      <c r="AS224" s="174">
        <v>1.953125E-3</v>
      </c>
      <c r="AT224" s="174">
        <v>0.9345703125</v>
      </c>
      <c r="AU224" s="174">
        <v>71.801281238709677</v>
      </c>
      <c r="BG224" s="174">
        <v>1.953125E-3</v>
      </c>
      <c r="BH224" s="174">
        <v>0.9345703125</v>
      </c>
      <c r="BI224" s="174">
        <v>12640</v>
      </c>
      <c r="BU224" s="174">
        <v>3.90625E-3</v>
      </c>
      <c r="BV224" s="174">
        <v>0.9482421875</v>
      </c>
      <c r="BW224" s="174">
        <v>46560</v>
      </c>
      <c r="CI224" s="174">
        <v>3.90625E-3</v>
      </c>
      <c r="CJ224" s="174">
        <v>0.9462890625</v>
      </c>
      <c r="CK224" s="174">
        <v>80.663948387096767</v>
      </c>
    </row>
    <row r="225" spans="31:89" x14ac:dyDescent="0.2">
      <c r="AE225" s="174">
        <v>1.953125E-3</v>
      </c>
      <c r="AF225" s="174">
        <v>0.9482421875</v>
      </c>
      <c r="AG225" s="174">
        <v>25.303665234580645</v>
      </c>
      <c r="AS225" s="174">
        <v>1.953125E-3</v>
      </c>
      <c r="AT225" s="174">
        <v>0.9365234375</v>
      </c>
      <c r="AU225" s="174">
        <v>71.801281238709677</v>
      </c>
      <c r="BG225" s="174">
        <v>3.90625E-3</v>
      </c>
      <c r="BH225" s="174">
        <v>0.9384765625</v>
      </c>
      <c r="BI225" s="174">
        <v>12960</v>
      </c>
      <c r="BU225" s="174">
        <v>3.90625E-3</v>
      </c>
      <c r="BV225" s="174">
        <v>0.9521484375</v>
      </c>
      <c r="BW225" s="174">
        <v>46560</v>
      </c>
      <c r="CI225" s="174">
        <v>1.953125E-3</v>
      </c>
      <c r="CJ225" s="174">
        <v>0.9482421875</v>
      </c>
      <c r="CK225" s="174">
        <v>82.36870193548387</v>
      </c>
    </row>
    <row r="226" spans="31:89" x14ac:dyDescent="0.2">
      <c r="AE226" s="174">
        <v>1.953125E-3</v>
      </c>
      <c r="AF226" s="174">
        <v>0.9501953125</v>
      </c>
      <c r="AG226" s="174">
        <v>25.306328955870967</v>
      </c>
      <c r="AS226" s="174">
        <v>1.953125E-3</v>
      </c>
      <c r="AT226" s="174">
        <v>0.9384765625</v>
      </c>
      <c r="AU226" s="174">
        <v>76.462793496774196</v>
      </c>
      <c r="BG226" s="174">
        <v>3.90625E-3</v>
      </c>
      <c r="BH226" s="174">
        <v>0.9423828125</v>
      </c>
      <c r="BI226" s="174">
        <v>12960</v>
      </c>
      <c r="BU226" s="174">
        <v>9.765625E-4</v>
      </c>
      <c r="BV226" s="174">
        <v>0.953125</v>
      </c>
      <c r="BW226" s="174">
        <v>51200</v>
      </c>
      <c r="CI226" s="174">
        <v>1.953125E-3</v>
      </c>
      <c r="CJ226" s="174">
        <v>0.9501953125</v>
      </c>
      <c r="CK226" s="174">
        <v>82.37737290322579</v>
      </c>
    </row>
    <row r="227" spans="31:89" x14ac:dyDescent="0.2">
      <c r="AE227" s="174">
        <v>1.953125E-3</v>
      </c>
      <c r="AF227" s="174">
        <v>0.9521484375</v>
      </c>
      <c r="AG227" s="174">
        <v>25.306328955870967</v>
      </c>
      <c r="AS227" s="174">
        <v>7.8125E-3</v>
      </c>
      <c r="AT227" s="174">
        <v>0.9462890625</v>
      </c>
      <c r="AU227" s="174">
        <v>79.259700851612905</v>
      </c>
      <c r="BG227" s="174">
        <v>3.90625E-3</v>
      </c>
      <c r="BH227" s="174">
        <v>0.9462890625</v>
      </c>
      <c r="BI227" s="174">
        <v>12960</v>
      </c>
      <c r="BU227" s="174">
        <v>3.90625E-3</v>
      </c>
      <c r="BV227" s="174">
        <v>0.95703125</v>
      </c>
      <c r="BW227" s="174">
        <v>52000</v>
      </c>
      <c r="CI227" s="174">
        <v>1.953125E-3</v>
      </c>
      <c r="CJ227" s="174">
        <v>0.9521484375</v>
      </c>
      <c r="CK227" s="174">
        <v>82.37737290322579</v>
      </c>
    </row>
    <row r="228" spans="31:89" x14ac:dyDescent="0.2">
      <c r="AE228" s="174">
        <v>1.953125E-3</v>
      </c>
      <c r="AF228" s="174">
        <v>0.9541015625</v>
      </c>
      <c r="AG228" s="174">
        <v>26.503249919999998</v>
      </c>
      <c r="AS228" s="174">
        <v>3.90625E-3</v>
      </c>
      <c r="AT228" s="174">
        <v>0.9501953125</v>
      </c>
      <c r="AU228" s="174">
        <v>80.285233548387112</v>
      </c>
      <c r="BG228" s="174">
        <v>3.90625E-3</v>
      </c>
      <c r="BH228" s="174">
        <v>0.9501953125</v>
      </c>
      <c r="BI228" s="174">
        <v>12960</v>
      </c>
      <c r="BU228" s="174">
        <v>3.90625E-3</v>
      </c>
      <c r="BV228" s="174">
        <v>0.9609375</v>
      </c>
      <c r="BW228" s="174">
        <v>52000</v>
      </c>
      <c r="CI228" s="174">
        <v>1.953125E-3</v>
      </c>
      <c r="CJ228" s="174">
        <v>0.9541015625</v>
      </c>
      <c r="CK228" s="174">
        <v>86.273599999999988</v>
      </c>
    </row>
    <row r="229" spans="31:89" x14ac:dyDescent="0.2">
      <c r="AE229" s="174">
        <v>1.953125E-3</v>
      </c>
      <c r="AF229" s="174">
        <v>0.9560546875</v>
      </c>
      <c r="AG229" s="174">
        <v>26.503249919999998</v>
      </c>
      <c r="AS229" s="174">
        <v>3.90625E-3</v>
      </c>
      <c r="AT229" s="174">
        <v>0.9541015625</v>
      </c>
      <c r="AU229" s="174">
        <v>81.590456980645172</v>
      </c>
      <c r="BG229" s="174">
        <v>7.8125E-3</v>
      </c>
      <c r="BH229" s="174">
        <v>0.9580078125</v>
      </c>
      <c r="BI229" s="174">
        <v>13120</v>
      </c>
      <c r="BU229" s="174">
        <v>3.90625E-3</v>
      </c>
      <c r="BV229" s="174">
        <v>0.96484375</v>
      </c>
      <c r="BW229" s="174">
        <v>52000</v>
      </c>
      <c r="CI229" s="174">
        <v>1.953125E-3</v>
      </c>
      <c r="CJ229" s="174">
        <v>0.9560546875</v>
      </c>
      <c r="CK229" s="174">
        <v>86.273599999999988</v>
      </c>
    </row>
    <row r="230" spans="31:89" x14ac:dyDescent="0.2">
      <c r="AE230" s="174">
        <v>9.765625E-4</v>
      </c>
      <c r="AF230" s="174">
        <v>0.95703125</v>
      </c>
      <c r="AG230" s="174">
        <v>28.042148302451615</v>
      </c>
      <c r="AS230" s="174">
        <v>3.90625E-3</v>
      </c>
      <c r="AT230" s="174">
        <v>0.9580078125</v>
      </c>
      <c r="AU230" s="174">
        <v>81.590456980645172</v>
      </c>
      <c r="BG230" s="174">
        <v>3.90625E-3</v>
      </c>
      <c r="BH230" s="174">
        <v>0.9619140625</v>
      </c>
      <c r="BI230" s="174">
        <v>13920</v>
      </c>
      <c r="BU230" s="174">
        <v>3.90625E-3</v>
      </c>
      <c r="BV230" s="174">
        <v>0.96875</v>
      </c>
      <c r="BW230" s="174">
        <v>52000</v>
      </c>
      <c r="CI230" s="174">
        <v>9.765625E-4</v>
      </c>
      <c r="CJ230" s="174">
        <v>0.95703125</v>
      </c>
      <c r="CK230" s="174">
        <v>91.283034838709682</v>
      </c>
    </row>
    <row r="231" spans="31:89" x14ac:dyDescent="0.2">
      <c r="AE231" s="174">
        <v>9.765625E-4</v>
      </c>
      <c r="AF231" s="174">
        <v>0.9580078125</v>
      </c>
      <c r="AG231" s="174">
        <v>28.042148302451615</v>
      </c>
      <c r="AS231" s="174">
        <v>9.765625E-4</v>
      </c>
      <c r="AT231" s="174">
        <v>0.958984375</v>
      </c>
      <c r="AU231" s="174">
        <v>84.853515561290337</v>
      </c>
      <c r="BG231" s="174">
        <v>3.90625E-3</v>
      </c>
      <c r="BH231" s="174">
        <v>0.9658203125</v>
      </c>
      <c r="BI231" s="174">
        <v>15200</v>
      </c>
      <c r="BU231" s="174">
        <v>1.953125E-3</v>
      </c>
      <c r="BV231" s="174">
        <v>0.970703125</v>
      </c>
      <c r="BW231" s="174">
        <v>53600</v>
      </c>
      <c r="CI231" s="174">
        <v>9.765625E-4</v>
      </c>
      <c r="CJ231" s="174">
        <v>0.9580078125</v>
      </c>
      <c r="CK231" s="174">
        <v>91.283034838709682</v>
      </c>
    </row>
    <row r="232" spans="31:89" x14ac:dyDescent="0.2">
      <c r="AE232" s="174">
        <v>9.765625E-4</v>
      </c>
      <c r="AF232" s="174">
        <v>0.958984375</v>
      </c>
      <c r="AG232" s="174">
        <v>28.432979637677423</v>
      </c>
      <c r="AS232" s="174">
        <v>9.765625E-4</v>
      </c>
      <c r="AT232" s="174">
        <v>0.9599609375</v>
      </c>
      <c r="AU232" s="174">
        <v>84.853515561290337</v>
      </c>
      <c r="BG232" s="174">
        <v>9.765625E-4</v>
      </c>
      <c r="BH232" s="174">
        <v>0.966796875</v>
      </c>
      <c r="BI232" s="174">
        <v>15200</v>
      </c>
      <c r="BU232" s="174">
        <v>1.953125E-3</v>
      </c>
      <c r="BV232" s="174">
        <v>0.97265625</v>
      </c>
      <c r="BW232" s="174">
        <v>53600</v>
      </c>
      <c r="CI232" s="174">
        <v>9.765625E-4</v>
      </c>
      <c r="CJ232" s="174">
        <v>0.958984375</v>
      </c>
      <c r="CK232" s="174">
        <v>92.55527225806452</v>
      </c>
    </row>
    <row r="233" spans="31:89" x14ac:dyDescent="0.2">
      <c r="AE233" s="174">
        <v>3.90625E-3</v>
      </c>
      <c r="AF233" s="174">
        <v>0.962890625</v>
      </c>
      <c r="AG233" s="174">
        <v>29.327216243612906</v>
      </c>
      <c r="AS233" s="174">
        <v>3.90625E-3</v>
      </c>
      <c r="AT233" s="174">
        <v>0.9638671875</v>
      </c>
      <c r="AU233" s="174">
        <v>95.574993754838715</v>
      </c>
      <c r="BG233" s="174">
        <v>3.90625E-3</v>
      </c>
      <c r="BH233" s="174">
        <v>0.970703125</v>
      </c>
      <c r="BI233" s="174">
        <v>15200</v>
      </c>
      <c r="BU233" s="174">
        <v>9.765625E-4</v>
      </c>
      <c r="BV233" s="174">
        <v>0.9736328125</v>
      </c>
      <c r="BW233" s="174">
        <v>54800</v>
      </c>
      <c r="CI233" s="174">
        <v>3.90625E-3</v>
      </c>
      <c r="CJ233" s="174">
        <v>0.962890625</v>
      </c>
      <c r="CK233" s="174">
        <v>95.466198709677414</v>
      </c>
    </row>
    <row r="234" spans="31:89" x14ac:dyDescent="0.2">
      <c r="AE234" s="174">
        <v>3.90625E-3</v>
      </c>
      <c r="AF234" s="174">
        <v>0.966796875</v>
      </c>
      <c r="AG234" s="174">
        <v>31.755045987096771</v>
      </c>
      <c r="AS234" s="174">
        <v>3.90625E-3</v>
      </c>
      <c r="AT234" s="174">
        <v>0.9677734375</v>
      </c>
      <c r="AU234" s="174">
        <v>97.905749883870968</v>
      </c>
      <c r="BG234" s="174">
        <v>3.90625E-3</v>
      </c>
      <c r="BH234" s="174">
        <v>0.974609375</v>
      </c>
      <c r="BI234" s="174">
        <v>15520</v>
      </c>
      <c r="BU234" s="174">
        <v>1.953125E-3</v>
      </c>
      <c r="BV234" s="174">
        <v>0.9755859375</v>
      </c>
      <c r="BW234" s="174">
        <v>56600</v>
      </c>
      <c r="CI234" s="174">
        <v>3.90625E-3</v>
      </c>
      <c r="CJ234" s="174">
        <v>0.966796875</v>
      </c>
      <c r="CK234" s="174">
        <v>103.36929032258062</v>
      </c>
    </row>
    <row r="235" spans="31:89" x14ac:dyDescent="0.2">
      <c r="AE235" s="174">
        <v>3.90625E-3</v>
      </c>
      <c r="AF235" s="174">
        <v>0.970703125</v>
      </c>
      <c r="AG235" s="174">
        <v>31.755045987096771</v>
      </c>
      <c r="AS235" s="174">
        <v>3.90625E-3</v>
      </c>
      <c r="AT235" s="174">
        <v>0.9716796875</v>
      </c>
      <c r="AU235" s="174">
        <v>97.905749883870968</v>
      </c>
      <c r="BG235" s="174">
        <v>3.90625E-3</v>
      </c>
      <c r="BH235" s="174">
        <v>0.978515625</v>
      </c>
      <c r="BI235" s="174">
        <v>15520</v>
      </c>
      <c r="BU235" s="174">
        <v>9.765625E-4</v>
      </c>
      <c r="BV235" s="174">
        <v>0.9765625</v>
      </c>
      <c r="BW235" s="174">
        <v>56800</v>
      </c>
      <c r="CI235" s="174">
        <v>3.90625E-3</v>
      </c>
      <c r="CJ235" s="174">
        <v>0.970703125</v>
      </c>
      <c r="CK235" s="174">
        <v>103.36929032258062</v>
      </c>
    </row>
    <row r="236" spans="31:89" x14ac:dyDescent="0.2">
      <c r="AE236" s="174">
        <v>3.90625E-3</v>
      </c>
      <c r="AF236" s="174">
        <v>0.974609375</v>
      </c>
      <c r="AG236" s="174">
        <v>33.513786995612904</v>
      </c>
      <c r="AS236" s="174">
        <v>9.765625E-4</v>
      </c>
      <c r="AT236" s="174">
        <v>0.97265625</v>
      </c>
      <c r="AU236" s="174">
        <v>107.04231390967743</v>
      </c>
      <c r="BG236" s="174">
        <v>9.765625E-4</v>
      </c>
      <c r="BH236" s="174">
        <v>0.9794921875</v>
      </c>
      <c r="BI236" s="174">
        <v>16080</v>
      </c>
      <c r="BU236" s="174">
        <v>9.765625E-4</v>
      </c>
      <c r="BV236" s="174">
        <v>0.9775390625</v>
      </c>
      <c r="BW236" s="174">
        <v>56800</v>
      </c>
      <c r="CI236" s="174">
        <v>3.90625E-3</v>
      </c>
      <c r="CJ236" s="174">
        <v>0.974609375</v>
      </c>
      <c r="CK236" s="174">
        <v>109.09435870967741</v>
      </c>
    </row>
    <row r="237" spans="31:89" x14ac:dyDescent="0.2">
      <c r="AE237" s="174">
        <v>3.90625E-3</v>
      </c>
      <c r="AF237" s="174">
        <v>0.978515625</v>
      </c>
      <c r="AG237" s="174">
        <v>34.197741832258068</v>
      </c>
      <c r="AS237" s="174">
        <v>3.90625E-3</v>
      </c>
      <c r="AT237" s="174">
        <v>0.9765625</v>
      </c>
      <c r="AU237" s="174">
        <v>110.95798420645161</v>
      </c>
      <c r="BG237" s="174">
        <v>1.953125E-3</v>
      </c>
      <c r="BH237" s="174">
        <v>0.9814453125</v>
      </c>
      <c r="BI237" s="174">
        <v>16440</v>
      </c>
      <c r="BU237" s="174">
        <v>1.953125E-3</v>
      </c>
      <c r="BV237" s="174">
        <v>0.9794921875</v>
      </c>
      <c r="BW237" s="174">
        <v>58400</v>
      </c>
      <c r="CI237" s="174">
        <v>3.90625E-3</v>
      </c>
      <c r="CJ237" s="174">
        <v>0.978515625</v>
      </c>
      <c r="CK237" s="174">
        <v>111.32077419354839</v>
      </c>
    </row>
    <row r="238" spans="31:89" x14ac:dyDescent="0.2">
      <c r="AE238" s="174">
        <v>3.90625E-3</v>
      </c>
      <c r="AF238" s="174">
        <v>0.982421875</v>
      </c>
      <c r="AG238" s="174">
        <v>34.197741832258068</v>
      </c>
      <c r="AS238" s="174">
        <v>3.90625E-3</v>
      </c>
      <c r="AT238" s="174">
        <v>0.98046875</v>
      </c>
      <c r="AU238" s="174">
        <v>114.68719401290323</v>
      </c>
      <c r="BG238" s="174">
        <v>1.953125E-3</v>
      </c>
      <c r="BH238" s="174">
        <v>0.9833984375</v>
      </c>
      <c r="BI238" s="174">
        <v>16800</v>
      </c>
      <c r="BU238" s="174">
        <v>9.765625E-4</v>
      </c>
      <c r="BV238" s="174">
        <v>0.98046875</v>
      </c>
      <c r="BW238" s="174">
        <v>59600</v>
      </c>
      <c r="CI238" s="174">
        <v>3.90625E-3</v>
      </c>
      <c r="CJ238" s="174">
        <v>0.982421875</v>
      </c>
      <c r="CK238" s="174">
        <v>111.32077419354839</v>
      </c>
    </row>
    <row r="239" spans="31:89" x14ac:dyDescent="0.2">
      <c r="AE239" s="174">
        <v>1.953125E-3</v>
      </c>
      <c r="AF239" s="174">
        <v>0.984375</v>
      </c>
      <c r="AG239" s="174">
        <v>34.564146209032259</v>
      </c>
      <c r="AS239" s="174">
        <v>9.765625E-4</v>
      </c>
      <c r="AT239" s="174">
        <v>0.9814453125</v>
      </c>
      <c r="AU239" s="174">
        <v>114.68719401290323</v>
      </c>
      <c r="BG239" s="174">
        <v>9.765625E-4</v>
      </c>
      <c r="BH239" s="174">
        <v>0.984375</v>
      </c>
      <c r="BI239" s="174">
        <v>17040</v>
      </c>
      <c r="BU239" s="174">
        <v>1.953125E-3</v>
      </c>
      <c r="BV239" s="174">
        <v>0.982421875</v>
      </c>
      <c r="BW239" s="174">
        <v>60960</v>
      </c>
      <c r="CI239" s="174">
        <v>1.953125E-3</v>
      </c>
      <c r="CJ239" s="174">
        <v>0.984375</v>
      </c>
      <c r="CK239" s="174">
        <v>112.51349677419354</v>
      </c>
    </row>
    <row r="240" spans="31:89" x14ac:dyDescent="0.2">
      <c r="AE240" s="174">
        <v>1.953125E-3</v>
      </c>
      <c r="AF240" s="174">
        <v>0.986328125</v>
      </c>
      <c r="AG240" s="174">
        <v>34.691950922322583</v>
      </c>
      <c r="AS240" s="174">
        <v>3.90625E-3</v>
      </c>
      <c r="AT240" s="174">
        <v>0.9853515625</v>
      </c>
      <c r="AU240" s="174">
        <v>116.55179891612903</v>
      </c>
      <c r="BG240" s="174">
        <v>1.953125E-3</v>
      </c>
      <c r="BH240" s="174">
        <v>0.986328125</v>
      </c>
      <c r="BI240" s="174">
        <v>17760</v>
      </c>
      <c r="BU240" s="174">
        <v>9.765625E-4</v>
      </c>
      <c r="BV240" s="174">
        <v>0.9833984375</v>
      </c>
      <c r="BW240" s="174">
        <v>63200</v>
      </c>
      <c r="CI240" s="174">
        <v>1.953125E-3</v>
      </c>
      <c r="CJ240" s="174">
        <v>0.986328125</v>
      </c>
      <c r="CK240" s="174">
        <v>112.92952774193549</v>
      </c>
    </row>
    <row r="241" spans="31:89" x14ac:dyDescent="0.2">
      <c r="AE241" s="174">
        <v>3.90625E-3</v>
      </c>
      <c r="AF241" s="174">
        <v>0.990234375</v>
      </c>
      <c r="AG241" s="174">
        <v>40.060211860645161</v>
      </c>
      <c r="AS241" s="174">
        <v>3.90625E-3</v>
      </c>
      <c r="AT241" s="174">
        <v>0.9892578125</v>
      </c>
      <c r="AU241" s="174">
        <v>116.55179891612903</v>
      </c>
      <c r="BG241" s="174">
        <v>9.765625E-4</v>
      </c>
      <c r="BH241" s="174">
        <v>0.9873046875</v>
      </c>
      <c r="BI241" s="174">
        <v>17760</v>
      </c>
      <c r="BU241" s="174">
        <v>3.90625E-3</v>
      </c>
      <c r="BV241" s="174">
        <v>0.9873046875</v>
      </c>
      <c r="BW241" s="174">
        <v>63200</v>
      </c>
      <c r="CI241" s="174">
        <v>3.90625E-3</v>
      </c>
      <c r="CJ241" s="174">
        <v>0.990234375</v>
      </c>
      <c r="CK241" s="174">
        <v>130.40433548387097</v>
      </c>
    </row>
    <row r="242" spans="31:89" x14ac:dyDescent="0.2">
      <c r="AE242" s="174">
        <v>1.953125E-3</v>
      </c>
      <c r="AF242" s="174">
        <v>0.9921875</v>
      </c>
      <c r="AG242" s="174">
        <v>44.457064381935488</v>
      </c>
      <c r="AS242" s="174">
        <v>1.953125E-3</v>
      </c>
      <c r="AT242" s="174">
        <v>0.9912109375</v>
      </c>
      <c r="AU242" s="174">
        <v>133.79939427096772</v>
      </c>
      <c r="BG242" s="174">
        <v>1.953125E-3</v>
      </c>
      <c r="BH242" s="174">
        <v>0.9892578125</v>
      </c>
      <c r="BI242" s="174">
        <v>17760</v>
      </c>
      <c r="BU242" s="174">
        <v>3.90625E-3</v>
      </c>
      <c r="BV242" s="174">
        <v>0.9912109375</v>
      </c>
      <c r="BW242" s="174">
        <v>65600</v>
      </c>
      <c r="CI242" s="174">
        <v>1.953125E-3</v>
      </c>
      <c r="CJ242" s="174">
        <v>0.9921875</v>
      </c>
      <c r="CK242" s="174">
        <v>144.71700645161292</v>
      </c>
    </row>
    <row r="243" spans="31:89" x14ac:dyDescent="0.2">
      <c r="AE243" s="174">
        <v>1.953125E-3</v>
      </c>
      <c r="AF243" s="174">
        <v>0.994140625</v>
      </c>
      <c r="AG243" s="174">
        <v>44.457064381935488</v>
      </c>
      <c r="AS243" s="174">
        <v>1.953125E-3</v>
      </c>
      <c r="AT243" s="174">
        <v>0.9931640625</v>
      </c>
      <c r="AU243" s="174">
        <v>160.55647463225807</v>
      </c>
      <c r="BG243" s="174">
        <v>3.90625E-3</v>
      </c>
      <c r="BH243" s="174">
        <v>0.9931640625</v>
      </c>
      <c r="BI243" s="174">
        <v>18240</v>
      </c>
      <c r="BU243" s="174">
        <v>1.953125E-3</v>
      </c>
      <c r="BV243" s="174">
        <v>0.9931640625</v>
      </c>
      <c r="BW243" s="174">
        <v>76000</v>
      </c>
      <c r="CI243" s="174">
        <v>1.953125E-3</v>
      </c>
      <c r="CJ243" s="174">
        <v>0.994140625</v>
      </c>
      <c r="CK243" s="174">
        <v>144.71700645161292</v>
      </c>
    </row>
    <row r="244" spans="31:89" x14ac:dyDescent="0.2">
      <c r="AE244" s="174">
        <v>1.953125E-3</v>
      </c>
      <c r="AF244" s="174">
        <v>0.99609375</v>
      </c>
      <c r="AG244" s="174">
        <v>47.388299396129028</v>
      </c>
      <c r="AS244" s="174">
        <v>1.953125E-3</v>
      </c>
      <c r="AT244" s="174">
        <v>0.9951171875</v>
      </c>
      <c r="AU244" s="174">
        <v>163.16692149677419</v>
      </c>
      <c r="BG244" s="174">
        <v>1.953125E-3</v>
      </c>
      <c r="BH244" s="174">
        <v>0.9951171875</v>
      </c>
      <c r="BI244" s="174">
        <v>20320</v>
      </c>
      <c r="BU244" s="174">
        <v>1.953125E-3</v>
      </c>
      <c r="BV244" s="174">
        <v>0.9951171875</v>
      </c>
      <c r="BW244" s="174">
        <v>76000</v>
      </c>
      <c r="CI244" s="174">
        <v>1.953125E-3</v>
      </c>
      <c r="CJ244" s="174">
        <v>0.99609375</v>
      </c>
      <c r="CK244" s="174">
        <v>154.25878709677417</v>
      </c>
    </row>
    <row r="245" spans="31:89" x14ac:dyDescent="0.2">
      <c r="AE245" s="174">
        <v>9.765625E-4</v>
      </c>
      <c r="AF245" s="174">
        <v>0.9970703125</v>
      </c>
      <c r="AG245" s="174">
        <v>48.389804692645157</v>
      </c>
      <c r="AS245" s="174">
        <v>1.953125E-3</v>
      </c>
      <c r="AT245" s="174">
        <v>0.9970703125</v>
      </c>
      <c r="AU245" s="174">
        <v>163.16692149677419</v>
      </c>
      <c r="BG245" s="174">
        <v>1.953125E-3</v>
      </c>
      <c r="BH245" s="174">
        <v>0.9970703125</v>
      </c>
      <c r="BI245" s="174">
        <v>20640</v>
      </c>
      <c r="BU245" s="174">
        <v>1.953125E-3</v>
      </c>
      <c r="BV245" s="174">
        <v>0.9970703125</v>
      </c>
      <c r="BW245" s="174">
        <v>77600</v>
      </c>
      <c r="CI245" s="174">
        <v>9.765625E-4</v>
      </c>
      <c r="CJ245" s="174">
        <v>0.9970703125</v>
      </c>
      <c r="CK245" s="174">
        <v>157.51889548387095</v>
      </c>
    </row>
    <row r="246" spans="31:89" x14ac:dyDescent="0.2">
      <c r="AE246" s="174">
        <v>1.953125E-3</v>
      </c>
      <c r="AF246" s="174">
        <v>0.9990234375</v>
      </c>
      <c r="AG246" s="174">
        <v>56.08429660490323</v>
      </c>
      <c r="AS246" s="174">
        <v>1.953125E-3</v>
      </c>
      <c r="AT246" s="174">
        <v>0.9990234375</v>
      </c>
      <c r="AU246" s="174">
        <v>191.13599504516128</v>
      </c>
      <c r="BG246" s="174">
        <v>1.953125E-3</v>
      </c>
      <c r="BH246" s="174">
        <v>0.9990234375</v>
      </c>
      <c r="BI246" s="174">
        <v>20640</v>
      </c>
      <c r="BU246" s="174">
        <v>1.953125E-3</v>
      </c>
      <c r="BV246" s="174">
        <v>0.9990234375</v>
      </c>
      <c r="BW246" s="174">
        <v>77600</v>
      </c>
      <c r="CI246" s="174">
        <v>1.953125E-3</v>
      </c>
      <c r="CJ246" s="174">
        <v>0.9990234375</v>
      </c>
      <c r="CK246" s="174">
        <v>182.56606967741936</v>
      </c>
    </row>
    <row r="247" spans="31:89" x14ac:dyDescent="0.2">
      <c r="AE247" s="174">
        <v>9.765625E-4</v>
      </c>
      <c r="AF247" s="174">
        <v>1</v>
      </c>
      <c r="AG247" s="174">
        <v>66.343619154580651</v>
      </c>
      <c r="AS247" s="174">
        <v>9.765625E-4</v>
      </c>
      <c r="AT247" s="174">
        <v>1</v>
      </c>
      <c r="AU247" s="174">
        <v>267.58479607741936</v>
      </c>
      <c r="BG247" s="174">
        <v>9.765625E-4</v>
      </c>
      <c r="BH247" s="174">
        <v>1</v>
      </c>
      <c r="BI247" s="174">
        <v>25440</v>
      </c>
      <c r="BU247" s="174">
        <v>9.765625E-4</v>
      </c>
      <c r="BV247" s="174">
        <v>1</v>
      </c>
      <c r="BW247" s="174">
        <v>101600</v>
      </c>
      <c r="CI247" s="174">
        <v>9.765625E-4</v>
      </c>
      <c r="CJ247" s="174">
        <v>1</v>
      </c>
      <c r="CK247" s="174">
        <v>215.96230193548388</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7"/>
  <sheetViews>
    <sheetView topLeftCell="C1" zoomScale="287" zoomScaleNormal="287" workbookViewId="0">
      <selection activeCell="H6" sqref="H6"/>
    </sheetView>
  </sheetViews>
  <sheetFormatPr baseColWidth="10" defaultColWidth="10.7109375" defaultRowHeight="14" x14ac:dyDescent="0.2"/>
  <cols>
    <col min="1" max="1" width="5.42578125" style="171" customWidth="1"/>
    <col min="2" max="2" width="8.42578125" style="171" customWidth="1"/>
    <col min="3" max="3" width="47.7109375" style="228" customWidth="1"/>
    <col min="4" max="4" width="11.5703125" style="171" customWidth="1"/>
    <col min="5" max="5" width="35.7109375" style="228" customWidth="1"/>
    <col min="6" max="16384" width="10.7109375" style="171"/>
  </cols>
  <sheetData>
    <row r="1" spans="1:8" ht="15" x14ac:dyDescent="0.2">
      <c r="C1" s="240" t="s">
        <v>280</v>
      </c>
    </row>
    <row r="2" spans="1:8" ht="15" x14ac:dyDescent="0.2">
      <c r="C2" s="332" t="s">
        <v>281</v>
      </c>
    </row>
    <row r="3" spans="1:8" ht="15" x14ac:dyDescent="0.2">
      <c r="C3" s="217"/>
      <c r="D3" s="218" t="s">
        <v>62</v>
      </c>
      <c r="E3" s="236" t="s">
        <v>63</v>
      </c>
      <c r="F3" s="219" t="s">
        <v>64</v>
      </c>
      <c r="G3" s="219" t="s">
        <v>65</v>
      </c>
      <c r="H3" s="218" t="s">
        <v>66</v>
      </c>
    </row>
    <row r="4" spans="1:8" ht="15" x14ac:dyDescent="0.2">
      <c r="C4" s="220" t="s">
        <v>4</v>
      </c>
      <c r="D4" s="221">
        <f>D10</f>
        <v>1</v>
      </c>
      <c r="E4" s="237">
        <f>D15</f>
        <v>1</v>
      </c>
      <c r="F4" s="221">
        <f>D19</f>
        <v>1</v>
      </c>
      <c r="G4" s="221">
        <f>D25</f>
        <v>1</v>
      </c>
      <c r="H4" s="333">
        <f>D4*E4*F4*G4</f>
        <v>1</v>
      </c>
    </row>
    <row r="5" spans="1:8" ht="15" x14ac:dyDescent="0.2">
      <c r="C5" s="222" t="s">
        <v>0</v>
      </c>
      <c r="D5" s="223">
        <f>D30</f>
        <v>0.8</v>
      </c>
      <c r="E5" s="238">
        <f>crossChasm_product</f>
        <v>0.6</v>
      </c>
      <c r="F5" s="224">
        <f>D41</f>
        <v>0.8</v>
      </c>
      <c r="G5" s="224">
        <f>D46</f>
        <v>0.8</v>
      </c>
      <c r="H5" s="334">
        <f t="shared" ref="H5:H6" si="0">D5*E5*F5*G5</f>
        <v>0.30720000000000003</v>
      </c>
    </row>
    <row r="6" spans="1:8" ht="15" x14ac:dyDescent="0.2">
      <c r="C6" s="225" t="s">
        <v>67</v>
      </c>
      <c r="D6" s="226">
        <f>D52</f>
        <v>0.7</v>
      </c>
      <c r="E6" s="239">
        <f>D57</f>
        <v>0.75</v>
      </c>
      <c r="F6" s="227">
        <f>D61</f>
        <v>0.7</v>
      </c>
      <c r="G6" s="227">
        <f>D67</f>
        <v>0.8</v>
      </c>
      <c r="H6" s="335">
        <f t="shared" si="0"/>
        <v>0.29399999999999998</v>
      </c>
    </row>
    <row r="9" spans="1:8" ht="15" x14ac:dyDescent="0.2">
      <c r="A9" s="325" t="s">
        <v>4</v>
      </c>
      <c r="B9" s="325"/>
      <c r="C9" s="330" t="s">
        <v>277</v>
      </c>
      <c r="D9" s="331" t="s">
        <v>278</v>
      </c>
      <c r="E9" s="330" t="s">
        <v>279</v>
      </c>
    </row>
    <row r="10" spans="1:8" s="241" customFormat="1" ht="15" x14ac:dyDescent="0.2">
      <c r="B10" s="242" t="s">
        <v>62</v>
      </c>
      <c r="C10" s="243"/>
      <c r="D10" s="327">
        <v>1</v>
      </c>
      <c r="E10" s="243" t="str">
        <f>CONCATENATE("Our thinking on ",CompanyName)</f>
        <v>Our thinking on Truthy</v>
      </c>
    </row>
    <row r="11" spans="1:8" ht="16" x14ac:dyDescent="0.2">
      <c r="C11" s="230" t="s">
        <v>177</v>
      </c>
      <c r="D11" s="328"/>
      <c r="E11" s="326" t="s">
        <v>181</v>
      </c>
    </row>
    <row r="12" spans="1:8" ht="31" x14ac:dyDescent="0.2">
      <c r="C12" s="230" t="s">
        <v>178</v>
      </c>
      <c r="D12" s="328"/>
      <c r="E12" s="326"/>
    </row>
    <row r="13" spans="1:8" ht="46" x14ac:dyDescent="0.2">
      <c r="C13" s="230" t="s">
        <v>179</v>
      </c>
      <c r="D13" s="328"/>
      <c r="E13" s="326"/>
    </row>
    <row r="14" spans="1:8" x14ac:dyDescent="0.2">
      <c r="C14" s="231"/>
      <c r="D14" s="328"/>
      <c r="E14" s="326"/>
    </row>
    <row r="15" spans="1:8" s="241" customFormat="1" ht="15" x14ac:dyDescent="0.2">
      <c r="B15" s="242" t="s">
        <v>63</v>
      </c>
      <c r="C15" s="243"/>
      <c r="D15" s="327">
        <v>1</v>
      </c>
      <c r="E15" s="243" t="str">
        <f>CONCATENATE("Our thinking on ",CompanyName)</f>
        <v>Our thinking on Truthy</v>
      </c>
    </row>
    <row r="16" spans="1:8" ht="16" x14ac:dyDescent="0.2">
      <c r="C16" s="230" t="s">
        <v>182</v>
      </c>
      <c r="D16" s="329"/>
      <c r="E16" s="326" t="s">
        <v>184</v>
      </c>
    </row>
    <row r="17" spans="1:5" ht="16" x14ac:dyDescent="0.2">
      <c r="C17" s="230" t="s">
        <v>183</v>
      </c>
      <c r="D17" s="328"/>
      <c r="E17" s="326"/>
    </row>
    <row r="18" spans="1:5" x14ac:dyDescent="0.2">
      <c r="C18" s="231"/>
      <c r="D18" s="328"/>
      <c r="E18" s="326"/>
    </row>
    <row r="19" spans="1:5" s="241" customFormat="1" ht="15" x14ac:dyDescent="0.2">
      <c r="B19" s="242" t="s">
        <v>64</v>
      </c>
      <c r="C19" s="243"/>
      <c r="D19" s="327">
        <v>1</v>
      </c>
      <c r="E19" s="243" t="str">
        <f>CONCATENATE("Our thinking on ",CompanyName)</f>
        <v>Our thinking on Truthy</v>
      </c>
    </row>
    <row r="20" spans="1:5" ht="31" x14ac:dyDescent="0.2">
      <c r="C20" s="230" t="s">
        <v>185</v>
      </c>
      <c r="D20" s="328"/>
      <c r="E20" s="326" t="s">
        <v>189</v>
      </c>
    </row>
    <row r="21" spans="1:5" ht="16" x14ac:dyDescent="0.2">
      <c r="C21" s="230" t="s">
        <v>186</v>
      </c>
      <c r="D21" s="328"/>
      <c r="E21" s="326"/>
    </row>
    <row r="22" spans="1:5" ht="16" x14ac:dyDescent="0.2">
      <c r="C22" s="230" t="s">
        <v>187</v>
      </c>
      <c r="D22" s="328"/>
      <c r="E22" s="326"/>
    </row>
    <row r="23" spans="1:5" ht="16" x14ac:dyDescent="0.2">
      <c r="B23" s="173"/>
      <c r="C23" s="232" t="s">
        <v>188</v>
      </c>
      <c r="D23" s="223"/>
      <c r="E23" s="326"/>
    </row>
    <row r="24" spans="1:5" ht="15" x14ac:dyDescent="0.2">
      <c r="B24" s="173"/>
      <c r="C24" s="232"/>
      <c r="D24" s="223"/>
      <c r="E24" s="326"/>
    </row>
    <row r="25" spans="1:5" s="241" customFormat="1" ht="15" x14ac:dyDescent="0.2">
      <c r="B25" s="242" t="s">
        <v>65</v>
      </c>
      <c r="C25" s="243"/>
      <c r="D25" s="327">
        <v>1</v>
      </c>
      <c r="E25" s="243" t="str">
        <f>CONCATENATE("Our thinking on ",CompanyName)</f>
        <v>Our thinking on Truthy</v>
      </c>
    </row>
    <row r="26" spans="1:5" ht="16" x14ac:dyDescent="0.2">
      <c r="C26" s="230" t="s">
        <v>190</v>
      </c>
      <c r="D26" s="328"/>
      <c r="E26" s="326" t="s">
        <v>192</v>
      </c>
    </row>
    <row r="27" spans="1:5" ht="16" x14ac:dyDescent="0.2">
      <c r="C27" s="230" t="s">
        <v>191</v>
      </c>
      <c r="D27" s="328"/>
      <c r="E27" s="326"/>
    </row>
    <row r="28" spans="1:5" x14ac:dyDescent="0.2">
      <c r="C28" s="231"/>
      <c r="D28" s="328"/>
      <c r="E28" s="326"/>
    </row>
    <row r="29" spans="1:5" ht="15" x14ac:dyDescent="0.2">
      <c r="A29" s="325" t="s">
        <v>0</v>
      </c>
      <c r="B29" s="325"/>
      <c r="C29" s="330" t="s">
        <v>277</v>
      </c>
      <c r="D29" s="331" t="s">
        <v>278</v>
      </c>
      <c r="E29" s="330" t="s">
        <v>279</v>
      </c>
    </row>
    <row r="30" spans="1:5" s="241" customFormat="1" ht="15" x14ac:dyDescent="0.2">
      <c r="B30" s="242" t="s">
        <v>62</v>
      </c>
      <c r="C30" s="243" t="s">
        <v>218</v>
      </c>
      <c r="D30" s="327">
        <v>0.8</v>
      </c>
      <c r="E30" s="243" t="s">
        <v>180</v>
      </c>
    </row>
    <row r="31" spans="1:5" ht="16" x14ac:dyDescent="0.2">
      <c r="C31" s="233" t="s">
        <v>193</v>
      </c>
      <c r="D31" s="328"/>
      <c r="E31" s="326" t="s">
        <v>216</v>
      </c>
    </row>
    <row r="32" spans="1:5" ht="41" customHeight="1" x14ac:dyDescent="0.2">
      <c r="C32" s="233" t="s">
        <v>215</v>
      </c>
      <c r="D32" s="328"/>
      <c r="E32" s="326" t="s">
        <v>217</v>
      </c>
    </row>
    <row r="33" spans="2:5" ht="16" x14ac:dyDescent="0.2">
      <c r="B33" s="173"/>
      <c r="C33" s="234" t="s">
        <v>214</v>
      </c>
      <c r="D33" s="223"/>
      <c r="E33" s="326"/>
    </row>
    <row r="34" spans="2:5" ht="16" x14ac:dyDescent="0.2">
      <c r="B34" s="173"/>
      <c r="C34" s="234" t="s">
        <v>194</v>
      </c>
      <c r="D34" s="223"/>
      <c r="E34" s="326"/>
    </row>
    <row r="35" spans="2:5" ht="15" x14ac:dyDescent="0.2">
      <c r="B35" s="173"/>
      <c r="C35" s="234"/>
      <c r="D35" s="223"/>
      <c r="E35" s="326"/>
    </row>
    <row r="36" spans="2:5" s="241" customFormat="1" ht="15" x14ac:dyDescent="0.2">
      <c r="B36" s="242" t="s">
        <v>63</v>
      </c>
      <c r="C36" s="243" t="s">
        <v>218</v>
      </c>
      <c r="D36" s="327">
        <v>0.6</v>
      </c>
      <c r="E36" s="243" t="str">
        <f>CONCATENATE("Our thinking on ",CompanyName)</f>
        <v>Our thinking on Truthy</v>
      </c>
    </row>
    <row r="37" spans="2:5" ht="45" x14ac:dyDescent="0.2">
      <c r="C37" s="235" t="s">
        <v>195</v>
      </c>
      <c r="D37" s="328"/>
      <c r="E37" s="326" t="s">
        <v>219</v>
      </c>
    </row>
    <row r="38" spans="2:5" ht="46" x14ac:dyDescent="0.2">
      <c r="C38" s="235" t="s">
        <v>196</v>
      </c>
      <c r="D38" s="328"/>
      <c r="E38" s="326"/>
    </row>
    <row r="39" spans="2:5" ht="16" x14ac:dyDescent="0.2">
      <c r="C39" s="235" t="s">
        <v>197</v>
      </c>
      <c r="D39" s="328"/>
      <c r="E39" s="326"/>
    </row>
    <row r="40" spans="2:5" x14ac:dyDescent="0.2">
      <c r="D40" s="328"/>
      <c r="E40" s="326"/>
    </row>
    <row r="41" spans="2:5" s="241" customFormat="1" ht="15" x14ac:dyDescent="0.2">
      <c r="B41" s="242" t="s">
        <v>64</v>
      </c>
      <c r="C41" s="243" t="s">
        <v>218</v>
      </c>
      <c r="D41" s="327">
        <v>0.8</v>
      </c>
      <c r="E41" s="243" t="str">
        <f>CONCATENATE("Our thinking on ",CompanyName)</f>
        <v>Our thinking on Truthy</v>
      </c>
    </row>
    <row r="42" spans="2:5" ht="30" x14ac:dyDescent="0.2">
      <c r="C42" s="235" t="s">
        <v>198</v>
      </c>
      <c r="D42" s="328"/>
      <c r="E42" s="326" t="s">
        <v>220</v>
      </c>
    </row>
    <row r="43" spans="2:5" ht="60" x14ac:dyDescent="0.2">
      <c r="C43" s="235" t="s">
        <v>199</v>
      </c>
      <c r="D43" s="328"/>
      <c r="E43" s="326" t="s">
        <v>221</v>
      </c>
    </row>
    <row r="44" spans="2:5" ht="16" x14ac:dyDescent="0.2">
      <c r="C44" s="235" t="s">
        <v>200</v>
      </c>
      <c r="D44" s="328"/>
      <c r="E44" s="326"/>
    </row>
    <row r="45" spans="2:5" ht="15" x14ac:dyDescent="0.2">
      <c r="C45" s="235"/>
      <c r="D45" s="328"/>
      <c r="E45" s="326"/>
    </row>
    <row r="46" spans="2:5" s="241" customFormat="1" ht="15" x14ac:dyDescent="0.2">
      <c r="B46" s="242" t="s">
        <v>65</v>
      </c>
      <c r="C46" s="243" t="s">
        <v>218</v>
      </c>
      <c r="D46" s="327">
        <v>0.8</v>
      </c>
      <c r="E46" s="243" t="str">
        <f>CONCATENATE("Our thinking on ",CompanyName)</f>
        <v>Our thinking on Truthy</v>
      </c>
    </row>
    <row r="47" spans="2:5" ht="45" x14ac:dyDescent="0.2">
      <c r="C47" s="235" t="s">
        <v>201</v>
      </c>
      <c r="D47" s="328"/>
      <c r="E47" s="326" t="s">
        <v>222</v>
      </c>
    </row>
    <row r="48" spans="2:5" ht="31" x14ac:dyDescent="0.2">
      <c r="C48" s="235" t="s">
        <v>202</v>
      </c>
      <c r="D48" s="328"/>
      <c r="E48" s="326" t="s">
        <v>223</v>
      </c>
    </row>
    <row r="49" spans="1:5" x14ac:dyDescent="0.2">
      <c r="D49" s="328"/>
      <c r="E49" s="326"/>
    </row>
    <row r="50" spans="1:5" x14ac:dyDescent="0.2">
      <c r="D50" s="328"/>
      <c r="E50" s="326"/>
    </row>
    <row r="51" spans="1:5" ht="15" x14ac:dyDescent="0.2">
      <c r="A51" s="325" t="s">
        <v>67</v>
      </c>
      <c r="B51" s="299"/>
      <c r="C51" s="330" t="s">
        <v>277</v>
      </c>
      <c r="D51" s="331" t="s">
        <v>278</v>
      </c>
      <c r="E51" s="330" t="s">
        <v>279</v>
      </c>
    </row>
    <row r="52" spans="1:5" s="241" customFormat="1" ht="15" x14ac:dyDescent="0.2">
      <c r="B52" s="242" t="s">
        <v>62</v>
      </c>
      <c r="C52" s="243" t="s">
        <v>218</v>
      </c>
      <c r="D52" s="327">
        <v>0.7</v>
      </c>
      <c r="E52" s="243" t="str">
        <f>CONCATENATE("Our thinking on ",CompanyName)</f>
        <v>Our thinking on Truthy</v>
      </c>
    </row>
    <row r="53" spans="1:5" ht="30" x14ac:dyDescent="0.2">
      <c r="C53" s="233" t="s">
        <v>203</v>
      </c>
      <c r="D53" s="328"/>
      <c r="E53" s="326" t="s">
        <v>224</v>
      </c>
    </row>
    <row r="54" spans="1:5" ht="16" x14ac:dyDescent="0.2">
      <c r="C54" s="233" t="s">
        <v>204</v>
      </c>
      <c r="D54" s="328"/>
      <c r="E54" s="326"/>
    </row>
    <row r="55" spans="1:5" ht="16" x14ac:dyDescent="0.2">
      <c r="C55" s="233" t="s">
        <v>205</v>
      </c>
      <c r="D55" s="328"/>
      <c r="E55" s="326"/>
    </row>
    <row r="56" spans="1:5" x14ac:dyDescent="0.2">
      <c r="B56" s="173"/>
      <c r="C56" s="217"/>
      <c r="D56" s="223"/>
      <c r="E56" s="326"/>
    </row>
    <row r="57" spans="1:5" s="241" customFormat="1" ht="15" x14ac:dyDescent="0.2">
      <c r="B57" s="242" t="s">
        <v>63</v>
      </c>
      <c r="C57" s="243" t="s">
        <v>218</v>
      </c>
      <c r="D57" s="327">
        <v>0.75</v>
      </c>
      <c r="E57" s="243" t="str">
        <f>CONCATENATE("Our thinking on ",CompanyName)</f>
        <v>Our thinking on Truthy</v>
      </c>
    </row>
    <row r="58" spans="1:5" ht="45" x14ac:dyDescent="0.2">
      <c r="C58" s="233" t="s">
        <v>206</v>
      </c>
      <c r="D58" s="329"/>
      <c r="E58" s="326" t="s">
        <v>225</v>
      </c>
    </row>
    <row r="59" spans="1:5" ht="30" x14ac:dyDescent="0.2">
      <c r="C59" s="233" t="s">
        <v>207</v>
      </c>
      <c r="D59" s="328"/>
      <c r="E59" s="326" t="s">
        <v>226</v>
      </c>
    </row>
    <row r="60" spans="1:5" ht="15" x14ac:dyDescent="0.2">
      <c r="C60" s="233"/>
      <c r="D60" s="328"/>
      <c r="E60" s="326"/>
    </row>
    <row r="61" spans="1:5" s="241" customFormat="1" ht="15" x14ac:dyDescent="0.2">
      <c r="B61" s="242" t="s">
        <v>64</v>
      </c>
      <c r="C61" s="243" t="s">
        <v>218</v>
      </c>
      <c r="D61" s="327">
        <v>0.7</v>
      </c>
      <c r="E61" s="243" t="s">
        <v>180</v>
      </c>
    </row>
    <row r="62" spans="1:5" ht="45" x14ac:dyDescent="0.2">
      <c r="C62" s="235" t="s">
        <v>208</v>
      </c>
      <c r="D62" s="328"/>
      <c r="E62" s="326" t="s">
        <v>227</v>
      </c>
    </row>
    <row r="63" spans="1:5" ht="45" x14ac:dyDescent="0.2">
      <c r="C63" s="235" t="s">
        <v>209</v>
      </c>
      <c r="D63" s="328"/>
      <c r="E63" s="326" t="s">
        <v>228</v>
      </c>
    </row>
    <row r="64" spans="1:5" ht="16" x14ac:dyDescent="0.2">
      <c r="C64" s="235" t="s">
        <v>210</v>
      </c>
      <c r="D64" s="328"/>
      <c r="E64" s="326"/>
    </row>
    <row r="65" spans="2:5" ht="16" x14ac:dyDescent="0.2">
      <c r="C65" s="235" t="s">
        <v>211</v>
      </c>
      <c r="D65" s="328"/>
      <c r="E65" s="326"/>
    </row>
    <row r="66" spans="2:5" ht="15" x14ac:dyDescent="0.2">
      <c r="C66" s="235"/>
      <c r="D66" s="328"/>
      <c r="E66" s="326"/>
    </row>
    <row r="67" spans="2:5" s="241" customFormat="1" ht="16" customHeight="1" x14ac:dyDescent="0.2">
      <c r="B67" s="242" t="s">
        <v>65</v>
      </c>
      <c r="C67" s="243" t="s">
        <v>218</v>
      </c>
      <c r="D67" s="327">
        <v>0.8</v>
      </c>
      <c r="E67" s="243" t="str">
        <f>CONCATENATE("Our thinking on ",CompanyName)</f>
        <v>Our thinking on Truthy</v>
      </c>
    </row>
    <row r="68" spans="2:5" ht="45" x14ac:dyDescent="0.2">
      <c r="C68" s="235" t="s">
        <v>212</v>
      </c>
      <c r="D68" s="329"/>
      <c r="E68" s="326" t="s">
        <v>229</v>
      </c>
    </row>
    <row r="69" spans="2:5" ht="16" x14ac:dyDescent="0.2">
      <c r="C69" s="235" t="s">
        <v>213</v>
      </c>
      <c r="D69" s="229"/>
      <c r="E69" s="326"/>
    </row>
    <row r="70" spans="2:5" x14ac:dyDescent="0.2">
      <c r="C70" s="231"/>
      <c r="D70" s="229"/>
      <c r="E70" s="326"/>
    </row>
    <row r="71" spans="2:5" x14ac:dyDescent="0.2">
      <c r="D71" s="229"/>
      <c r="E71" s="326"/>
    </row>
    <row r="72" spans="2:5" x14ac:dyDescent="0.2">
      <c r="D72" s="229"/>
      <c r="E72" s="326"/>
    </row>
    <row r="73" spans="2:5" x14ac:dyDescent="0.2">
      <c r="D73" s="229"/>
      <c r="E73" s="326"/>
    </row>
    <row r="74" spans="2:5" x14ac:dyDescent="0.2">
      <c r="D74" s="229"/>
      <c r="E74" s="326"/>
    </row>
    <row r="75" spans="2:5" x14ac:dyDescent="0.2">
      <c r="D75" s="229"/>
      <c r="E75" s="326"/>
    </row>
    <row r="76" spans="2:5" x14ac:dyDescent="0.2">
      <c r="D76" s="229"/>
      <c r="E76" s="326"/>
    </row>
    <row r="77" spans="2:5" x14ac:dyDescent="0.2">
      <c r="E77" s="326"/>
    </row>
  </sheetData>
  <conditionalFormatting sqref="G3:G6">
    <cfRule type="expression" dxfId="2" priority="4" stopIfTrue="1">
      <formula>IF($G3=2, TRUE, FALSE)</formula>
    </cfRule>
  </conditionalFormatting>
  <conditionalFormatting sqref="F5:F6 F3">
    <cfRule type="expression" dxfId="1" priority="1" stopIfTrue="1">
      <formula>IF($G3=1, TRUE, FALSE)</formula>
    </cfRule>
  </conditionalFormatting>
  <conditionalFormatting sqref="H3:H6">
    <cfRule type="expression" dxfId="0" priority="2" stopIfTrue="1">
      <formula>IF($G3=3,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ColWidth="10.7109375" defaultRowHeight="14" x14ac:dyDescent="0.2"/>
  <cols>
    <col min="1" max="1" width="10.7109375" style="258"/>
    <col min="2" max="2" width="14.7109375" style="258" bestFit="1" customWidth="1"/>
    <col min="3" max="3" width="14.7109375" style="258" customWidth="1"/>
    <col min="4" max="13" width="10.7109375" style="258"/>
    <col min="14" max="14" width="12.5703125" style="258" bestFit="1" customWidth="1"/>
    <col min="15" max="15" width="10.7109375" style="258"/>
    <col min="16" max="16" width="14.42578125" style="258" customWidth="1"/>
    <col min="17" max="18" width="10.7109375" style="258"/>
    <col min="19" max="19" width="13" style="258" customWidth="1"/>
    <col min="20" max="16384" width="10.7109375" style="258"/>
  </cols>
  <sheetData>
    <row r="2" spans="3:20" ht="19" x14ac:dyDescent="0.25">
      <c r="C2" s="256" t="s">
        <v>243</v>
      </c>
      <c r="D2" s="257">
        <f>SUMPRODUCT(R6:R250,T6:T250)</f>
        <v>10.314531344516132</v>
      </c>
    </row>
    <row r="3" spans="3:20" x14ac:dyDescent="0.2">
      <c r="M3" s="259" t="s">
        <v>231</v>
      </c>
    </row>
    <row r="5" spans="3:20" x14ac:dyDescent="0.2">
      <c r="M5" s="348" t="s">
        <v>121</v>
      </c>
      <c r="N5" s="349"/>
      <c r="O5" s="350"/>
      <c r="P5" s="260"/>
      <c r="R5" s="302" t="s">
        <v>119</v>
      </c>
      <c r="S5" s="303" t="s">
        <v>120</v>
      </c>
      <c r="T5" s="304" t="s">
        <v>9</v>
      </c>
    </row>
    <row r="6" spans="3:20" ht="15" thickBot="1" x14ac:dyDescent="0.25">
      <c r="M6" s="261" t="s">
        <v>119</v>
      </c>
      <c r="N6" s="262" t="s">
        <v>120</v>
      </c>
      <c r="O6" s="263" t="s">
        <v>9</v>
      </c>
      <c r="P6" s="305" t="s">
        <v>244</v>
      </c>
      <c r="R6" s="300">
        <v>0</v>
      </c>
      <c r="S6" s="264">
        <v>0</v>
      </c>
      <c r="T6" s="265">
        <v>0</v>
      </c>
    </row>
    <row r="7" spans="3:20" x14ac:dyDescent="0.2">
      <c r="M7" s="364">
        <f>Tornado!CI5</f>
        <v>9.765625E-4</v>
      </c>
      <c r="N7" s="365">
        <f>Tornado!CJ5</f>
        <v>9.765625E-4</v>
      </c>
      <c r="O7" s="366">
        <f>Tornado!CK5</f>
        <v>1.7500799999999996</v>
      </c>
      <c r="P7" s="266">
        <f t="shared" ref="P7:P70" si="0">pCrossChasm_total * N7</f>
        <v>3.0000000000000003E-4</v>
      </c>
      <c r="R7" s="300">
        <f>S7-S6</f>
        <v>0.69279999999999997</v>
      </c>
      <c r="S7" s="267">
        <f>1-pCrossChasm_total</f>
        <v>0.69279999999999997</v>
      </c>
      <c r="T7" s="266">
        <v>0</v>
      </c>
    </row>
    <row r="8" spans="3:20" x14ac:dyDescent="0.2">
      <c r="M8" s="367">
        <f>Tornado!CI6</f>
        <v>1.953125E-3</v>
      </c>
      <c r="N8" s="268">
        <f>Tornado!CJ6</f>
        <v>2.9296875E-3</v>
      </c>
      <c r="O8" s="368">
        <f>Tornado!CK6</f>
        <v>2.4275303225806448</v>
      </c>
      <c r="P8" s="266">
        <f t="shared" si="0"/>
        <v>9.0000000000000008E-4</v>
      </c>
      <c r="R8" s="300">
        <f t="shared" ref="R8:R71" si="1">S8-S7</f>
        <v>2.9999999999996696E-4</v>
      </c>
      <c r="S8" s="267">
        <f>P7+$S$7</f>
        <v>0.69309999999999994</v>
      </c>
      <c r="T8" s="266">
        <f>O7</f>
        <v>1.7500799999999996</v>
      </c>
    </row>
    <row r="9" spans="3:20" x14ac:dyDescent="0.2">
      <c r="M9" s="367">
        <f>Tornado!CI7</f>
        <v>1.953125E-3</v>
      </c>
      <c r="N9" s="268">
        <f>Tornado!CJ7</f>
        <v>4.8828125E-3</v>
      </c>
      <c r="O9" s="368">
        <f>Tornado!CK7</f>
        <v>2.4275303225806448</v>
      </c>
      <c r="P9" s="266">
        <f t="shared" si="0"/>
        <v>1.5E-3</v>
      </c>
      <c r="R9" s="300">
        <f t="shared" si="1"/>
        <v>6.0000000000004494E-4</v>
      </c>
      <c r="S9" s="267">
        <f t="shared" ref="S9:S72" si="2">P8+$S$7</f>
        <v>0.69369999999999998</v>
      </c>
      <c r="T9" s="266">
        <f t="shared" ref="T9:T72" si="3">O8</f>
        <v>2.4275303225806448</v>
      </c>
    </row>
    <row r="10" spans="3:20" x14ac:dyDescent="0.2">
      <c r="M10" s="367">
        <f>Tornado!CI8</f>
        <v>1.953125E-3</v>
      </c>
      <c r="N10" s="268">
        <f>Tornado!CJ8</f>
        <v>6.8359375E-3</v>
      </c>
      <c r="O10" s="368">
        <f>Tornado!CK8</f>
        <v>2.9167999999999994</v>
      </c>
      <c r="P10" s="266">
        <f t="shared" si="0"/>
        <v>2.1000000000000003E-3</v>
      </c>
      <c r="R10" s="300">
        <f t="shared" si="1"/>
        <v>5.9999999999993392E-4</v>
      </c>
      <c r="S10" s="267">
        <f t="shared" si="2"/>
        <v>0.69429999999999992</v>
      </c>
      <c r="T10" s="266">
        <f t="shared" si="3"/>
        <v>2.4275303225806448</v>
      </c>
    </row>
    <row r="11" spans="3:20" x14ac:dyDescent="0.2">
      <c r="M11" s="367">
        <f>Tornado!CI9</f>
        <v>9.765625E-4</v>
      </c>
      <c r="N11" s="268">
        <f>Tornado!CJ9</f>
        <v>7.8125E-3</v>
      </c>
      <c r="O11" s="368">
        <f>Tornado!CK9</f>
        <v>3.330797419354838</v>
      </c>
      <c r="P11" s="266">
        <f t="shared" si="0"/>
        <v>2.4000000000000002E-3</v>
      </c>
      <c r="R11" s="300">
        <f t="shared" si="1"/>
        <v>6.0000000000004494E-4</v>
      </c>
      <c r="S11" s="267">
        <f t="shared" si="2"/>
        <v>0.69489999999999996</v>
      </c>
      <c r="T11" s="266">
        <f t="shared" si="3"/>
        <v>2.9167999999999994</v>
      </c>
    </row>
    <row r="12" spans="3:20" x14ac:dyDescent="0.2">
      <c r="M12" s="367">
        <f>Tornado!CI10</f>
        <v>9.765625E-4</v>
      </c>
      <c r="N12" s="268">
        <f>Tornado!CJ10</f>
        <v>8.7890625E-3</v>
      </c>
      <c r="O12" s="368">
        <f>Tornado!CK10</f>
        <v>3.330797419354838</v>
      </c>
      <c r="P12" s="266">
        <f t="shared" si="0"/>
        <v>2.7000000000000001E-3</v>
      </c>
      <c r="R12" s="300">
        <f t="shared" si="1"/>
        <v>2.9999999999996696E-4</v>
      </c>
      <c r="S12" s="267">
        <f t="shared" si="2"/>
        <v>0.69519999999999993</v>
      </c>
      <c r="T12" s="266">
        <f t="shared" si="3"/>
        <v>3.330797419354838</v>
      </c>
    </row>
    <row r="13" spans="3:20" x14ac:dyDescent="0.2">
      <c r="M13" s="367">
        <f>Tornado!CI11</f>
        <v>1.953125E-3</v>
      </c>
      <c r="N13" s="268">
        <f>Tornado!CJ11</f>
        <v>1.07421875E-2</v>
      </c>
      <c r="O13" s="368">
        <f>Tornado!CK11</f>
        <v>3.8668800000000001</v>
      </c>
      <c r="P13" s="266">
        <f t="shared" si="0"/>
        <v>3.3000000000000004E-3</v>
      </c>
      <c r="R13" s="300">
        <f t="shared" si="1"/>
        <v>3.0000000000007798E-4</v>
      </c>
      <c r="S13" s="267">
        <f t="shared" si="2"/>
        <v>0.69550000000000001</v>
      </c>
      <c r="T13" s="266">
        <f t="shared" si="3"/>
        <v>3.330797419354838</v>
      </c>
    </row>
    <row r="14" spans="3:20" x14ac:dyDescent="0.2">
      <c r="M14" s="367">
        <f>Tornado!CI12</f>
        <v>3.90625E-3</v>
      </c>
      <c r="N14" s="268">
        <f>Tornado!CJ12</f>
        <v>1.46484375E-2</v>
      </c>
      <c r="O14" s="368">
        <f>Tornado!CK12</f>
        <v>4.0458838709677405</v>
      </c>
      <c r="P14" s="266">
        <f t="shared" si="0"/>
        <v>4.5000000000000005E-3</v>
      </c>
      <c r="R14" s="300">
        <f t="shared" si="1"/>
        <v>5.9999999999993392E-4</v>
      </c>
      <c r="S14" s="267">
        <f t="shared" si="2"/>
        <v>0.69609999999999994</v>
      </c>
      <c r="T14" s="266">
        <f t="shared" si="3"/>
        <v>3.8668800000000001</v>
      </c>
    </row>
    <row r="15" spans="3:20" x14ac:dyDescent="0.2">
      <c r="M15" s="367">
        <f>Tornado!CI13</f>
        <v>3.90625E-3</v>
      </c>
      <c r="N15" s="268">
        <f>Tornado!CJ13</f>
        <v>1.85546875E-2</v>
      </c>
      <c r="O15" s="368">
        <f>Tornado!CK13</f>
        <v>4.0458838709677405</v>
      </c>
      <c r="P15" s="266">
        <f t="shared" si="0"/>
        <v>5.7000000000000002E-3</v>
      </c>
      <c r="R15" s="300">
        <f t="shared" si="1"/>
        <v>1.1999999999999789E-3</v>
      </c>
      <c r="S15" s="267">
        <f t="shared" si="2"/>
        <v>0.69729999999999992</v>
      </c>
      <c r="T15" s="266">
        <f t="shared" si="3"/>
        <v>4.0458838709677405</v>
      </c>
    </row>
    <row r="16" spans="3:20" x14ac:dyDescent="0.2">
      <c r="M16" s="367">
        <f>Tornado!CI14</f>
        <v>9.765625E-4</v>
      </c>
      <c r="N16" s="268">
        <f>Tornado!CJ14</f>
        <v>1.953125E-2</v>
      </c>
      <c r="O16" s="368">
        <f>Tornado!CK14</f>
        <v>4.0835199999999992</v>
      </c>
      <c r="P16" s="266">
        <f t="shared" si="0"/>
        <v>6.0000000000000001E-3</v>
      </c>
      <c r="R16" s="300">
        <f t="shared" si="1"/>
        <v>1.2000000000000899E-3</v>
      </c>
      <c r="S16" s="267">
        <f t="shared" si="2"/>
        <v>0.69850000000000001</v>
      </c>
      <c r="T16" s="266">
        <f t="shared" si="3"/>
        <v>4.0458838709677405</v>
      </c>
    </row>
    <row r="17" spans="13:20" x14ac:dyDescent="0.2">
      <c r="M17" s="367">
        <f>Tornado!CI15</f>
        <v>1.953125E-3</v>
      </c>
      <c r="N17" s="268">
        <f>Tornado!CJ15</f>
        <v>2.1484375E-2</v>
      </c>
      <c r="O17" s="368">
        <f>Tornado!CK15</f>
        <v>4.2905187096774187</v>
      </c>
      <c r="P17" s="266">
        <f t="shared" si="0"/>
        <v>6.6000000000000008E-3</v>
      </c>
      <c r="R17" s="300">
        <f t="shared" si="1"/>
        <v>2.9999999999996696E-4</v>
      </c>
      <c r="S17" s="267">
        <f t="shared" si="2"/>
        <v>0.69879999999999998</v>
      </c>
      <c r="T17" s="266">
        <f t="shared" si="3"/>
        <v>4.0835199999999992</v>
      </c>
    </row>
    <row r="18" spans="13:20" x14ac:dyDescent="0.2">
      <c r="M18" s="367">
        <f>Tornado!CI16</f>
        <v>3.90625E-3</v>
      </c>
      <c r="N18" s="268">
        <f>Tornado!CJ16</f>
        <v>2.5390625E-2</v>
      </c>
      <c r="O18" s="368">
        <f>Tornado!CK16</f>
        <v>4.967969032258063</v>
      </c>
      <c r="P18" s="266">
        <f t="shared" si="0"/>
        <v>7.8000000000000005E-3</v>
      </c>
      <c r="R18" s="300">
        <f t="shared" si="1"/>
        <v>6.0000000000004494E-4</v>
      </c>
      <c r="S18" s="267">
        <f t="shared" si="2"/>
        <v>0.69940000000000002</v>
      </c>
      <c r="T18" s="266">
        <f t="shared" si="3"/>
        <v>4.2905187096774187</v>
      </c>
    </row>
    <row r="19" spans="13:20" x14ac:dyDescent="0.2">
      <c r="M19" s="367">
        <f>Tornado!CI17</f>
        <v>3.90625E-3</v>
      </c>
      <c r="N19" s="268">
        <f>Tornado!CJ17</f>
        <v>2.9296875E-2</v>
      </c>
      <c r="O19" s="368">
        <f>Tornado!CK17</f>
        <v>4.967969032258063</v>
      </c>
      <c r="P19" s="266">
        <f t="shared" si="0"/>
        <v>9.0000000000000011E-3</v>
      </c>
      <c r="R19" s="300">
        <f t="shared" si="1"/>
        <v>1.1999999999999789E-3</v>
      </c>
      <c r="S19" s="267">
        <f t="shared" si="2"/>
        <v>0.7006</v>
      </c>
      <c r="T19" s="266">
        <f t="shared" si="3"/>
        <v>4.967969032258063</v>
      </c>
    </row>
    <row r="20" spans="13:20" x14ac:dyDescent="0.2">
      <c r="M20" s="367">
        <f>Tornado!CI18</f>
        <v>3.90625E-3</v>
      </c>
      <c r="N20" s="268">
        <f>Tornado!CJ18</f>
        <v>3.3203125E-2</v>
      </c>
      <c r="O20" s="368">
        <f>Tornado!CK18</f>
        <v>5.1373316129032247</v>
      </c>
      <c r="P20" s="266">
        <f t="shared" si="0"/>
        <v>1.0200000000000001E-2</v>
      </c>
      <c r="R20" s="300">
        <f t="shared" si="1"/>
        <v>1.1999999999999789E-3</v>
      </c>
      <c r="S20" s="267">
        <f t="shared" si="2"/>
        <v>0.70179999999999998</v>
      </c>
      <c r="T20" s="266">
        <f t="shared" si="3"/>
        <v>4.967969032258063</v>
      </c>
    </row>
    <row r="21" spans="13:20" x14ac:dyDescent="0.2">
      <c r="M21" s="367">
        <f>Tornado!CI19</f>
        <v>3.90625E-3</v>
      </c>
      <c r="N21" s="268">
        <f>Tornado!CJ19</f>
        <v>3.7109375E-2</v>
      </c>
      <c r="O21" s="368">
        <f>Tornado!CK19</f>
        <v>5.3637367741935478</v>
      </c>
      <c r="P21" s="266">
        <f t="shared" si="0"/>
        <v>1.14E-2</v>
      </c>
      <c r="R21" s="300">
        <f t="shared" si="1"/>
        <v>1.1999999999999789E-3</v>
      </c>
      <c r="S21" s="267">
        <f t="shared" si="2"/>
        <v>0.70299999999999996</v>
      </c>
      <c r="T21" s="266">
        <f t="shared" si="3"/>
        <v>5.1373316129032247</v>
      </c>
    </row>
    <row r="22" spans="13:20" x14ac:dyDescent="0.2">
      <c r="M22" s="367">
        <f>Tornado!CI20</f>
        <v>3.90625E-3</v>
      </c>
      <c r="N22" s="268">
        <f>Tornado!CJ20</f>
        <v>4.1015625E-2</v>
      </c>
      <c r="O22" s="368">
        <f>Tornado!CK20</f>
        <v>5.3637367741935478</v>
      </c>
      <c r="P22" s="266">
        <f t="shared" si="0"/>
        <v>1.2600000000000002E-2</v>
      </c>
      <c r="R22" s="300">
        <f t="shared" si="1"/>
        <v>1.1999999999999789E-3</v>
      </c>
      <c r="S22" s="267">
        <f t="shared" si="2"/>
        <v>0.70419999999999994</v>
      </c>
      <c r="T22" s="266">
        <f t="shared" si="3"/>
        <v>5.3637367741935478</v>
      </c>
    </row>
    <row r="23" spans="13:20" x14ac:dyDescent="0.2">
      <c r="M23" s="367">
        <f>Tornado!CI21</f>
        <v>1.953125E-3</v>
      </c>
      <c r="N23" s="268">
        <f>Tornado!CJ21</f>
        <v>4.296875E-2</v>
      </c>
      <c r="O23" s="368">
        <f>Tornado!CK21</f>
        <v>5.5513290322580637</v>
      </c>
      <c r="P23" s="266">
        <f t="shared" si="0"/>
        <v>1.3200000000000002E-2</v>
      </c>
      <c r="R23" s="300">
        <f t="shared" si="1"/>
        <v>1.2000000000000899E-3</v>
      </c>
      <c r="S23" s="267">
        <f t="shared" si="2"/>
        <v>0.70540000000000003</v>
      </c>
      <c r="T23" s="266">
        <f t="shared" si="3"/>
        <v>5.3637367741935478</v>
      </c>
    </row>
    <row r="24" spans="13:20" x14ac:dyDescent="0.2">
      <c r="M24" s="367">
        <f>Tornado!CI22</f>
        <v>1.953125E-3</v>
      </c>
      <c r="N24" s="268">
        <f>Tornado!CJ22</f>
        <v>4.4921875E-2</v>
      </c>
      <c r="O24" s="368">
        <f>Tornado!CK22</f>
        <v>5.5513290322580637</v>
      </c>
      <c r="P24" s="266">
        <f t="shared" si="0"/>
        <v>1.3800000000000002E-2</v>
      </c>
      <c r="R24" s="300">
        <f t="shared" si="1"/>
        <v>5.9999999999993392E-4</v>
      </c>
      <c r="S24" s="267">
        <f t="shared" si="2"/>
        <v>0.70599999999999996</v>
      </c>
      <c r="T24" s="266">
        <f t="shared" si="3"/>
        <v>5.5513290322580637</v>
      </c>
    </row>
    <row r="25" spans="13:20" x14ac:dyDescent="0.2">
      <c r="M25" s="367">
        <f>Tornado!CI23</f>
        <v>1.953125E-3</v>
      </c>
      <c r="N25" s="268">
        <f>Tornado!CJ23</f>
        <v>4.6875E-2</v>
      </c>
      <c r="O25" s="368">
        <f>Tornado!CK23</f>
        <v>5.664237419354837</v>
      </c>
      <c r="P25" s="266">
        <f t="shared" si="0"/>
        <v>1.4400000000000001E-2</v>
      </c>
      <c r="R25" s="300">
        <f t="shared" si="1"/>
        <v>6.0000000000004494E-4</v>
      </c>
      <c r="S25" s="267">
        <f t="shared" si="2"/>
        <v>0.70660000000000001</v>
      </c>
      <c r="T25" s="266">
        <f t="shared" si="3"/>
        <v>5.5513290322580637</v>
      </c>
    </row>
    <row r="26" spans="13:20" x14ac:dyDescent="0.2">
      <c r="M26" s="367">
        <f>Tornado!CI24</f>
        <v>1.953125E-3</v>
      </c>
      <c r="N26" s="268">
        <f>Tornado!CJ24</f>
        <v>4.8828125E-2</v>
      </c>
      <c r="O26" s="368">
        <f>Tornado!CK24</f>
        <v>5.664237419354837</v>
      </c>
      <c r="P26" s="266">
        <f t="shared" si="0"/>
        <v>1.5000000000000001E-2</v>
      </c>
      <c r="R26" s="300">
        <f t="shared" si="1"/>
        <v>5.9999999999993392E-4</v>
      </c>
      <c r="S26" s="267">
        <f t="shared" si="2"/>
        <v>0.70719999999999994</v>
      </c>
      <c r="T26" s="266">
        <f t="shared" si="3"/>
        <v>5.664237419354837</v>
      </c>
    </row>
    <row r="27" spans="13:20" x14ac:dyDescent="0.2">
      <c r="M27" s="367">
        <f>Tornado!CI25</f>
        <v>1.953125E-3</v>
      </c>
      <c r="N27" s="268">
        <f>Tornado!CJ25</f>
        <v>5.078125E-2</v>
      </c>
      <c r="O27" s="368">
        <f>Tornado!CK25</f>
        <v>5.8712361290322566</v>
      </c>
      <c r="P27" s="266">
        <f t="shared" si="0"/>
        <v>1.5600000000000001E-2</v>
      </c>
      <c r="R27" s="300">
        <f t="shared" si="1"/>
        <v>6.0000000000004494E-4</v>
      </c>
      <c r="S27" s="267">
        <f t="shared" si="2"/>
        <v>0.70779999999999998</v>
      </c>
      <c r="T27" s="266">
        <f t="shared" si="3"/>
        <v>5.664237419354837</v>
      </c>
    </row>
    <row r="28" spans="13:20" x14ac:dyDescent="0.2">
      <c r="M28" s="367">
        <f>Tornado!CI26</f>
        <v>1.953125E-3</v>
      </c>
      <c r="N28" s="268">
        <f>Tornado!CJ26</f>
        <v>5.2734375E-2</v>
      </c>
      <c r="O28" s="368">
        <f>Tornado!CK26</f>
        <v>5.8712361290322566</v>
      </c>
      <c r="P28" s="266">
        <f t="shared" si="0"/>
        <v>1.6200000000000003E-2</v>
      </c>
      <c r="R28" s="300">
        <f t="shared" si="1"/>
        <v>5.9999999999993392E-4</v>
      </c>
      <c r="S28" s="267">
        <f t="shared" si="2"/>
        <v>0.70839999999999992</v>
      </c>
      <c r="T28" s="266">
        <f t="shared" si="3"/>
        <v>5.8712361290322566</v>
      </c>
    </row>
    <row r="29" spans="13:20" x14ac:dyDescent="0.2">
      <c r="M29" s="367">
        <f>Tornado!CI27</f>
        <v>3.90625E-3</v>
      </c>
      <c r="N29" s="268">
        <f>Tornado!CJ27</f>
        <v>5.6640625E-2</v>
      </c>
      <c r="O29" s="368">
        <f>Tornado!CK27</f>
        <v>6.4447999999999999</v>
      </c>
      <c r="P29" s="266">
        <f t="shared" si="0"/>
        <v>1.7400000000000002E-2</v>
      </c>
      <c r="R29" s="300">
        <f t="shared" si="1"/>
        <v>6.0000000000004494E-4</v>
      </c>
      <c r="S29" s="267">
        <f t="shared" si="2"/>
        <v>0.70899999999999996</v>
      </c>
      <c r="T29" s="266">
        <f t="shared" si="3"/>
        <v>5.8712361290322566</v>
      </c>
    </row>
    <row r="30" spans="13:20" x14ac:dyDescent="0.2">
      <c r="M30" s="367">
        <f>Tornado!CI28</f>
        <v>3.90625E-3</v>
      </c>
      <c r="N30" s="268">
        <f>Tornado!CJ28</f>
        <v>6.0546875E-2</v>
      </c>
      <c r="O30" s="368">
        <f>Tornado!CK28</f>
        <v>7.1508645161290305</v>
      </c>
      <c r="P30" s="266">
        <f t="shared" si="0"/>
        <v>1.8600000000000002E-2</v>
      </c>
      <c r="R30" s="300">
        <f t="shared" si="1"/>
        <v>1.1999999999999789E-3</v>
      </c>
      <c r="S30" s="267">
        <f t="shared" si="2"/>
        <v>0.71019999999999994</v>
      </c>
      <c r="T30" s="266">
        <f t="shared" si="3"/>
        <v>6.4447999999999999</v>
      </c>
    </row>
    <row r="31" spans="13:20" x14ac:dyDescent="0.2">
      <c r="M31" s="367">
        <f>Tornado!CI29</f>
        <v>1.953125E-3</v>
      </c>
      <c r="N31" s="268">
        <f>Tornado!CJ29</f>
        <v>6.25E-2</v>
      </c>
      <c r="O31" s="368">
        <f>Tornado!CK29</f>
        <v>7.3595458064516137</v>
      </c>
      <c r="P31" s="266">
        <f t="shared" si="0"/>
        <v>1.9200000000000002E-2</v>
      </c>
      <c r="R31" s="300">
        <f t="shared" si="1"/>
        <v>1.1999999999999789E-3</v>
      </c>
      <c r="S31" s="267">
        <f t="shared" si="2"/>
        <v>0.71139999999999992</v>
      </c>
      <c r="T31" s="266">
        <f t="shared" si="3"/>
        <v>7.1508645161290305</v>
      </c>
    </row>
    <row r="32" spans="13:20" x14ac:dyDescent="0.2">
      <c r="M32" s="367">
        <f>Tornado!CI30</f>
        <v>1.953125E-3</v>
      </c>
      <c r="N32" s="268">
        <f>Tornado!CJ30</f>
        <v>6.4453125E-2</v>
      </c>
      <c r="O32" s="368">
        <f>Tornado!CK30</f>
        <v>7.3595458064516137</v>
      </c>
      <c r="P32" s="266">
        <f t="shared" si="0"/>
        <v>1.9800000000000002E-2</v>
      </c>
      <c r="R32" s="300">
        <f t="shared" si="1"/>
        <v>6.0000000000004494E-4</v>
      </c>
      <c r="S32" s="267">
        <f t="shared" si="2"/>
        <v>0.71199999999999997</v>
      </c>
      <c r="T32" s="266">
        <f t="shared" si="3"/>
        <v>7.3595458064516137</v>
      </c>
    </row>
    <row r="33" spans="13:20" x14ac:dyDescent="0.2">
      <c r="M33" s="367">
        <f>Tornado!CI31</f>
        <v>9.765625E-4</v>
      </c>
      <c r="N33" s="268">
        <f>Tornado!CJ31</f>
        <v>6.54296875E-2</v>
      </c>
      <c r="O33" s="368">
        <f>Tornado!CK31</f>
        <v>7.3948800000000006</v>
      </c>
      <c r="P33" s="266">
        <f t="shared" si="0"/>
        <v>2.0100000000000003E-2</v>
      </c>
      <c r="R33" s="300">
        <f t="shared" si="1"/>
        <v>6.0000000000004494E-4</v>
      </c>
      <c r="S33" s="267">
        <f t="shared" si="2"/>
        <v>0.71260000000000001</v>
      </c>
      <c r="T33" s="266">
        <f t="shared" si="3"/>
        <v>7.3595458064516137</v>
      </c>
    </row>
    <row r="34" spans="13:20" x14ac:dyDescent="0.2">
      <c r="M34" s="367">
        <f>Tornado!CI32</f>
        <v>7.8125E-3</v>
      </c>
      <c r="N34" s="268">
        <f>Tornado!CJ32</f>
        <v>7.32421875E-2</v>
      </c>
      <c r="O34" s="368">
        <f>Tornado!CK32</f>
        <v>7.677770322580642</v>
      </c>
      <c r="P34" s="266">
        <f t="shared" si="0"/>
        <v>2.2500000000000003E-2</v>
      </c>
      <c r="R34" s="300">
        <f t="shared" si="1"/>
        <v>2.9999999999996696E-4</v>
      </c>
      <c r="S34" s="267">
        <f t="shared" si="2"/>
        <v>0.71289999999999998</v>
      </c>
      <c r="T34" s="266">
        <f t="shared" si="3"/>
        <v>7.3948800000000006</v>
      </c>
    </row>
    <row r="35" spans="13:20" x14ac:dyDescent="0.2">
      <c r="M35" s="367">
        <f>Tornado!CI33</f>
        <v>9.765625E-4</v>
      </c>
      <c r="N35" s="268">
        <f>Tornado!CJ33</f>
        <v>7.421875E-2</v>
      </c>
      <c r="O35" s="368">
        <f>Tornado!CK33</f>
        <v>7.677770322580642</v>
      </c>
      <c r="P35" s="266">
        <f t="shared" si="0"/>
        <v>2.2800000000000001E-2</v>
      </c>
      <c r="R35" s="300">
        <f t="shared" si="1"/>
        <v>2.3999999999999577E-3</v>
      </c>
      <c r="S35" s="267">
        <f t="shared" si="2"/>
        <v>0.71529999999999994</v>
      </c>
      <c r="T35" s="266">
        <f t="shared" si="3"/>
        <v>7.677770322580642</v>
      </c>
    </row>
    <row r="36" spans="13:20" x14ac:dyDescent="0.2">
      <c r="M36" s="367">
        <f>Tornado!CI34</f>
        <v>9.765625E-4</v>
      </c>
      <c r="N36" s="268">
        <f>Tornado!CJ34</f>
        <v>7.51953125E-2</v>
      </c>
      <c r="O36" s="368">
        <f>Tornado!CK34</f>
        <v>7.7718606451612882</v>
      </c>
      <c r="P36" s="266">
        <f t="shared" si="0"/>
        <v>2.3100000000000002E-2</v>
      </c>
      <c r="R36" s="300">
        <f t="shared" si="1"/>
        <v>3.0000000000007798E-4</v>
      </c>
      <c r="S36" s="267">
        <f t="shared" si="2"/>
        <v>0.71560000000000001</v>
      </c>
      <c r="T36" s="266">
        <f t="shared" si="3"/>
        <v>7.677770322580642</v>
      </c>
    </row>
    <row r="37" spans="13:20" x14ac:dyDescent="0.2">
      <c r="M37" s="367">
        <f>Tornado!CI35</f>
        <v>9.765625E-4</v>
      </c>
      <c r="N37" s="268">
        <f>Tornado!CJ35</f>
        <v>7.6171875E-2</v>
      </c>
      <c r="O37" s="368">
        <f>Tornado!CK35</f>
        <v>7.7718606451612882</v>
      </c>
      <c r="P37" s="266">
        <f t="shared" si="0"/>
        <v>2.3400000000000001E-2</v>
      </c>
      <c r="R37" s="300">
        <f t="shared" si="1"/>
        <v>2.9999999999996696E-4</v>
      </c>
      <c r="S37" s="267">
        <f t="shared" si="2"/>
        <v>0.71589999999999998</v>
      </c>
      <c r="T37" s="266">
        <f t="shared" si="3"/>
        <v>7.7718606451612882</v>
      </c>
    </row>
    <row r="38" spans="13:20" x14ac:dyDescent="0.2">
      <c r="M38" s="367">
        <f>Tornado!CI36</f>
        <v>7.8125E-3</v>
      </c>
      <c r="N38" s="268">
        <f>Tornado!CJ36</f>
        <v>8.3984375E-2</v>
      </c>
      <c r="O38" s="368">
        <f>Tornado!CK36</f>
        <v>8.2799483870967716</v>
      </c>
      <c r="P38" s="266">
        <f t="shared" si="0"/>
        <v>2.5800000000000003E-2</v>
      </c>
      <c r="R38" s="300">
        <f t="shared" si="1"/>
        <v>2.9999999999996696E-4</v>
      </c>
      <c r="S38" s="267">
        <f t="shared" si="2"/>
        <v>0.71619999999999995</v>
      </c>
      <c r="T38" s="266">
        <f t="shared" si="3"/>
        <v>7.7718606451612882</v>
      </c>
    </row>
    <row r="39" spans="13:20" x14ac:dyDescent="0.2">
      <c r="M39" s="367">
        <f>Tornado!CI37</f>
        <v>7.8125E-3</v>
      </c>
      <c r="N39" s="268">
        <f>Tornado!CJ37</f>
        <v>9.1796875E-2</v>
      </c>
      <c r="O39" s="368">
        <f>Tornado!CK37</f>
        <v>8.2799483870967716</v>
      </c>
      <c r="P39" s="266">
        <f t="shared" si="0"/>
        <v>2.8200000000000003E-2</v>
      </c>
      <c r="R39" s="300">
        <f t="shared" si="1"/>
        <v>2.4000000000000687E-3</v>
      </c>
      <c r="S39" s="267">
        <f t="shared" si="2"/>
        <v>0.71860000000000002</v>
      </c>
      <c r="T39" s="266">
        <f t="shared" si="3"/>
        <v>8.2799483870967716</v>
      </c>
    </row>
    <row r="40" spans="13:20" x14ac:dyDescent="0.2">
      <c r="M40" s="367">
        <f>Tornado!CI38</f>
        <v>1.953125E-3</v>
      </c>
      <c r="N40" s="268">
        <f>Tornado!CJ38</f>
        <v>9.375E-2</v>
      </c>
      <c r="O40" s="368">
        <f>Tornado!CK38</f>
        <v>8.3552206451612889</v>
      </c>
      <c r="P40" s="266">
        <f t="shared" si="0"/>
        <v>2.8800000000000003E-2</v>
      </c>
      <c r="R40" s="300">
        <f t="shared" si="1"/>
        <v>2.3999999999999577E-3</v>
      </c>
      <c r="S40" s="267">
        <f t="shared" si="2"/>
        <v>0.72099999999999997</v>
      </c>
      <c r="T40" s="266">
        <f t="shared" si="3"/>
        <v>8.2799483870967716</v>
      </c>
    </row>
    <row r="41" spans="13:20" x14ac:dyDescent="0.2">
      <c r="M41" s="367">
        <f>Tornado!CI39</f>
        <v>1.953125E-3</v>
      </c>
      <c r="N41" s="268">
        <f>Tornado!CJ39</f>
        <v>9.5703125E-2</v>
      </c>
      <c r="O41" s="368">
        <f>Tornado!CK39</f>
        <v>8.3552206451612889</v>
      </c>
      <c r="P41" s="266">
        <f t="shared" si="0"/>
        <v>2.9400000000000003E-2</v>
      </c>
      <c r="R41" s="300">
        <f t="shared" si="1"/>
        <v>6.0000000000004494E-4</v>
      </c>
      <c r="S41" s="267">
        <f t="shared" si="2"/>
        <v>0.72160000000000002</v>
      </c>
      <c r="T41" s="266">
        <f t="shared" si="3"/>
        <v>8.3552206451612889</v>
      </c>
    </row>
    <row r="42" spans="13:20" x14ac:dyDescent="0.2">
      <c r="M42" s="367">
        <f>Tornado!CI40</f>
        <v>7.8125E-3</v>
      </c>
      <c r="N42" s="268">
        <f>Tornado!CJ40</f>
        <v>0.103515625</v>
      </c>
      <c r="O42" s="368">
        <f>Tornado!CK40</f>
        <v>8.5622193548387067</v>
      </c>
      <c r="P42" s="266">
        <f t="shared" si="0"/>
        <v>3.1800000000000002E-2</v>
      </c>
      <c r="R42" s="300">
        <f t="shared" si="1"/>
        <v>5.9999999999993392E-4</v>
      </c>
      <c r="S42" s="267">
        <f t="shared" si="2"/>
        <v>0.72219999999999995</v>
      </c>
      <c r="T42" s="266">
        <f t="shared" si="3"/>
        <v>8.3552206451612889</v>
      </c>
    </row>
    <row r="43" spans="13:20" x14ac:dyDescent="0.2">
      <c r="M43" s="367">
        <f>Tornado!CI41</f>
        <v>1.953125E-3</v>
      </c>
      <c r="N43" s="268">
        <f>Tornado!CJ41</f>
        <v>0.10546875</v>
      </c>
      <c r="O43" s="368">
        <f>Tornado!CK41</f>
        <v>8.7503999999999973</v>
      </c>
      <c r="P43" s="266">
        <f t="shared" si="0"/>
        <v>3.2400000000000005E-2</v>
      </c>
      <c r="R43" s="300">
        <f t="shared" si="1"/>
        <v>2.4000000000000687E-3</v>
      </c>
      <c r="S43" s="267">
        <f t="shared" si="2"/>
        <v>0.72460000000000002</v>
      </c>
      <c r="T43" s="266">
        <f t="shared" si="3"/>
        <v>8.5622193548387067</v>
      </c>
    </row>
    <row r="44" spans="13:20" x14ac:dyDescent="0.2">
      <c r="M44" s="367">
        <f>Tornado!CI42</f>
        <v>1.953125E-3</v>
      </c>
      <c r="N44" s="268">
        <f>Tornado!CJ42</f>
        <v>0.107421875</v>
      </c>
      <c r="O44" s="368">
        <f>Tornado!CK42</f>
        <v>8.7503999999999973</v>
      </c>
      <c r="P44" s="266">
        <f t="shared" si="0"/>
        <v>3.3000000000000002E-2</v>
      </c>
      <c r="R44" s="300">
        <f t="shared" si="1"/>
        <v>5.9999999999993392E-4</v>
      </c>
      <c r="S44" s="267">
        <f t="shared" si="2"/>
        <v>0.72519999999999996</v>
      </c>
      <c r="T44" s="266">
        <f t="shared" si="3"/>
        <v>8.7503999999999973</v>
      </c>
    </row>
    <row r="45" spans="13:20" x14ac:dyDescent="0.2">
      <c r="M45" s="367">
        <f>Tornado!CI43</f>
        <v>7.8125E-3</v>
      </c>
      <c r="N45" s="268">
        <f>Tornado!CJ43</f>
        <v>0.115234375</v>
      </c>
      <c r="O45" s="368">
        <f>Tornado!CK43</f>
        <v>8.9395612903225796</v>
      </c>
      <c r="P45" s="266">
        <f t="shared" si="0"/>
        <v>3.5400000000000001E-2</v>
      </c>
      <c r="R45" s="300">
        <f t="shared" si="1"/>
        <v>6.0000000000004494E-4</v>
      </c>
      <c r="S45" s="267">
        <f t="shared" si="2"/>
        <v>0.7258</v>
      </c>
      <c r="T45" s="266">
        <f t="shared" si="3"/>
        <v>8.7503999999999973</v>
      </c>
    </row>
    <row r="46" spans="13:20" x14ac:dyDescent="0.2">
      <c r="M46" s="367">
        <f>Tornado!CI44</f>
        <v>7.8125E-3</v>
      </c>
      <c r="N46" s="268">
        <f>Tornado!CJ44</f>
        <v>0.123046875</v>
      </c>
      <c r="O46" s="368">
        <f>Tornado!CK44</f>
        <v>8.9395612903225796</v>
      </c>
      <c r="P46" s="266">
        <f t="shared" si="0"/>
        <v>3.78E-2</v>
      </c>
      <c r="R46" s="300">
        <f t="shared" si="1"/>
        <v>2.3999999999999577E-3</v>
      </c>
      <c r="S46" s="267">
        <f t="shared" si="2"/>
        <v>0.72819999999999996</v>
      </c>
      <c r="T46" s="266">
        <f t="shared" si="3"/>
        <v>8.9395612903225796</v>
      </c>
    </row>
    <row r="47" spans="13:20" x14ac:dyDescent="0.2">
      <c r="M47" s="367">
        <f>Tornado!CI45</f>
        <v>1.953125E-3</v>
      </c>
      <c r="N47" s="268">
        <f>Tornado!CJ45</f>
        <v>0.125</v>
      </c>
      <c r="O47" s="368">
        <f>Tornado!CK45</f>
        <v>9.0227199999999996</v>
      </c>
      <c r="P47" s="266">
        <f t="shared" si="0"/>
        <v>3.8400000000000004E-2</v>
      </c>
      <c r="R47" s="300">
        <f t="shared" si="1"/>
        <v>2.3999999999999577E-3</v>
      </c>
      <c r="S47" s="267">
        <f t="shared" si="2"/>
        <v>0.73059999999999992</v>
      </c>
      <c r="T47" s="266">
        <f t="shared" si="3"/>
        <v>8.9395612903225796</v>
      </c>
    </row>
    <row r="48" spans="13:20" x14ac:dyDescent="0.2">
      <c r="M48" s="367">
        <f>Tornado!CI46</f>
        <v>9.765625E-4</v>
      </c>
      <c r="N48" s="268">
        <f>Tornado!CJ46</f>
        <v>0.1259765625</v>
      </c>
      <c r="O48" s="368">
        <f>Tornado!CK46</f>
        <v>9.2584877419354807</v>
      </c>
      <c r="P48" s="266">
        <f t="shared" si="0"/>
        <v>3.8700000000000005E-2</v>
      </c>
      <c r="R48" s="300">
        <f t="shared" si="1"/>
        <v>6.0000000000004494E-4</v>
      </c>
      <c r="S48" s="267">
        <f t="shared" si="2"/>
        <v>0.73119999999999996</v>
      </c>
      <c r="T48" s="266">
        <f t="shared" si="3"/>
        <v>9.0227199999999996</v>
      </c>
    </row>
    <row r="49" spans="13:20" x14ac:dyDescent="0.2">
      <c r="M49" s="367">
        <f>Tornado!CI47</f>
        <v>9.765625E-4</v>
      </c>
      <c r="N49" s="268">
        <f>Tornado!CJ47</f>
        <v>0.126953125</v>
      </c>
      <c r="O49" s="368">
        <f>Tornado!CK47</f>
        <v>9.2584877419354807</v>
      </c>
      <c r="P49" s="266">
        <f t="shared" si="0"/>
        <v>3.9000000000000007E-2</v>
      </c>
      <c r="R49" s="300">
        <f t="shared" si="1"/>
        <v>2.9999999999996696E-4</v>
      </c>
      <c r="S49" s="267">
        <f t="shared" si="2"/>
        <v>0.73149999999999993</v>
      </c>
      <c r="T49" s="266">
        <f t="shared" si="3"/>
        <v>9.2584877419354807</v>
      </c>
    </row>
    <row r="50" spans="13:20" x14ac:dyDescent="0.2">
      <c r="M50" s="367">
        <f>Tornado!CI48</f>
        <v>3.90625E-3</v>
      </c>
      <c r="N50" s="268">
        <f>Tornado!CJ48</f>
        <v>0.130859375</v>
      </c>
      <c r="O50" s="368">
        <f>Tornado!CK48</f>
        <v>9.4800929032258043</v>
      </c>
      <c r="P50" s="266">
        <f t="shared" si="0"/>
        <v>4.0200000000000007E-2</v>
      </c>
      <c r="R50" s="300">
        <f t="shared" si="1"/>
        <v>3.0000000000007798E-4</v>
      </c>
      <c r="S50" s="267">
        <f t="shared" si="2"/>
        <v>0.73180000000000001</v>
      </c>
      <c r="T50" s="266">
        <f t="shared" si="3"/>
        <v>9.2584877419354807</v>
      </c>
    </row>
    <row r="51" spans="13:20" x14ac:dyDescent="0.2">
      <c r="M51" s="367">
        <f>Tornado!CI49</f>
        <v>3.90625E-3</v>
      </c>
      <c r="N51" s="268">
        <f>Tornado!CJ49</f>
        <v>0.134765625</v>
      </c>
      <c r="O51" s="368">
        <f>Tornado!CK49</f>
        <v>9.7853935483870949</v>
      </c>
      <c r="P51" s="266">
        <f t="shared" si="0"/>
        <v>4.1400000000000006E-2</v>
      </c>
      <c r="R51" s="300">
        <f t="shared" si="1"/>
        <v>1.1999999999999789E-3</v>
      </c>
      <c r="S51" s="267">
        <f t="shared" si="2"/>
        <v>0.73299999999999998</v>
      </c>
      <c r="T51" s="266">
        <f t="shared" si="3"/>
        <v>9.4800929032258043</v>
      </c>
    </row>
    <row r="52" spans="13:20" x14ac:dyDescent="0.2">
      <c r="M52" s="367">
        <f>Tornado!CI50</f>
        <v>3.90625E-3</v>
      </c>
      <c r="N52" s="268">
        <f>Tornado!CJ50</f>
        <v>0.138671875</v>
      </c>
      <c r="O52" s="368">
        <f>Tornado!CK50</f>
        <v>9.7853935483870949</v>
      </c>
      <c r="P52" s="266">
        <f t="shared" si="0"/>
        <v>4.2600000000000006E-2</v>
      </c>
      <c r="R52" s="300">
        <f t="shared" si="1"/>
        <v>1.1999999999999789E-3</v>
      </c>
      <c r="S52" s="267">
        <f t="shared" si="2"/>
        <v>0.73419999999999996</v>
      </c>
      <c r="T52" s="266">
        <f t="shared" si="3"/>
        <v>9.7853935483870949</v>
      </c>
    </row>
    <row r="53" spans="13:20" x14ac:dyDescent="0.2">
      <c r="M53" s="367">
        <f>Tornado!CI51</f>
        <v>1.953125E-3</v>
      </c>
      <c r="N53" s="268">
        <f>Tornado!CJ51</f>
        <v>0.140625</v>
      </c>
      <c r="O53" s="368">
        <f>Tornado!CK51</f>
        <v>10.011210322580643</v>
      </c>
      <c r="P53" s="266">
        <f t="shared" si="0"/>
        <v>4.3200000000000002E-2</v>
      </c>
      <c r="R53" s="300">
        <f t="shared" si="1"/>
        <v>1.1999999999999789E-3</v>
      </c>
      <c r="S53" s="267">
        <f t="shared" si="2"/>
        <v>0.73539999999999994</v>
      </c>
      <c r="T53" s="266">
        <f t="shared" si="3"/>
        <v>9.7853935483870949</v>
      </c>
    </row>
    <row r="54" spans="13:20" x14ac:dyDescent="0.2">
      <c r="M54" s="367">
        <f>Tornado!CI52</f>
        <v>1.953125E-3</v>
      </c>
      <c r="N54" s="268">
        <f>Tornado!CJ52</f>
        <v>0.142578125</v>
      </c>
      <c r="O54" s="368">
        <f>Tornado!CK52</f>
        <v>10.257414193548385</v>
      </c>
      <c r="P54" s="266">
        <f t="shared" si="0"/>
        <v>4.3800000000000006E-2</v>
      </c>
      <c r="R54" s="300">
        <f t="shared" si="1"/>
        <v>6.0000000000004494E-4</v>
      </c>
      <c r="S54" s="267">
        <f t="shared" si="2"/>
        <v>0.73599999999999999</v>
      </c>
      <c r="T54" s="266">
        <f t="shared" si="3"/>
        <v>10.011210322580643</v>
      </c>
    </row>
    <row r="55" spans="13:20" x14ac:dyDescent="0.2">
      <c r="M55" s="367">
        <f>Tornado!CI53</f>
        <v>1.953125E-3</v>
      </c>
      <c r="N55" s="268">
        <f>Tornado!CJ53</f>
        <v>0.14453125</v>
      </c>
      <c r="O55" s="368">
        <f>Tornado!CK53</f>
        <v>10.257414193548385</v>
      </c>
      <c r="P55" s="266">
        <f t="shared" si="0"/>
        <v>4.4400000000000002E-2</v>
      </c>
      <c r="R55" s="300">
        <f t="shared" si="1"/>
        <v>5.9999999999993392E-4</v>
      </c>
      <c r="S55" s="267">
        <f t="shared" si="2"/>
        <v>0.73659999999999992</v>
      </c>
      <c r="T55" s="266">
        <f t="shared" si="3"/>
        <v>10.257414193548385</v>
      </c>
    </row>
    <row r="56" spans="13:20" x14ac:dyDescent="0.2">
      <c r="M56" s="367">
        <f>Tornado!CI54</f>
        <v>7.8125E-3</v>
      </c>
      <c r="N56" s="268">
        <f>Tornado!CJ54</f>
        <v>0.15234375</v>
      </c>
      <c r="O56" s="368">
        <f>Tornado!CK54</f>
        <v>10.976949677419356</v>
      </c>
      <c r="P56" s="266">
        <f t="shared" si="0"/>
        <v>4.6800000000000001E-2</v>
      </c>
      <c r="R56" s="300">
        <f t="shared" si="1"/>
        <v>6.0000000000004494E-4</v>
      </c>
      <c r="S56" s="267">
        <f t="shared" si="2"/>
        <v>0.73719999999999997</v>
      </c>
      <c r="T56" s="266">
        <f t="shared" si="3"/>
        <v>10.257414193548385</v>
      </c>
    </row>
    <row r="57" spans="13:20" x14ac:dyDescent="0.2">
      <c r="M57" s="367">
        <f>Tornado!CI55</f>
        <v>7.8125E-3</v>
      </c>
      <c r="N57" s="268">
        <f>Tornado!CJ55</f>
        <v>0.16015625</v>
      </c>
      <c r="O57" s="368">
        <f>Tornado!CK55</f>
        <v>10.976949677419356</v>
      </c>
      <c r="P57" s="266">
        <f t="shared" si="0"/>
        <v>4.9200000000000008E-2</v>
      </c>
      <c r="R57" s="300">
        <f t="shared" si="1"/>
        <v>2.3999999999999577E-3</v>
      </c>
      <c r="S57" s="267">
        <f t="shared" si="2"/>
        <v>0.73959999999999992</v>
      </c>
      <c r="T57" s="266">
        <f t="shared" si="3"/>
        <v>10.976949677419356</v>
      </c>
    </row>
    <row r="58" spans="13:20" x14ac:dyDescent="0.2">
      <c r="M58" s="367">
        <f>Tornado!CI56</f>
        <v>3.90625E-3</v>
      </c>
      <c r="N58" s="268">
        <f>Tornado!CJ56</f>
        <v>0.1640625</v>
      </c>
      <c r="O58" s="368">
        <f>Tornado!CK56</f>
        <v>11.065021935483868</v>
      </c>
      <c r="P58" s="266">
        <f t="shared" si="0"/>
        <v>5.0400000000000007E-2</v>
      </c>
      <c r="R58" s="300">
        <f t="shared" si="1"/>
        <v>2.4000000000000687E-3</v>
      </c>
      <c r="S58" s="267">
        <f t="shared" si="2"/>
        <v>0.74199999999999999</v>
      </c>
      <c r="T58" s="266">
        <f t="shared" si="3"/>
        <v>10.976949677419356</v>
      </c>
    </row>
    <row r="59" spans="13:20" x14ac:dyDescent="0.2">
      <c r="M59" s="367">
        <f>Tornado!CI57</f>
        <v>3.90625E-3</v>
      </c>
      <c r="N59" s="268">
        <f>Tornado!CJ57</f>
        <v>0.16796875</v>
      </c>
      <c r="O59" s="368">
        <f>Tornado!CK57</f>
        <v>11.290838709677416</v>
      </c>
      <c r="P59" s="266">
        <f t="shared" si="0"/>
        <v>5.1600000000000007E-2</v>
      </c>
      <c r="R59" s="300">
        <f t="shared" si="1"/>
        <v>1.1999999999999789E-3</v>
      </c>
      <c r="S59" s="267">
        <f t="shared" si="2"/>
        <v>0.74319999999999997</v>
      </c>
      <c r="T59" s="266">
        <f t="shared" si="3"/>
        <v>11.065021935483868</v>
      </c>
    </row>
    <row r="60" spans="13:20" x14ac:dyDescent="0.2">
      <c r="M60" s="367">
        <f>Tornado!CI58</f>
        <v>3.90625E-3</v>
      </c>
      <c r="N60" s="268">
        <f>Tornado!CJ58</f>
        <v>0.171875</v>
      </c>
      <c r="O60" s="368">
        <f>Tornado!CK58</f>
        <v>11.290838709677416</v>
      </c>
      <c r="P60" s="266">
        <f t="shared" si="0"/>
        <v>5.2800000000000007E-2</v>
      </c>
      <c r="R60" s="300">
        <f t="shared" si="1"/>
        <v>1.1999999999999789E-3</v>
      </c>
      <c r="S60" s="267">
        <f t="shared" si="2"/>
        <v>0.74439999999999995</v>
      </c>
      <c r="T60" s="266">
        <f t="shared" si="3"/>
        <v>11.290838709677416</v>
      </c>
    </row>
    <row r="61" spans="13:20" x14ac:dyDescent="0.2">
      <c r="M61" s="367">
        <f>Tornado!CI59</f>
        <v>7.8125E-3</v>
      </c>
      <c r="N61" s="268">
        <f>Tornado!CJ59</f>
        <v>0.1796875</v>
      </c>
      <c r="O61" s="368">
        <f>Tornado!CK59</f>
        <v>11.351163870967738</v>
      </c>
      <c r="P61" s="266">
        <f t="shared" si="0"/>
        <v>5.5200000000000006E-2</v>
      </c>
      <c r="R61" s="300">
        <f t="shared" si="1"/>
        <v>1.1999999999999789E-3</v>
      </c>
      <c r="S61" s="267">
        <f t="shared" si="2"/>
        <v>0.74559999999999993</v>
      </c>
      <c r="T61" s="266">
        <f t="shared" si="3"/>
        <v>11.290838709677416</v>
      </c>
    </row>
    <row r="62" spans="13:20" x14ac:dyDescent="0.2">
      <c r="M62" s="367">
        <f>Tornado!CI60</f>
        <v>3.90625E-3</v>
      </c>
      <c r="N62" s="268">
        <f>Tornado!CJ60</f>
        <v>0.18359375</v>
      </c>
      <c r="O62" s="368">
        <f>Tornado!CK60</f>
        <v>11.591927741935482</v>
      </c>
      <c r="P62" s="266">
        <f t="shared" si="0"/>
        <v>5.6400000000000006E-2</v>
      </c>
      <c r="R62" s="300">
        <f t="shared" si="1"/>
        <v>2.4000000000000687E-3</v>
      </c>
      <c r="S62" s="267">
        <f t="shared" si="2"/>
        <v>0.748</v>
      </c>
      <c r="T62" s="266">
        <f t="shared" si="3"/>
        <v>11.351163870967738</v>
      </c>
    </row>
    <row r="63" spans="13:20" x14ac:dyDescent="0.2">
      <c r="M63" s="367">
        <f>Tornado!CI61</f>
        <v>3.90625E-3</v>
      </c>
      <c r="N63" s="268">
        <f>Tornado!CJ61</f>
        <v>0.1875</v>
      </c>
      <c r="O63" s="368">
        <f>Tornado!CK61</f>
        <v>11.591927741935482</v>
      </c>
      <c r="P63" s="266">
        <f t="shared" si="0"/>
        <v>5.7600000000000005E-2</v>
      </c>
      <c r="R63" s="300">
        <f t="shared" si="1"/>
        <v>1.1999999999999789E-3</v>
      </c>
      <c r="S63" s="267">
        <f t="shared" si="2"/>
        <v>0.74919999999999998</v>
      </c>
      <c r="T63" s="266">
        <f t="shared" si="3"/>
        <v>11.591927741935482</v>
      </c>
    </row>
    <row r="64" spans="13:20" x14ac:dyDescent="0.2">
      <c r="M64" s="367">
        <f>Tornado!CI62</f>
        <v>3.90625E-3</v>
      </c>
      <c r="N64" s="268">
        <f>Tornado!CJ62</f>
        <v>0.19140625</v>
      </c>
      <c r="O64" s="368">
        <f>Tornado!CK62</f>
        <v>11.98710709677419</v>
      </c>
      <c r="P64" s="266">
        <f t="shared" si="0"/>
        <v>5.8800000000000005E-2</v>
      </c>
      <c r="R64" s="300">
        <f t="shared" si="1"/>
        <v>1.1999999999999789E-3</v>
      </c>
      <c r="S64" s="267">
        <f t="shared" si="2"/>
        <v>0.75039999999999996</v>
      </c>
      <c r="T64" s="266">
        <f t="shared" si="3"/>
        <v>11.591927741935482</v>
      </c>
    </row>
    <row r="65" spans="13:20" x14ac:dyDescent="0.2">
      <c r="M65" s="367">
        <f>Tornado!CI63</f>
        <v>3.90625E-3</v>
      </c>
      <c r="N65" s="268">
        <f>Tornado!CJ63</f>
        <v>0.1953125</v>
      </c>
      <c r="O65" s="368">
        <f>Tornado!CK63</f>
        <v>12.265909677419353</v>
      </c>
      <c r="P65" s="266">
        <f t="shared" si="0"/>
        <v>6.0000000000000005E-2</v>
      </c>
      <c r="R65" s="300">
        <f t="shared" si="1"/>
        <v>1.1999999999999789E-3</v>
      </c>
      <c r="S65" s="267">
        <f t="shared" si="2"/>
        <v>0.75159999999999993</v>
      </c>
      <c r="T65" s="266">
        <f t="shared" si="3"/>
        <v>11.98710709677419</v>
      </c>
    </row>
    <row r="66" spans="13:20" x14ac:dyDescent="0.2">
      <c r="M66" s="367">
        <f>Tornado!CI64</f>
        <v>3.90625E-3</v>
      </c>
      <c r="N66" s="268">
        <f>Tornado!CJ64</f>
        <v>0.19921875</v>
      </c>
      <c r="O66" s="368">
        <f>Tornado!CK64</f>
        <v>12.265909677419353</v>
      </c>
      <c r="P66" s="266">
        <f t="shared" si="0"/>
        <v>6.1200000000000004E-2</v>
      </c>
      <c r="R66" s="300">
        <f t="shared" si="1"/>
        <v>1.2000000000000899E-3</v>
      </c>
      <c r="S66" s="267">
        <f t="shared" si="2"/>
        <v>0.75280000000000002</v>
      </c>
      <c r="T66" s="266">
        <f t="shared" si="3"/>
        <v>12.265909677419353</v>
      </c>
    </row>
    <row r="67" spans="13:20" x14ac:dyDescent="0.2">
      <c r="M67" s="367">
        <f>Tornado!CI65</f>
        <v>1.953125E-3</v>
      </c>
      <c r="N67" s="268">
        <f>Tornado!CJ65</f>
        <v>0.201171875</v>
      </c>
      <c r="O67" s="368">
        <f>Tornado!CK65</f>
        <v>12.324799999999998</v>
      </c>
      <c r="P67" s="266">
        <f t="shared" si="0"/>
        <v>6.1800000000000008E-2</v>
      </c>
      <c r="R67" s="300">
        <f t="shared" si="1"/>
        <v>1.1999999999999789E-3</v>
      </c>
      <c r="S67" s="267">
        <f t="shared" si="2"/>
        <v>0.754</v>
      </c>
      <c r="T67" s="266">
        <f t="shared" si="3"/>
        <v>12.265909677419353</v>
      </c>
    </row>
    <row r="68" spans="13:20" x14ac:dyDescent="0.2">
      <c r="M68" s="367">
        <f>Tornado!CI66</f>
        <v>3.90625E-3</v>
      </c>
      <c r="N68" s="268">
        <f>Tornado!CJ66</f>
        <v>0.205078125</v>
      </c>
      <c r="O68" s="368">
        <f>Tornado!CK66</f>
        <v>12.515385806451611</v>
      </c>
      <c r="P68" s="266">
        <f t="shared" si="0"/>
        <v>6.3E-2</v>
      </c>
      <c r="R68" s="300">
        <f t="shared" si="1"/>
        <v>5.9999999999993392E-4</v>
      </c>
      <c r="S68" s="267">
        <f t="shared" si="2"/>
        <v>0.75459999999999994</v>
      </c>
      <c r="T68" s="266">
        <f t="shared" si="3"/>
        <v>12.324799999999998</v>
      </c>
    </row>
    <row r="69" spans="13:20" x14ac:dyDescent="0.2">
      <c r="M69" s="367">
        <f>Tornado!CI67</f>
        <v>3.90625E-3</v>
      </c>
      <c r="N69" s="268">
        <f>Tornado!CJ67</f>
        <v>0.208984375</v>
      </c>
      <c r="O69" s="368">
        <f>Tornado!CK67</f>
        <v>12.515385806451611</v>
      </c>
      <c r="P69" s="266">
        <f t="shared" si="0"/>
        <v>6.4200000000000007E-2</v>
      </c>
      <c r="R69" s="300">
        <f t="shared" si="1"/>
        <v>1.2000000000000899E-3</v>
      </c>
      <c r="S69" s="267">
        <f t="shared" si="2"/>
        <v>0.75580000000000003</v>
      </c>
      <c r="T69" s="266">
        <f t="shared" si="3"/>
        <v>12.515385806451611</v>
      </c>
    </row>
    <row r="70" spans="13:20" x14ac:dyDescent="0.2">
      <c r="M70" s="367">
        <f>Tornado!CI68</f>
        <v>1.5625E-2</v>
      </c>
      <c r="N70" s="268">
        <f>Tornado!CJ68</f>
        <v>0.224609375</v>
      </c>
      <c r="O70" s="368">
        <f>Tornado!CK68</f>
        <v>12.79628387096774</v>
      </c>
      <c r="P70" s="266">
        <f t="shared" si="0"/>
        <v>6.9000000000000006E-2</v>
      </c>
      <c r="R70" s="300">
        <f t="shared" si="1"/>
        <v>1.1999999999999789E-3</v>
      </c>
      <c r="S70" s="267">
        <f t="shared" si="2"/>
        <v>0.75700000000000001</v>
      </c>
      <c r="T70" s="266">
        <f t="shared" si="3"/>
        <v>12.515385806451611</v>
      </c>
    </row>
    <row r="71" spans="13:20" x14ac:dyDescent="0.2">
      <c r="M71" s="367">
        <f>Tornado!CI69</f>
        <v>1.953125E-3</v>
      </c>
      <c r="N71" s="268">
        <f>Tornado!CJ69</f>
        <v>0.2265625</v>
      </c>
      <c r="O71" s="368">
        <f>Tornado!CK69</f>
        <v>12.79628387096774</v>
      </c>
      <c r="P71" s="266">
        <f t="shared" ref="P71:P134" si="4">pCrossChasm_total * N71</f>
        <v>6.9600000000000009E-2</v>
      </c>
      <c r="R71" s="300">
        <f t="shared" si="1"/>
        <v>4.8000000000000265E-3</v>
      </c>
      <c r="S71" s="267">
        <f t="shared" si="2"/>
        <v>0.76180000000000003</v>
      </c>
      <c r="T71" s="266">
        <f t="shared" si="3"/>
        <v>12.79628387096774</v>
      </c>
    </row>
    <row r="72" spans="13:20" x14ac:dyDescent="0.2">
      <c r="M72" s="367">
        <f>Tornado!CI70</f>
        <v>3.90625E-3</v>
      </c>
      <c r="N72" s="268">
        <f>Tornado!CJ70</f>
        <v>0.23046875</v>
      </c>
      <c r="O72" s="368">
        <f>Tornado!CK70</f>
        <v>12.972758709677418</v>
      </c>
      <c r="P72" s="266">
        <f t="shared" si="4"/>
        <v>7.0800000000000002E-2</v>
      </c>
      <c r="R72" s="300">
        <f t="shared" ref="R72:R135" si="5">S72-S71</f>
        <v>5.9999999999993392E-4</v>
      </c>
      <c r="S72" s="267">
        <f t="shared" si="2"/>
        <v>0.76239999999999997</v>
      </c>
      <c r="T72" s="266">
        <f t="shared" si="3"/>
        <v>12.79628387096774</v>
      </c>
    </row>
    <row r="73" spans="13:20" x14ac:dyDescent="0.2">
      <c r="M73" s="367">
        <f>Tornado!CI71</f>
        <v>3.90625E-3</v>
      </c>
      <c r="N73" s="268">
        <f>Tornado!CJ71</f>
        <v>0.234375</v>
      </c>
      <c r="O73" s="368">
        <f>Tornado!CK71</f>
        <v>12.972758709677418</v>
      </c>
      <c r="P73" s="266">
        <f t="shared" si="4"/>
        <v>7.2000000000000008E-2</v>
      </c>
      <c r="R73" s="300">
        <f t="shared" si="5"/>
        <v>1.1999999999999789E-3</v>
      </c>
      <c r="S73" s="267">
        <f t="shared" ref="S73:S136" si="6">P72+$S$7</f>
        <v>0.76359999999999995</v>
      </c>
      <c r="T73" s="266">
        <f t="shared" ref="T73:T136" si="7">O72</f>
        <v>12.972758709677418</v>
      </c>
    </row>
    <row r="74" spans="13:20" x14ac:dyDescent="0.2">
      <c r="M74" s="367">
        <f>Tornado!CI72</f>
        <v>1.953125E-3</v>
      </c>
      <c r="N74" s="268">
        <f>Tornado!CJ72</f>
        <v>0.236328125</v>
      </c>
      <c r="O74" s="368">
        <f>Tornado!CK72</f>
        <v>13.699550967741933</v>
      </c>
      <c r="P74" s="266">
        <f t="shared" si="4"/>
        <v>7.2600000000000012E-2</v>
      </c>
      <c r="R74" s="300">
        <f t="shared" si="5"/>
        <v>1.1999999999999789E-3</v>
      </c>
      <c r="S74" s="267">
        <f t="shared" si="6"/>
        <v>0.76479999999999992</v>
      </c>
      <c r="T74" s="266">
        <f t="shared" si="7"/>
        <v>12.972758709677418</v>
      </c>
    </row>
    <row r="75" spans="13:20" x14ac:dyDescent="0.2">
      <c r="M75" s="367">
        <f>Tornado!CI73</f>
        <v>1.953125E-3</v>
      </c>
      <c r="N75" s="268">
        <f>Tornado!CJ73</f>
        <v>0.23828125</v>
      </c>
      <c r="O75" s="368">
        <f>Tornado!CK73</f>
        <v>13.699550967741933</v>
      </c>
      <c r="P75" s="266">
        <f t="shared" si="4"/>
        <v>7.3200000000000001E-2</v>
      </c>
      <c r="R75" s="300">
        <f t="shared" si="5"/>
        <v>6.0000000000004494E-4</v>
      </c>
      <c r="S75" s="267">
        <f t="shared" si="6"/>
        <v>0.76539999999999997</v>
      </c>
      <c r="T75" s="266">
        <f t="shared" si="7"/>
        <v>13.699550967741933</v>
      </c>
    </row>
    <row r="76" spans="13:20" x14ac:dyDescent="0.2">
      <c r="M76" s="367">
        <f>Tornado!CI74</f>
        <v>3.90625E-3</v>
      </c>
      <c r="N76" s="268">
        <f>Tornado!CJ74</f>
        <v>0.2421875</v>
      </c>
      <c r="O76" s="368">
        <f>Tornado!CK74</f>
        <v>13.92536774193548</v>
      </c>
      <c r="P76" s="266">
        <f t="shared" si="4"/>
        <v>7.4400000000000008E-2</v>
      </c>
      <c r="R76" s="300">
        <f t="shared" si="5"/>
        <v>6.0000000000004494E-4</v>
      </c>
      <c r="S76" s="267">
        <f t="shared" si="6"/>
        <v>0.76600000000000001</v>
      </c>
      <c r="T76" s="266">
        <f t="shared" si="7"/>
        <v>13.699550967741933</v>
      </c>
    </row>
    <row r="77" spans="13:20" x14ac:dyDescent="0.2">
      <c r="M77" s="367">
        <f>Tornado!CI75</f>
        <v>3.90625E-3</v>
      </c>
      <c r="N77" s="268">
        <f>Tornado!CJ75</f>
        <v>0.24609375</v>
      </c>
      <c r="O77" s="368">
        <f>Tornado!CK75</f>
        <v>13.92536774193548</v>
      </c>
      <c r="P77" s="266">
        <f t="shared" si="4"/>
        <v>7.5600000000000001E-2</v>
      </c>
      <c r="R77" s="300">
        <f t="shared" si="5"/>
        <v>1.1999999999999789E-3</v>
      </c>
      <c r="S77" s="267">
        <f t="shared" si="6"/>
        <v>0.76719999999999999</v>
      </c>
      <c r="T77" s="266">
        <f t="shared" si="7"/>
        <v>13.92536774193548</v>
      </c>
    </row>
    <row r="78" spans="13:20" x14ac:dyDescent="0.2">
      <c r="M78" s="367">
        <f>Tornado!CI76</f>
        <v>9.765625E-4</v>
      </c>
      <c r="N78" s="268">
        <f>Tornado!CJ76</f>
        <v>0.2470703125</v>
      </c>
      <c r="O78" s="368">
        <f>Tornado!CK76</f>
        <v>14.074126451612905</v>
      </c>
      <c r="P78" s="266">
        <f t="shared" si="4"/>
        <v>7.5900000000000009E-2</v>
      </c>
      <c r="R78" s="300">
        <f t="shared" si="5"/>
        <v>1.1999999999999789E-3</v>
      </c>
      <c r="S78" s="267">
        <f t="shared" si="6"/>
        <v>0.76839999999999997</v>
      </c>
      <c r="T78" s="266">
        <f t="shared" si="7"/>
        <v>13.92536774193548</v>
      </c>
    </row>
    <row r="79" spans="13:20" x14ac:dyDescent="0.2">
      <c r="M79" s="367">
        <f>Tornado!CI77</f>
        <v>9.765625E-4</v>
      </c>
      <c r="N79" s="268">
        <f>Tornado!CJ77</f>
        <v>0.248046875</v>
      </c>
      <c r="O79" s="368">
        <f>Tornado!CK77</f>
        <v>14.074126451612905</v>
      </c>
      <c r="P79" s="266">
        <f t="shared" si="4"/>
        <v>7.6200000000000004E-2</v>
      </c>
      <c r="R79" s="300">
        <f t="shared" si="5"/>
        <v>2.9999999999996696E-4</v>
      </c>
      <c r="S79" s="267">
        <f t="shared" si="6"/>
        <v>0.76869999999999994</v>
      </c>
      <c r="T79" s="266">
        <f t="shared" si="7"/>
        <v>14.074126451612905</v>
      </c>
    </row>
    <row r="80" spans="13:20" x14ac:dyDescent="0.2">
      <c r="M80" s="367">
        <f>Tornado!CI78</f>
        <v>3.90625E-3</v>
      </c>
      <c r="N80" s="268">
        <f>Tornado!CJ78</f>
        <v>0.251953125</v>
      </c>
      <c r="O80" s="368">
        <f>Tornado!CK78</f>
        <v>14.583999999999996</v>
      </c>
      <c r="P80" s="266">
        <f t="shared" si="4"/>
        <v>7.740000000000001E-2</v>
      </c>
      <c r="R80" s="300">
        <f t="shared" si="5"/>
        <v>3.0000000000007798E-4</v>
      </c>
      <c r="S80" s="267">
        <f t="shared" si="6"/>
        <v>0.76900000000000002</v>
      </c>
      <c r="T80" s="266">
        <f t="shared" si="7"/>
        <v>14.074126451612905</v>
      </c>
    </row>
    <row r="81" spans="13:20" x14ac:dyDescent="0.2">
      <c r="M81" s="367">
        <f>Tornado!CI79</f>
        <v>3.90625E-3</v>
      </c>
      <c r="N81" s="268">
        <f>Tornado!CJ79</f>
        <v>0.255859375</v>
      </c>
      <c r="O81" s="368">
        <f>Tornado!CK79</f>
        <v>14.583999999999996</v>
      </c>
      <c r="P81" s="266">
        <f t="shared" si="4"/>
        <v>7.8600000000000003E-2</v>
      </c>
      <c r="R81" s="300">
        <f t="shared" si="5"/>
        <v>1.1999999999999789E-3</v>
      </c>
      <c r="S81" s="267">
        <f t="shared" si="6"/>
        <v>0.7702</v>
      </c>
      <c r="T81" s="266">
        <f t="shared" si="7"/>
        <v>14.583999999999996</v>
      </c>
    </row>
    <row r="82" spans="13:20" x14ac:dyDescent="0.2">
      <c r="M82" s="367">
        <f>Tornado!CI80</f>
        <v>1.953125E-3</v>
      </c>
      <c r="N82" s="268">
        <f>Tornado!CJ80</f>
        <v>0.2578125</v>
      </c>
      <c r="O82" s="368">
        <f>Tornado!CK80</f>
        <v>14.678090322580644</v>
      </c>
      <c r="P82" s="266">
        <f t="shared" si="4"/>
        <v>7.9200000000000007E-2</v>
      </c>
      <c r="R82" s="300">
        <f t="shared" si="5"/>
        <v>1.1999999999999789E-3</v>
      </c>
      <c r="S82" s="267">
        <f t="shared" si="6"/>
        <v>0.77139999999999997</v>
      </c>
      <c r="T82" s="266">
        <f t="shared" si="7"/>
        <v>14.583999999999996</v>
      </c>
    </row>
    <row r="83" spans="13:20" x14ac:dyDescent="0.2">
      <c r="M83" s="367">
        <f>Tornado!CI81</f>
        <v>1.953125E-3</v>
      </c>
      <c r="N83" s="268">
        <f>Tornado!CJ81</f>
        <v>0.259765625</v>
      </c>
      <c r="O83" s="368">
        <f>Tornado!CK81</f>
        <v>14.678090322580644</v>
      </c>
      <c r="P83" s="266">
        <f t="shared" si="4"/>
        <v>7.980000000000001E-2</v>
      </c>
      <c r="R83" s="300">
        <f t="shared" si="5"/>
        <v>6.0000000000004494E-4</v>
      </c>
      <c r="S83" s="267">
        <f t="shared" si="6"/>
        <v>0.77200000000000002</v>
      </c>
      <c r="T83" s="266">
        <f t="shared" si="7"/>
        <v>14.678090322580644</v>
      </c>
    </row>
    <row r="84" spans="13:20" x14ac:dyDescent="0.2">
      <c r="M84" s="367">
        <f>Tornado!CI82</f>
        <v>1.953125E-3</v>
      </c>
      <c r="N84" s="268">
        <f>Tornado!CJ82</f>
        <v>0.26171875</v>
      </c>
      <c r="O84" s="368">
        <f>Tornado!CK82</f>
        <v>15.430812903225803</v>
      </c>
      <c r="P84" s="266">
        <f t="shared" si="4"/>
        <v>8.0400000000000013E-2</v>
      </c>
      <c r="R84" s="300">
        <f t="shared" si="5"/>
        <v>5.9999999999993392E-4</v>
      </c>
      <c r="S84" s="267">
        <f t="shared" si="6"/>
        <v>0.77259999999999995</v>
      </c>
      <c r="T84" s="266">
        <f t="shared" si="7"/>
        <v>14.678090322580644</v>
      </c>
    </row>
    <row r="85" spans="13:20" x14ac:dyDescent="0.2">
      <c r="M85" s="367">
        <f>Tornado!CI83</f>
        <v>1.953125E-3</v>
      </c>
      <c r="N85" s="268">
        <f>Tornado!CJ83</f>
        <v>0.263671875</v>
      </c>
      <c r="O85" s="368">
        <f>Tornado!CK83</f>
        <v>15.430812903225803</v>
      </c>
      <c r="P85" s="266">
        <f t="shared" si="4"/>
        <v>8.1000000000000003E-2</v>
      </c>
      <c r="R85" s="300">
        <f t="shared" si="5"/>
        <v>6.0000000000004494E-4</v>
      </c>
      <c r="S85" s="267">
        <f t="shared" si="6"/>
        <v>0.7732</v>
      </c>
      <c r="T85" s="266">
        <f t="shared" si="7"/>
        <v>15.430812903225803</v>
      </c>
    </row>
    <row r="86" spans="13:20" x14ac:dyDescent="0.2">
      <c r="M86" s="367">
        <f>Tornado!CI84</f>
        <v>7.8125E-3</v>
      </c>
      <c r="N86" s="268">
        <f>Tornado!CJ84</f>
        <v>0.271484375</v>
      </c>
      <c r="O86" s="368">
        <f>Tornado!CK84</f>
        <v>15.800154838709675</v>
      </c>
      <c r="P86" s="266">
        <f t="shared" si="4"/>
        <v>8.3400000000000002E-2</v>
      </c>
      <c r="R86" s="300">
        <f t="shared" si="5"/>
        <v>5.9999999999993392E-4</v>
      </c>
      <c r="S86" s="267">
        <f t="shared" si="6"/>
        <v>0.77379999999999993</v>
      </c>
      <c r="T86" s="266">
        <f t="shared" si="7"/>
        <v>15.430812903225803</v>
      </c>
    </row>
    <row r="87" spans="13:20" x14ac:dyDescent="0.2">
      <c r="M87" s="367">
        <f>Tornado!CI85</f>
        <v>9.765625E-4</v>
      </c>
      <c r="N87" s="268">
        <f>Tornado!CJ85</f>
        <v>0.2724609375</v>
      </c>
      <c r="O87" s="368">
        <f>Tornado!CK85</f>
        <v>15.976536774193546</v>
      </c>
      <c r="P87" s="266">
        <f t="shared" si="4"/>
        <v>8.3700000000000011E-2</v>
      </c>
      <c r="R87" s="300">
        <f t="shared" si="5"/>
        <v>2.4000000000000687E-3</v>
      </c>
      <c r="S87" s="267">
        <f t="shared" si="6"/>
        <v>0.7762</v>
      </c>
      <c r="T87" s="266">
        <f t="shared" si="7"/>
        <v>15.800154838709675</v>
      </c>
    </row>
    <row r="88" spans="13:20" x14ac:dyDescent="0.2">
      <c r="M88" s="367">
        <f>Tornado!CI86</f>
        <v>1.953125E-3</v>
      </c>
      <c r="N88" s="268">
        <f>Tornado!CJ86</f>
        <v>0.2744140625</v>
      </c>
      <c r="O88" s="368">
        <f>Tornado!CK86</f>
        <v>16.964376774193546</v>
      </c>
      <c r="P88" s="266">
        <f t="shared" si="4"/>
        <v>8.4300000000000014E-2</v>
      </c>
      <c r="R88" s="300">
        <f t="shared" si="5"/>
        <v>2.9999999999996696E-4</v>
      </c>
      <c r="S88" s="267">
        <f t="shared" si="6"/>
        <v>0.77649999999999997</v>
      </c>
      <c r="T88" s="266">
        <f t="shared" si="7"/>
        <v>15.976536774193546</v>
      </c>
    </row>
    <row r="89" spans="13:20" x14ac:dyDescent="0.2">
      <c r="M89" s="367">
        <f>Tornado!CI87</f>
        <v>1.5625E-2</v>
      </c>
      <c r="N89" s="268">
        <f>Tornado!CJ87</f>
        <v>0.2900390625</v>
      </c>
      <c r="O89" s="368">
        <f>Tornado!CK87</f>
        <v>16.964376774193546</v>
      </c>
      <c r="P89" s="266">
        <f t="shared" si="4"/>
        <v>8.9100000000000013E-2</v>
      </c>
      <c r="R89" s="300">
        <f t="shared" si="5"/>
        <v>6.0000000000004494E-4</v>
      </c>
      <c r="S89" s="267">
        <f t="shared" si="6"/>
        <v>0.77710000000000001</v>
      </c>
      <c r="T89" s="266">
        <f t="shared" si="7"/>
        <v>16.964376774193546</v>
      </c>
    </row>
    <row r="90" spans="13:20" x14ac:dyDescent="0.2">
      <c r="M90" s="367">
        <f>Tornado!CI88</f>
        <v>3.90625E-3</v>
      </c>
      <c r="N90" s="268">
        <f>Tornado!CJ88</f>
        <v>0.2939453125</v>
      </c>
      <c r="O90" s="368">
        <f>Tornado!CK88</f>
        <v>17.095690322580644</v>
      </c>
      <c r="P90" s="266">
        <f t="shared" si="4"/>
        <v>9.0300000000000005E-2</v>
      </c>
      <c r="R90" s="300">
        <f t="shared" si="5"/>
        <v>4.8000000000000265E-3</v>
      </c>
      <c r="S90" s="267">
        <f t="shared" si="6"/>
        <v>0.78190000000000004</v>
      </c>
      <c r="T90" s="266">
        <f t="shared" si="7"/>
        <v>16.964376774193546</v>
      </c>
    </row>
    <row r="91" spans="13:20" x14ac:dyDescent="0.2">
      <c r="M91" s="367">
        <f>Tornado!CI89</f>
        <v>3.90625E-3</v>
      </c>
      <c r="N91" s="268">
        <f>Tornado!CJ89</f>
        <v>0.2978515625</v>
      </c>
      <c r="O91" s="368">
        <f>Tornado!CK89</f>
        <v>17.095690322580644</v>
      </c>
      <c r="P91" s="266">
        <f t="shared" si="4"/>
        <v>9.1500000000000012E-2</v>
      </c>
      <c r="R91" s="300">
        <f t="shared" si="5"/>
        <v>1.1999999999999789E-3</v>
      </c>
      <c r="S91" s="267">
        <f t="shared" si="6"/>
        <v>0.78310000000000002</v>
      </c>
      <c r="T91" s="266">
        <f t="shared" si="7"/>
        <v>17.095690322580644</v>
      </c>
    </row>
    <row r="92" spans="13:20" x14ac:dyDescent="0.2">
      <c r="M92" s="367">
        <f>Tornado!CI90</f>
        <v>1.953125E-3</v>
      </c>
      <c r="N92" s="268">
        <f>Tornado!CJ90</f>
        <v>0.2998046875</v>
      </c>
      <c r="O92" s="368">
        <f>Tornado!CK90</f>
        <v>17.172273548387096</v>
      </c>
      <c r="P92" s="266">
        <f t="shared" si="4"/>
        <v>9.2100000000000015E-2</v>
      </c>
      <c r="R92" s="300">
        <f t="shared" si="5"/>
        <v>1.1999999999999789E-3</v>
      </c>
      <c r="S92" s="267">
        <f t="shared" si="6"/>
        <v>0.7843</v>
      </c>
      <c r="T92" s="266">
        <f t="shared" si="7"/>
        <v>17.095690322580644</v>
      </c>
    </row>
    <row r="93" spans="13:20" x14ac:dyDescent="0.2">
      <c r="M93" s="367">
        <f>Tornado!CI91</f>
        <v>1.953125E-3</v>
      </c>
      <c r="N93" s="268">
        <f>Tornado!CJ91</f>
        <v>0.3017578125</v>
      </c>
      <c r="O93" s="368">
        <f>Tornado!CK91</f>
        <v>17.172273548387096</v>
      </c>
      <c r="P93" s="266">
        <f t="shared" si="4"/>
        <v>9.2700000000000005E-2</v>
      </c>
      <c r="R93" s="300">
        <f t="shared" si="5"/>
        <v>5.9999999999993392E-4</v>
      </c>
      <c r="S93" s="267">
        <f t="shared" si="6"/>
        <v>0.78489999999999993</v>
      </c>
      <c r="T93" s="266">
        <f t="shared" si="7"/>
        <v>17.172273548387096</v>
      </c>
    </row>
    <row r="94" spans="13:20" x14ac:dyDescent="0.2">
      <c r="M94" s="367">
        <f>Tornado!CI92</f>
        <v>9.765625E-4</v>
      </c>
      <c r="N94" s="268">
        <f>Tornado!CJ92</f>
        <v>0.302734375</v>
      </c>
      <c r="O94" s="368">
        <f>Tornado!CK92</f>
        <v>17.254719999999999</v>
      </c>
      <c r="P94" s="266">
        <f t="shared" si="4"/>
        <v>9.3000000000000013E-2</v>
      </c>
      <c r="R94" s="300">
        <f t="shared" si="5"/>
        <v>6.0000000000004494E-4</v>
      </c>
      <c r="S94" s="267">
        <f t="shared" si="6"/>
        <v>0.78549999999999998</v>
      </c>
      <c r="T94" s="266">
        <f t="shared" si="7"/>
        <v>17.172273548387096</v>
      </c>
    </row>
    <row r="95" spans="13:20" x14ac:dyDescent="0.2">
      <c r="M95" s="367">
        <f>Tornado!CI93</f>
        <v>7.8125E-3</v>
      </c>
      <c r="N95" s="268">
        <f>Tornado!CJ93</f>
        <v>0.310546875</v>
      </c>
      <c r="O95" s="368">
        <f>Tornado!CK93</f>
        <v>17.914797419354834</v>
      </c>
      <c r="P95" s="266">
        <f t="shared" si="4"/>
        <v>9.5400000000000013E-2</v>
      </c>
      <c r="R95" s="300">
        <f t="shared" si="5"/>
        <v>2.9999999999996696E-4</v>
      </c>
      <c r="S95" s="267">
        <f t="shared" si="6"/>
        <v>0.78579999999999994</v>
      </c>
      <c r="T95" s="266">
        <f t="shared" si="7"/>
        <v>17.254719999999999</v>
      </c>
    </row>
    <row r="96" spans="13:20" x14ac:dyDescent="0.2">
      <c r="M96" s="367">
        <f>Tornado!CI94</f>
        <v>9.765625E-4</v>
      </c>
      <c r="N96" s="268">
        <f>Tornado!CJ94</f>
        <v>0.3115234375</v>
      </c>
      <c r="O96" s="368">
        <f>Tornado!CK94</f>
        <v>17.914797419354834</v>
      </c>
      <c r="P96" s="266">
        <f t="shared" si="4"/>
        <v>9.5700000000000007E-2</v>
      </c>
      <c r="R96" s="300">
        <f t="shared" si="5"/>
        <v>2.4000000000000687E-3</v>
      </c>
      <c r="S96" s="267">
        <f t="shared" si="6"/>
        <v>0.78820000000000001</v>
      </c>
      <c r="T96" s="266">
        <f t="shared" si="7"/>
        <v>17.914797419354834</v>
      </c>
    </row>
    <row r="97" spans="13:20" x14ac:dyDescent="0.2">
      <c r="M97" s="367">
        <f>Tornado!CI95</f>
        <v>1.953125E-3</v>
      </c>
      <c r="N97" s="268">
        <f>Tornado!CJ95</f>
        <v>0.3134765625</v>
      </c>
      <c r="O97" s="368">
        <f>Tornado!CK95</f>
        <v>18.12938322580645</v>
      </c>
      <c r="P97" s="266">
        <f t="shared" si="4"/>
        <v>9.6300000000000011E-2</v>
      </c>
      <c r="R97" s="300">
        <f t="shared" si="5"/>
        <v>2.9999999999996696E-4</v>
      </c>
      <c r="S97" s="267">
        <f t="shared" si="6"/>
        <v>0.78849999999999998</v>
      </c>
      <c r="T97" s="266">
        <f t="shared" si="7"/>
        <v>17.914797419354834</v>
      </c>
    </row>
    <row r="98" spans="13:20" x14ac:dyDescent="0.2">
      <c r="M98" s="367">
        <f>Tornado!CI96</f>
        <v>1.5625E-2</v>
      </c>
      <c r="N98" s="268">
        <f>Tornado!CJ96</f>
        <v>0.3291015625</v>
      </c>
      <c r="O98" s="368">
        <f>Tornado!CK96</f>
        <v>18.294916129032259</v>
      </c>
      <c r="P98" s="266">
        <f t="shared" si="4"/>
        <v>0.10110000000000001</v>
      </c>
      <c r="R98" s="300">
        <f t="shared" si="5"/>
        <v>6.0000000000004494E-4</v>
      </c>
      <c r="S98" s="267">
        <f t="shared" si="6"/>
        <v>0.78910000000000002</v>
      </c>
      <c r="T98" s="266">
        <f t="shared" si="7"/>
        <v>18.12938322580645</v>
      </c>
    </row>
    <row r="99" spans="13:20" x14ac:dyDescent="0.2">
      <c r="M99" s="367">
        <f>Tornado!CI97</f>
        <v>1.5625E-2</v>
      </c>
      <c r="N99" s="268">
        <f>Tornado!CJ97</f>
        <v>0.3447265625</v>
      </c>
      <c r="O99" s="368">
        <f>Tornado!CK97</f>
        <v>18.294916129032259</v>
      </c>
      <c r="P99" s="266">
        <f t="shared" si="4"/>
        <v>0.10590000000000001</v>
      </c>
      <c r="R99" s="300">
        <f t="shared" si="5"/>
        <v>4.7999999999999154E-3</v>
      </c>
      <c r="S99" s="267">
        <f t="shared" si="6"/>
        <v>0.79389999999999994</v>
      </c>
      <c r="T99" s="266">
        <f t="shared" si="7"/>
        <v>18.294916129032259</v>
      </c>
    </row>
    <row r="100" spans="13:20" x14ac:dyDescent="0.2">
      <c r="M100" s="367">
        <f>Tornado!CI98</f>
        <v>7.8125E-3</v>
      </c>
      <c r="N100" s="268">
        <f>Tornado!CJ98</f>
        <v>0.3525390625</v>
      </c>
      <c r="O100" s="368">
        <f>Tornado!CK98</f>
        <v>18.441703225806446</v>
      </c>
      <c r="P100" s="266">
        <f t="shared" si="4"/>
        <v>0.10830000000000001</v>
      </c>
      <c r="R100" s="300">
        <f t="shared" si="5"/>
        <v>4.8000000000000265E-3</v>
      </c>
      <c r="S100" s="267">
        <f t="shared" si="6"/>
        <v>0.79869999999999997</v>
      </c>
      <c r="T100" s="266">
        <f t="shared" si="7"/>
        <v>18.294916129032259</v>
      </c>
    </row>
    <row r="101" spans="13:20" x14ac:dyDescent="0.2">
      <c r="M101" s="367">
        <f>Tornado!CI99</f>
        <v>3.90625E-3</v>
      </c>
      <c r="N101" s="268">
        <f>Tornado!CJ99</f>
        <v>0.3564453125</v>
      </c>
      <c r="O101" s="368">
        <f>Tornado!CK99</f>
        <v>18.461233548387096</v>
      </c>
      <c r="P101" s="266">
        <f t="shared" si="4"/>
        <v>0.10950000000000001</v>
      </c>
      <c r="R101" s="300">
        <f t="shared" si="5"/>
        <v>2.3999999999999577E-3</v>
      </c>
      <c r="S101" s="267">
        <f t="shared" si="6"/>
        <v>0.80109999999999992</v>
      </c>
      <c r="T101" s="266">
        <f t="shared" si="7"/>
        <v>18.441703225806446</v>
      </c>
    </row>
    <row r="102" spans="13:20" x14ac:dyDescent="0.2">
      <c r="M102" s="367">
        <f>Tornado!CI100</f>
        <v>3.90625E-3</v>
      </c>
      <c r="N102" s="268">
        <f>Tornado!CJ100</f>
        <v>0.3603515625</v>
      </c>
      <c r="O102" s="368">
        <f>Tornado!CK100</f>
        <v>18.461233548387096</v>
      </c>
      <c r="P102" s="266">
        <f t="shared" si="4"/>
        <v>0.11070000000000001</v>
      </c>
      <c r="R102" s="300">
        <f t="shared" si="5"/>
        <v>1.2000000000000899E-3</v>
      </c>
      <c r="S102" s="267">
        <f t="shared" si="6"/>
        <v>0.80230000000000001</v>
      </c>
      <c r="T102" s="266">
        <f t="shared" si="7"/>
        <v>18.461233548387096</v>
      </c>
    </row>
    <row r="103" spans="13:20" x14ac:dyDescent="0.2">
      <c r="M103" s="367">
        <f>Tornado!CI101</f>
        <v>1.953125E-3</v>
      </c>
      <c r="N103" s="268">
        <f>Tornado!CJ101</f>
        <v>0.3623046875</v>
      </c>
      <c r="O103" s="368">
        <f>Tornado!CK101</f>
        <v>18.516975483870961</v>
      </c>
      <c r="P103" s="266">
        <f t="shared" si="4"/>
        <v>0.11130000000000001</v>
      </c>
      <c r="R103" s="300">
        <f t="shared" si="5"/>
        <v>1.1999999999999789E-3</v>
      </c>
      <c r="S103" s="267">
        <f t="shared" si="6"/>
        <v>0.80349999999999999</v>
      </c>
      <c r="T103" s="266">
        <f t="shared" si="7"/>
        <v>18.461233548387096</v>
      </c>
    </row>
    <row r="104" spans="13:20" x14ac:dyDescent="0.2">
      <c r="M104" s="367">
        <f>Tornado!CI102</f>
        <v>7.8125E-3</v>
      </c>
      <c r="N104" s="268">
        <f>Tornado!CJ102</f>
        <v>0.3701171875</v>
      </c>
      <c r="O104" s="368">
        <f>Tornado!CK102</f>
        <v>18.818064516129031</v>
      </c>
      <c r="P104" s="266">
        <f t="shared" si="4"/>
        <v>0.11370000000000001</v>
      </c>
      <c r="R104" s="300">
        <f t="shared" si="5"/>
        <v>6.0000000000004494E-4</v>
      </c>
      <c r="S104" s="267">
        <f t="shared" si="6"/>
        <v>0.80410000000000004</v>
      </c>
      <c r="T104" s="266">
        <f t="shared" si="7"/>
        <v>18.516975483870961</v>
      </c>
    </row>
    <row r="105" spans="13:20" x14ac:dyDescent="0.2">
      <c r="M105" s="367">
        <f>Tornado!CI103</f>
        <v>7.8125E-3</v>
      </c>
      <c r="N105" s="268">
        <f>Tornado!CJ103</f>
        <v>0.3779296875</v>
      </c>
      <c r="O105" s="368">
        <f>Tornado!CK103</f>
        <v>18.818064516129031</v>
      </c>
      <c r="P105" s="266">
        <f t="shared" si="4"/>
        <v>0.11610000000000001</v>
      </c>
      <c r="R105" s="300">
        <f t="shared" si="5"/>
        <v>2.3999999999999577E-3</v>
      </c>
      <c r="S105" s="267">
        <f t="shared" si="6"/>
        <v>0.80649999999999999</v>
      </c>
      <c r="T105" s="266">
        <f t="shared" si="7"/>
        <v>18.818064516129031</v>
      </c>
    </row>
    <row r="106" spans="13:20" x14ac:dyDescent="0.2">
      <c r="M106" s="367">
        <f>Tornado!CI104</f>
        <v>1.5625E-2</v>
      </c>
      <c r="N106" s="268">
        <f>Tornado!CJ104</f>
        <v>0.3935546875</v>
      </c>
      <c r="O106" s="368">
        <f>Tornado!CK104</f>
        <v>18.918606451612902</v>
      </c>
      <c r="P106" s="266">
        <f t="shared" si="4"/>
        <v>0.12090000000000001</v>
      </c>
      <c r="R106" s="300">
        <f t="shared" si="5"/>
        <v>2.3999999999999577E-3</v>
      </c>
      <c r="S106" s="267">
        <f t="shared" si="6"/>
        <v>0.80889999999999995</v>
      </c>
      <c r="T106" s="266">
        <f t="shared" si="7"/>
        <v>18.818064516129031</v>
      </c>
    </row>
    <row r="107" spans="13:20" x14ac:dyDescent="0.2">
      <c r="M107" s="367">
        <f>Tornado!CI105</f>
        <v>3.90625E-3</v>
      </c>
      <c r="N107" s="268">
        <f>Tornado!CJ105</f>
        <v>0.3974609375</v>
      </c>
      <c r="O107" s="368">
        <f>Tornado!CK105</f>
        <v>19.334399999999995</v>
      </c>
      <c r="P107" s="266">
        <f t="shared" si="4"/>
        <v>0.12210000000000001</v>
      </c>
      <c r="R107" s="300">
        <f t="shared" si="5"/>
        <v>4.8000000000000265E-3</v>
      </c>
      <c r="S107" s="267">
        <f t="shared" si="6"/>
        <v>0.81369999999999998</v>
      </c>
      <c r="T107" s="266">
        <f t="shared" si="7"/>
        <v>18.918606451612902</v>
      </c>
    </row>
    <row r="108" spans="13:20" x14ac:dyDescent="0.2">
      <c r="M108" s="367">
        <f>Tornado!CI106</f>
        <v>3.90625E-3</v>
      </c>
      <c r="N108" s="268">
        <f>Tornado!CJ106</f>
        <v>0.4013671875</v>
      </c>
      <c r="O108" s="368">
        <f>Tornado!CK106</f>
        <v>19.334399999999995</v>
      </c>
      <c r="P108" s="266">
        <f t="shared" si="4"/>
        <v>0.12330000000000001</v>
      </c>
      <c r="R108" s="300">
        <f t="shared" si="5"/>
        <v>1.1999999999999789E-3</v>
      </c>
      <c r="S108" s="267">
        <f t="shared" si="6"/>
        <v>0.81489999999999996</v>
      </c>
      <c r="T108" s="266">
        <f t="shared" si="7"/>
        <v>19.334399999999995</v>
      </c>
    </row>
    <row r="109" spans="13:20" x14ac:dyDescent="0.2">
      <c r="M109" s="367">
        <f>Tornado!CI107</f>
        <v>1.953125E-3</v>
      </c>
      <c r="N109" s="268">
        <f>Tornado!CJ107</f>
        <v>0.4033203125</v>
      </c>
      <c r="O109" s="368">
        <f>Tornado!CK107</f>
        <v>19.495514838709674</v>
      </c>
      <c r="P109" s="266">
        <f t="shared" si="4"/>
        <v>0.12390000000000001</v>
      </c>
      <c r="R109" s="300">
        <f t="shared" si="5"/>
        <v>1.1999999999999789E-3</v>
      </c>
      <c r="S109" s="267">
        <f t="shared" si="6"/>
        <v>0.81609999999999994</v>
      </c>
      <c r="T109" s="266">
        <f t="shared" si="7"/>
        <v>19.334399999999995</v>
      </c>
    </row>
    <row r="110" spans="13:20" x14ac:dyDescent="0.2">
      <c r="M110" s="367">
        <f>Tornado!CI108</f>
        <v>1.953125E-3</v>
      </c>
      <c r="N110" s="268">
        <f>Tornado!CJ108</f>
        <v>0.4052734375</v>
      </c>
      <c r="O110" s="368">
        <f>Tornado!CK108</f>
        <v>19.495514838709674</v>
      </c>
      <c r="P110" s="266">
        <f t="shared" si="4"/>
        <v>0.12450000000000001</v>
      </c>
      <c r="R110" s="300">
        <f t="shared" si="5"/>
        <v>6.0000000000004494E-4</v>
      </c>
      <c r="S110" s="267">
        <f t="shared" si="6"/>
        <v>0.81669999999999998</v>
      </c>
      <c r="T110" s="266">
        <f t="shared" si="7"/>
        <v>19.495514838709674</v>
      </c>
    </row>
    <row r="111" spans="13:20" x14ac:dyDescent="0.2">
      <c r="M111" s="367">
        <f>Tornado!CI109</f>
        <v>1.953125E-3</v>
      </c>
      <c r="N111" s="268">
        <f>Tornado!CJ109</f>
        <v>0.4072265625</v>
      </c>
      <c r="O111" s="368">
        <f>Tornado!CK109</f>
        <v>20.417599999999997</v>
      </c>
      <c r="P111" s="266">
        <f t="shared" si="4"/>
        <v>0.12510000000000002</v>
      </c>
      <c r="R111" s="300">
        <f t="shared" si="5"/>
        <v>6.0000000000004494E-4</v>
      </c>
      <c r="S111" s="267">
        <f t="shared" si="6"/>
        <v>0.81730000000000003</v>
      </c>
      <c r="T111" s="266">
        <f t="shared" si="7"/>
        <v>19.495514838709674</v>
      </c>
    </row>
    <row r="112" spans="13:20" x14ac:dyDescent="0.2">
      <c r="M112" s="367">
        <f>Tornado!CI110</f>
        <v>1.953125E-3</v>
      </c>
      <c r="N112" s="268">
        <f>Tornado!CJ110</f>
        <v>0.4091796875</v>
      </c>
      <c r="O112" s="368">
        <f>Tornado!CK110</f>
        <v>20.417599999999997</v>
      </c>
      <c r="P112" s="266">
        <f t="shared" si="4"/>
        <v>0.12570000000000001</v>
      </c>
      <c r="R112" s="300">
        <f t="shared" si="5"/>
        <v>5.9999999999993392E-4</v>
      </c>
      <c r="S112" s="267">
        <f t="shared" si="6"/>
        <v>0.81789999999999996</v>
      </c>
      <c r="T112" s="266">
        <f t="shared" si="7"/>
        <v>20.417599999999997</v>
      </c>
    </row>
    <row r="113" spans="13:20" x14ac:dyDescent="0.2">
      <c r="M113" s="367">
        <f>Tornado!CI111</f>
        <v>1.953125E-3</v>
      </c>
      <c r="N113" s="268">
        <f>Tornado!CJ111</f>
        <v>0.4111328125</v>
      </c>
      <c r="O113" s="368">
        <f>Tornado!CK111</f>
        <v>20.457042580645158</v>
      </c>
      <c r="P113" s="266">
        <f t="shared" si="4"/>
        <v>0.12630000000000002</v>
      </c>
      <c r="R113" s="300">
        <f t="shared" si="5"/>
        <v>6.0000000000004494E-4</v>
      </c>
      <c r="S113" s="267">
        <f t="shared" si="6"/>
        <v>0.81850000000000001</v>
      </c>
      <c r="T113" s="266">
        <f t="shared" si="7"/>
        <v>20.417599999999997</v>
      </c>
    </row>
    <row r="114" spans="13:20" x14ac:dyDescent="0.2">
      <c r="M114" s="367">
        <f>Tornado!CI112</f>
        <v>1.953125E-3</v>
      </c>
      <c r="N114" s="268">
        <f>Tornado!CJ112</f>
        <v>0.4130859375</v>
      </c>
      <c r="O114" s="368">
        <f>Tornado!CK112</f>
        <v>20.457042580645158</v>
      </c>
      <c r="P114" s="266">
        <f t="shared" si="4"/>
        <v>0.12690000000000001</v>
      </c>
      <c r="R114" s="300">
        <f t="shared" si="5"/>
        <v>5.9999999999993392E-4</v>
      </c>
      <c r="S114" s="267">
        <f t="shared" si="6"/>
        <v>0.81909999999999994</v>
      </c>
      <c r="T114" s="266">
        <f t="shared" si="7"/>
        <v>20.457042580645158</v>
      </c>
    </row>
    <row r="115" spans="13:20" x14ac:dyDescent="0.2">
      <c r="M115" s="367">
        <f>Tornado!CI113</f>
        <v>3.90625E-3</v>
      </c>
      <c r="N115" s="268">
        <f>Tornado!CJ113</f>
        <v>0.4169921875</v>
      </c>
      <c r="O115" s="368">
        <f>Tornado!CK113</f>
        <v>20.991917419354838</v>
      </c>
      <c r="P115" s="266">
        <f t="shared" si="4"/>
        <v>0.12810000000000002</v>
      </c>
      <c r="R115" s="300">
        <f t="shared" si="5"/>
        <v>6.0000000000004494E-4</v>
      </c>
      <c r="S115" s="267">
        <f t="shared" si="6"/>
        <v>0.81969999999999998</v>
      </c>
      <c r="T115" s="266">
        <f t="shared" si="7"/>
        <v>20.457042580645158</v>
      </c>
    </row>
    <row r="116" spans="13:20" x14ac:dyDescent="0.2">
      <c r="M116" s="367">
        <f>Tornado!CI114</f>
        <v>3.90625E-3</v>
      </c>
      <c r="N116" s="268">
        <f>Tornado!CJ114</f>
        <v>0.4208984375</v>
      </c>
      <c r="O116" s="368">
        <f>Tornado!CK114</f>
        <v>20.991917419354838</v>
      </c>
      <c r="P116" s="266">
        <f t="shared" si="4"/>
        <v>0.1293</v>
      </c>
      <c r="R116" s="300">
        <f t="shared" si="5"/>
        <v>1.1999999999999789E-3</v>
      </c>
      <c r="S116" s="267">
        <f t="shared" si="6"/>
        <v>0.82089999999999996</v>
      </c>
      <c r="T116" s="266">
        <f t="shared" si="7"/>
        <v>20.991917419354838</v>
      </c>
    </row>
    <row r="117" spans="13:20" x14ac:dyDescent="0.2">
      <c r="M117" s="367">
        <f>Tornado!CI115</f>
        <v>9.765625E-4</v>
      </c>
      <c r="N117" s="268">
        <f>Tornado!CJ115</f>
        <v>0.421875</v>
      </c>
      <c r="O117" s="368">
        <f>Tornado!CK115</f>
        <v>21.60313806451612</v>
      </c>
      <c r="P117" s="266">
        <f t="shared" si="4"/>
        <v>0.12960000000000002</v>
      </c>
      <c r="R117" s="300">
        <f t="shared" si="5"/>
        <v>1.1999999999999789E-3</v>
      </c>
      <c r="S117" s="267">
        <f t="shared" si="6"/>
        <v>0.82209999999999994</v>
      </c>
      <c r="T117" s="266">
        <f t="shared" si="7"/>
        <v>20.991917419354838</v>
      </c>
    </row>
    <row r="118" spans="13:20" x14ac:dyDescent="0.2">
      <c r="M118" s="367">
        <f>Tornado!CI116</f>
        <v>9.765625E-4</v>
      </c>
      <c r="N118" s="268">
        <f>Tornado!CJ116</f>
        <v>0.4228515625</v>
      </c>
      <c r="O118" s="368">
        <f>Tornado!CK116</f>
        <v>21.60313806451612</v>
      </c>
      <c r="P118" s="266">
        <f t="shared" si="4"/>
        <v>0.12990000000000002</v>
      </c>
      <c r="R118" s="300">
        <f t="shared" si="5"/>
        <v>3.0000000000007798E-4</v>
      </c>
      <c r="S118" s="267">
        <f t="shared" si="6"/>
        <v>0.82240000000000002</v>
      </c>
      <c r="T118" s="266">
        <f t="shared" si="7"/>
        <v>21.60313806451612</v>
      </c>
    </row>
    <row r="119" spans="13:20" x14ac:dyDescent="0.2">
      <c r="M119" s="367">
        <f>Tornado!CI117</f>
        <v>7.8125E-3</v>
      </c>
      <c r="N119" s="268">
        <f>Tornado!CJ117</f>
        <v>0.4306640625</v>
      </c>
      <c r="O119" s="368">
        <f>Tornado!CK117</f>
        <v>21.621264516129028</v>
      </c>
      <c r="P119" s="266">
        <f t="shared" si="4"/>
        <v>0.1323</v>
      </c>
      <c r="R119" s="300">
        <f t="shared" si="5"/>
        <v>2.9999999999996696E-4</v>
      </c>
      <c r="S119" s="267">
        <f t="shared" si="6"/>
        <v>0.82269999999999999</v>
      </c>
      <c r="T119" s="266">
        <f t="shared" si="7"/>
        <v>21.60313806451612</v>
      </c>
    </row>
    <row r="120" spans="13:20" x14ac:dyDescent="0.2">
      <c r="M120" s="367">
        <f>Tornado!CI118</f>
        <v>7.8125E-3</v>
      </c>
      <c r="N120" s="268">
        <f>Tornado!CJ118</f>
        <v>0.4384765625</v>
      </c>
      <c r="O120" s="368">
        <f>Tornado!CK118</f>
        <v>21.621264516129028</v>
      </c>
      <c r="P120" s="266">
        <f t="shared" si="4"/>
        <v>0.13470000000000001</v>
      </c>
      <c r="R120" s="300">
        <f t="shared" si="5"/>
        <v>2.3999999999999577E-3</v>
      </c>
      <c r="S120" s="267">
        <f t="shared" si="6"/>
        <v>0.82509999999999994</v>
      </c>
      <c r="T120" s="266">
        <f t="shared" si="7"/>
        <v>21.621264516129028</v>
      </c>
    </row>
    <row r="121" spans="13:20" x14ac:dyDescent="0.2">
      <c r="M121" s="367">
        <f>Tornado!CI119</f>
        <v>3.90625E-3</v>
      </c>
      <c r="N121" s="268">
        <f>Tornado!CJ119</f>
        <v>0.4423828125</v>
      </c>
      <c r="O121" s="368">
        <f>Tornado!CK119</f>
        <v>21.707550967741927</v>
      </c>
      <c r="P121" s="266">
        <f t="shared" si="4"/>
        <v>0.13590000000000002</v>
      </c>
      <c r="R121" s="300">
        <f t="shared" si="5"/>
        <v>2.4000000000000687E-3</v>
      </c>
      <c r="S121" s="267">
        <f t="shared" si="6"/>
        <v>0.82750000000000001</v>
      </c>
      <c r="T121" s="266">
        <f t="shared" si="7"/>
        <v>21.621264516129028</v>
      </c>
    </row>
    <row r="122" spans="13:20" x14ac:dyDescent="0.2">
      <c r="M122" s="367">
        <f>Tornado!CI120</f>
        <v>9.765625E-4</v>
      </c>
      <c r="N122" s="268">
        <f>Tornado!CJ120</f>
        <v>0.443359375</v>
      </c>
      <c r="O122" s="368">
        <f>Tornado!CK120</f>
        <v>21.904227096774189</v>
      </c>
      <c r="P122" s="266">
        <f t="shared" si="4"/>
        <v>0.13620000000000002</v>
      </c>
      <c r="R122" s="300">
        <f t="shared" si="5"/>
        <v>1.1999999999999789E-3</v>
      </c>
      <c r="S122" s="267">
        <f t="shared" si="6"/>
        <v>0.82869999999999999</v>
      </c>
      <c r="T122" s="266">
        <f t="shared" si="7"/>
        <v>21.707550967741927</v>
      </c>
    </row>
    <row r="123" spans="13:20" x14ac:dyDescent="0.2">
      <c r="M123" s="367">
        <f>Tornado!CI121</f>
        <v>3.90625E-3</v>
      </c>
      <c r="N123" s="268">
        <f>Tornado!CJ121</f>
        <v>0.447265625</v>
      </c>
      <c r="O123" s="368">
        <f>Tornado!CK121</f>
        <v>22.120216774193544</v>
      </c>
      <c r="P123" s="266">
        <f t="shared" si="4"/>
        <v>0.13740000000000002</v>
      </c>
      <c r="R123" s="300">
        <f t="shared" si="5"/>
        <v>2.9999999999996696E-4</v>
      </c>
      <c r="S123" s="267">
        <f t="shared" si="6"/>
        <v>0.82899999999999996</v>
      </c>
      <c r="T123" s="266">
        <f t="shared" si="7"/>
        <v>21.904227096774189</v>
      </c>
    </row>
    <row r="124" spans="13:20" x14ac:dyDescent="0.2">
      <c r="M124" s="367">
        <f>Tornado!CI122</f>
        <v>1.953125E-3</v>
      </c>
      <c r="N124" s="268">
        <f>Tornado!CJ122</f>
        <v>0.44921875</v>
      </c>
      <c r="O124" s="368">
        <f>Tornado!CK122</f>
        <v>23.456877419354836</v>
      </c>
      <c r="P124" s="266">
        <f t="shared" si="4"/>
        <v>0.13800000000000001</v>
      </c>
      <c r="R124" s="300">
        <f t="shared" si="5"/>
        <v>1.2000000000000899E-3</v>
      </c>
      <c r="S124" s="267">
        <f t="shared" si="6"/>
        <v>0.83020000000000005</v>
      </c>
      <c r="T124" s="266">
        <f t="shared" si="7"/>
        <v>22.120216774193544</v>
      </c>
    </row>
    <row r="125" spans="13:20" x14ac:dyDescent="0.2">
      <c r="M125" s="367">
        <f>Tornado!CI123</f>
        <v>1.953125E-3</v>
      </c>
      <c r="N125" s="268">
        <f>Tornado!CJ123</f>
        <v>0.451171875</v>
      </c>
      <c r="O125" s="368">
        <f>Tornado!CK123</f>
        <v>23.456877419354836</v>
      </c>
      <c r="P125" s="266">
        <f t="shared" si="4"/>
        <v>0.1386</v>
      </c>
      <c r="R125" s="300">
        <f t="shared" si="5"/>
        <v>5.9999999999993392E-4</v>
      </c>
      <c r="S125" s="267">
        <f t="shared" si="6"/>
        <v>0.83079999999999998</v>
      </c>
      <c r="T125" s="266">
        <f t="shared" si="7"/>
        <v>23.456877419354836</v>
      </c>
    </row>
    <row r="126" spans="13:20" x14ac:dyDescent="0.2">
      <c r="M126" s="367">
        <f>Tornado!CI124</f>
        <v>1.953125E-3</v>
      </c>
      <c r="N126" s="268">
        <f>Tornado!CJ124</f>
        <v>0.453125</v>
      </c>
      <c r="O126" s="368">
        <f>Tornado!CK124</f>
        <v>23.9339664516129</v>
      </c>
      <c r="P126" s="266">
        <f t="shared" si="4"/>
        <v>0.13920000000000002</v>
      </c>
      <c r="R126" s="300">
        <f t="shared" si="5"/>
        <v>5.9999999999993392E-4</v>
      </c>
      <c r="S126" s="267">
        <f t="shared" si="6"/>
        <v>0.83139999999999992</v>
      </c>
      <c r="T126" s="266">
        <f t="shared" si="7"/>
        <v>23.456877419354836</v>
      </c>
    </row>
    <row r="127" spans="13:20" x14ac:dyDescent="0.2">
      <c r="M127" s="367">
        <f>Tornado!CI125</f>
        <v>1.953125E-3</v>
      </c>
      <c r="N127" s="268">
        <f>Tornado!CJ125</f>
        <v>0.455078125</v>
      </c>
      <c r="O127" s="368">
        <f>Tornado!CK125</f>
        <v>23.9339664516129</v>
      </c>
      <c r="P127" s="266">
        <f t="shared" si="4"/>
        <v>0.13980000000000001</v>
      </c>
      <c r="R127" s="300">
        <f t="shared" si="5"/>
        <v>6.0000000000004494E-4</v>
      </c>
      <c r="S127" s="267">
        <f t="shared" si="6"/>
        <v>0.83199999999999996</v>
      </c>
      <c r="T127" s="266">
        <f t="shared" si="7"/>
        <v>23.9339664516129</v>
      </c>
    </row>
    <row r="128" spans="13:20" x14ac:dyDescent="0.2">
      <c r="M128" s="367">
        <f>Tornado!CI126</f>
        <v>7.8125E-3</v>
      </c>
      <c r="N128" s="268">
        <f>Tornado!CJ126</f>
        <v>0.462890625</v>
      </c>
      <c r="O128" s="368">
        <f>Tornado!CK126</f>
        <v>24.44866064516129</v>
      </c>
      <c r="P128" s="266">
        <f t="shared" si="4"/>
        <v>0.14220000000000002</v>
      </c>
      <c r="R128" s="300">
        <f t="shared" si="5"/>
        <v>6.0000000000004494E-4</v>
      </c>
      <c r="S128" s="267">
        <f t="shared" si="6"/>
        <v>0.83260000000000001</v>
      </c>
      <c r="T128" s="266">
        <f t="shared" si="7"/>
        <v>23.9339664516129</v>
      </c>
    </row>
    <row r="129" spans="13:20" x14ac:dyDescent="0.2">
      <c r="M129" s="367">
        <f>Tornado!CI127</f>
        <v>3.90625E-3</v>
      </c>
      <c r="N129" s="268">
        <f>Tornado!CJ127</f>
        <v>0.466796875</v>
      </c>
      <c r="O129" s="368">
        <f>Tornado!CK127</f>
        <v>24.463483870967732</v>
      </c>
      <c r="P129" s="266">
        <f t="shared" si="4"/>
        <v>0.1434</v>
      </c>
      <c r="R129" s="300">
        <f t="shared" si="5"/>
        <v>2.3999999999999577E-3</v>
      </c>
      <c r="S129" s="267">
        <f t="shared" si="6"/>
        <v>0.83499999999999996</v>
      </c>
      <c r="T129" s="266">
        <f t="shared" si="7"/>
        <v>24.44866064516129</v>
      </c>
    </row>
    <row r="130" spans="13:20" x14ac:dyDescent="0.2">
      <c r="M130" s="367">
        <f>Tornado!CI128</f>
        <v>3.90625E-3</v>
      </c>
      <c r="N130" s="268">
        <f>Tornado!CJ128</f>
        <v>0.470703125</v>
      </c>
      <c r="O130" s="368">
        <f>Tornado!CK128</f>
        <v>24.463483870967732</v>
      </c>
      <c r="P130" s="266">
        <f t="shared" si="4"/>
        <v>0.14460000000000001</v>
      </c>
      <c r="R130" s="300">
        <f t="shared" si="5"/>
        <v>1.1999999999999789E-3</v>
      </c>
      <c r="S130" s="267">
        <f t="shared" si="6"/>
        <v>0.83619999999999994</v>
      </c>
      <c r="T130" s="266">
        <f t="shared" si="7"/>
        <v>24.463483870967732</v>
      </c>
    </row>
    <row r="131" spans="13:20" x14ac:dyDescent="0.2">
      <c r="M131" s="367">
        <f>Tornado!CI129</f>
        <v>1.953125E-3</v>
      </c>
      <c r="N131" s="268">
        <f>Tornado!CJ129</f>
        <v>0.47265625</v>
      </c>
      <c r="O131" s="368">
        <f>Tornado!CK129</f>
        <v>24.808629677419354</v>
      </c>
      <c r="P131" s="266">
        <f t="shared" si="4"/>
        <v>0.14520000000000002</v>
      </c>
      <c r="R131" s="300">
        <f t="shared" si="5"/>
        <v>1.1999999999999789E-3</v>
      </c>
      <c r="S131" s="267">
        <f t="shared" si="6"/>
        <v>0.83739999999999992</v>
      </c>
      <c r="T131" s="266">
        <f t="shared" si="7"/>
        <v>24.463483870967732</v>
      </c>
    </row>
    <row r="132" spans="13:20" x14ac:dyDescent="0.2">
      <c r="M132" s="367">
        <f>Tornado!CI130</f>
        <v>1.953125E-3</v>
      </c>
      <c r="N132" s="268">
        <f>Tornado!CJ130</f>
        <v>0.474609375</v>
      </c>
      <c r="O132" s="368">
        <f>Tornado!CK130</f>
        <v>24.808629677419354</v>
      </c>
      <c r="P132" s="266">
        <f t="shared" si="4"/>
        <v>0.14580000000000001</v>
      </c>
      <c r="R132" s="300">
        <f t="shared" si="5"/>
        <v>6.0000000000004494E-4</v>
      </c>
      <c r="S132" s="267">
        <f t="shared" si="6"/>
        <v>0.83799999999999997</v>
      </c>
      <c r="T132" s="266">
        <f t="shared" si="7"/>
        <v>24.808629677419354</v>
      </c>
    </row>
    <row r="133" spans="13:20" x14ac:dyDescent="0.2">
      <c r="M133" s="367">
        <f>Tornado!CI131</f>
        <v>7.8125E-3</v>
      </c>
      <c r="N133" s="268">
        <f>Tornado!CJ131</f>
        <v>0.482421875</v>
      </c>
      <c r="O133" s="368">
        <f>Tornado!CK131</f>
        <v>24.947612903225803</v>
      </c>
      <c r="P133" s="266">
        <f t="shared" si="4"/>
        <v>0.14820000000000003</v>
      </c>
      <c r="R133" s="300">
        <f t="shared" si="5"/>
        <v>6.0000000000004494E-4</v>
      </c>
      <c r="S133" s="267">
        <f t="shared" si="6"/>
        <v>0.83860000000000001</v>
      </c>
      <c r="T133" s="266">
        <f t="shared" si="7"/>
        <v>24.808629677419354</v>
      </c>
    </row>
    <row r="134" spans="13:20" x14ac:dyDescent="0.2">
      <c r="M134" s="367">
        <f>Tornado!CI132</f>
        <v>7.8125E-3</v>
      </c>
      <c r="N134" s="268">
        <f>Tornado!CJ132</f>
        <v>0.490234375</v>
      </c>
      <c r="O134" s="368">
        <f>Tornado!CK132</f>
        <v>24.947612903225803</v>
      </c>
      <c r="P134" s="266">
        <f t="shared" si="4"/>
        <v>0.15060000000000001</v>
      </c>
      <c r="R134" s="300">
        <f t="shared" si="5"/>
        <v>2.3999999999999577E-3</v>
      </c>
      <c r="S134" s="267">
        <f t="shared" si="6"/>
        <v>0.84099999999999997</v>
      </c>
      <c r="T134" s="266">
        <f t="shared" si="7"/>
        <v>24.947612903225803</v>
      </c>
    </row>
    <row r="135" spans="13:20" x14ac:dyDescent="0.2">
      <c r="M135" s="367">
        <f>Tornado!CI133</f>
        <v>7.8125E-3</v>
      </c>
      <c r="N135" s="268">
        <f>Tornado!CJ133</f>
        <v>0.498046875</v>
      </c>
      <c r="O135" s="368">
        <f>Tornado!CK133</f>
        <v>25.612882580645159</v>
      </c>
      <c r="P135" s="266">
        <f t="shared" ref="P135:P198" si="8">pCrossChasm_total * N135</f>
        <v>0.15300000000000002</v>
      </c>
      <c r="R135" s="300">
        <f t="shared" si="5"/>
        <v>2.3999999999999577E-3</v>
      </c>
      <c r="S135" s="267">
        <f t="shared" si="6"/>
        <v>0.84339999999999993</v>
      </c>
      <c r="T135" s="266">
        <f t="shared" si="7"/>
        <v>24.947612903225803</v>
      </c>
    </row>
    <row r="136" spans="13:20" x14ac:dyDescent="0.2">
      <c r="M136" s="367">
        <f>Tornado!CI134</f>
        <v>7.8125E-3</v>
      </c>
      <c r="N136" s="268">
        <f>Tornado!CJ134</f>
        <v>0.505859375</v>
      </c>
      <c r="O136" s="368">
        <f>Tornado!CK134</f>
        <v>25.612882580645159</v>
      </c>
      <c r="P136" s="266">
        <f t="shared" si="8"/>
        <v>0.15540000000000001</v>
      </c>
      <c r="R136" s="300">
        <f t="shared" ref="R136:R199" si="9">S136-S135</f>
        <v>2.4000000000000687E-3</v>
      </c>
      <c r="S136" s="267">
        <f t="shared" si="6"/>
        <v>0.8458</v>
      </c>
      <c r="T136" s="266">
        <f t="shared" si="7"/>
        <v>25.612882580645159</v>
      </c>
    </row>
    <row r="137" spans="13:20" x14ac:dyDescent="0.2">
      <c r="M137" s="367">
        <f>Tornado!CI135</f>
        <v>3.90625E-3</v>
      </c>
      <c r="N137" s="268">
        <f>Tornado!CJ135</f>
        <v>0.509765625</v>
      </c>
      <c r="O137" s="368">
        <f>Tornado!CK135</f>
        <v>25.818384516129026</v>
      </c>
      <c r="P137" s="266">
        <f t="shared" si="8"/>
        <v>0.15660000000000002</v>
      </c>
      <c r="R137" s="300">
        <f t="shared" si="9"/>
        <v>2.3999999999999577E-3</v>
      </c>
      <c r="S137" s="267">
        <f t="shared" ref="S137:S200" si="10">P136+$S$7</f>
        <v>0.84819999999999995</v>
      </c>
      <c r="T137" s="266">
        <f t="shared" ref="T137:T200" si="11">O136</f>
        <v>25.612882580645159</v>
      </c>
    </row>
    <row r="138" spans="13:20" x14ac:dyDescent="0.2">
      <c r="M138" s="367">
        <f>Tornado!CI136</f>
        <v>3.90625E-3</v>
      </c>
      <c r="N138" s="268">
        <f>Tornado!CJ136</f>
        <v>0.513671875</v>
      </c>
      <c r="O138" s="368">
        <f>Tornado!CK136</f>
        <v>26.345290322580635</v>
      </c>
      <c r="P138" s="266">
        <f t="shared" si="8"/>
        <v>0.15780000000000002</v>
      </c>
      <c r="R138" s="300">
        <f t="shared" si="9"/>
        <v>1.1999999999999789E-3</v>
      </c>
      <c r="S138" s="267">
        <f t="shared" si="10"/>
        <v>0.84939999999999993</v>
      </c>
      <c r="T138" s="266">
        <f t="shared" si="11"/>
        <v>25.818384516129026</v>
      </c>
    </row>
    <row r="139" spans="13:20" x14ac:dyDescent="0.2">
      <c r="M139" s="367">
        <f>Tornado!CI137</f>
        <v>3.90625E-3</v>
      </c>
      <c r="N139" s="268">
        <f>Tornado!CJ137</f>
        <v>0.517578125</v>
      </c>
      <c r="O139" s="368">
        <f>Tornado!CK137</f>
        <v>26.345290322580635</v>
      </c>
      <c r="P139" s="266">
        <f t="shared" si="8"/>
        <v>0.159</v>
      </c>
      <c r="R139" s="300">
        <f t="shared" si="9"/>
        <v>1.2000000000000899E-3</v>
      </c>
      <c r="S139" s="267">
        <f t="shared" si="10"/>
        <v>0.85060000000000002</v>
      </c>
      <c r="T139" s="266">
        <f t="shared" si="11"/>
        <v>26.345290322580635</v>
      </c>
    </row>
    <row r="140" spans="13:20" x14ac:dyDescent="0.2">
      <c r="M140" s="367">
        <f>Tornado!CI138</f>
        <v>7.8125E-3</v>
      </c>
      <c r="N140" s="268">
        <f>Tornado!CJ138</f>
        <v>0.525390625</v>
      </c>
      <c r="O140" s="368">
        <f>Tornado!CK138</f>
        <v>26.486049032258062</v>
      </c>
      <c r="P140" s="266">
        <f t="shared" si="8"/>
        <v>0.16140000000000002</v>
      </c>
      <c r="R140" s="300">
        <f t="shared" si="9"/>
        <v>1.1999999999999789E-3</v>
      </c>
      <c r="S140" s="267">
        <f t="shared" si="10"/>
        <v>0.8518</v>
      </c>
      <c r="T140" s="266">
        <f t="shared" si="11"/>
        <v>26.345290322580635</v>
      </c>
    </row>
    <row r="141" spans="13:20" x14ac:dyDescent="0.2">
      <c r="M141" s="367">
        <f>Tornado!CI139</f>
        <v>1.953125E-3</v>
      </c>
      <c r="N141" s="268">
        <f>Tornado!CJ139</f>
        <v>0.52734375</v>
      </c>
      <c r="O141" s="368">
        <f>Tornado!CK139</f>
        <v>26.627561290322575</v>
      </c>
      <c r="P141" s="266">
        <f t="shared" si="8"/>
        <v>0.16200000000000001</v>
      </c>
      <c r="R141" s="300">
        <f t="shared" si="9"/>
        <v>2.3999999999999577E-3</v>
      </c>
      <c r="S141" s="267">
        <f t="shared" si="10"/>
        <v>0.85419999999999996</v>
      </c>
      <c r="T141" s="266">
        <f t="shared" si="11"/>
        <v>26.486049032258062</v>
      </c>
    </row>
    <row r="142" spans="13:20" x14ac:dyDescent="0.2">
      <c r="M142" s="367">
        <f>Tornado!CI140</f>
        <v>3.125E-2</v>
      </c>
      <c r="N142" s="268">
        <f>Tornado!CJ140</f>
        <v>0.55859375</v>
      </c>
      <c r="O142" s="368">
        <f>Tornado!CK140</f>
        <v>28.273961290322575</v>
      </c>
      <c r="P142" s="266">
        <f t="shared" si="8"/>
        <v>0.1716</v>
      </c>
      <c r="R142" s="300">
        <f t="shared" si="9"/>
        <v>6.0000000000004494E-4</v>
      </c>
      <c r="S142" s="267">
        <f t="shared" si="10"/>
        <v>0.8548</v>
      </c>
      <c r="T142" s="266">
        <f t="shared" si="11"/>
        <v>26.627561290322575</v>
      </c>
    </row>
    <row r="143" spans="13:20" x14ac:dyDescent="0.2">
      <c r="M143" s="367">
        <f>Tornado!CI141</f>
        <v>3.90625E-3</v>
      </c>
      <c r="N143" s="268">
        <f>Tornado!CJ141</f>
        <v>0.5625</v>
      </c>
      <c r="O143" s="368">
        <f>Tornado!CK141</f>
        <v>28.273961290322575</v>
      </c>
      <c r="P143" s="266">
        <f t="shared" si="8"/>
        <v>0.17280000000000001</v>
      </c>
      <c r="R143" s="300">
        <f t="shared" si="9"/>
        <v>9.5999999999999419E-3</v>
      </c>
      <c r="S143" s="267">
        <f t="shared" si="10"/>
        <v>0.86439999999999995</v>
      </c>
      <c r="T143" s="266">
        <f t="shared" si="11"/>
        <v>28.273961290322575</v>
      </c>
    </row>
    <row r="144" spans="13:20" x14ac:dyDescent="0.2">
      <c r="M144" s="367">
        <f>Tornado!CI142</f>
        <v>3.90625E-3</v>
      </c>
      <c r="N144" s="268">
        <f>Tornado!CJ142</f>
        <v>0.56640625</v>
      </c>
      <c r="O144" s="368">
        <f>Tornado!CK142</f>
        <v>30.215638709677417</v>
      </c>
      <c r="P144" s="266">
        <f t="shared" si="8"/>
        <v>0.17400000000000002</v>
      </c>
      <c r="R144" s="300">
        <f t="shared" si="9"/>
        <v>1.1999999999999789E-3</v>
      </c>
      <c r="S144" s="267">
        <f t="shared" si="10"/>
        <v>0.86559999999999993</v>
      </c>
      <c r="T144" s="266">
        <f t="shared" si="11"/>
        <v>28.273961290322575</v>
      </c>
    </row>
    <row r="145" spans="13:20" x14ac:dyDescent="0.2">
      <c r="M145" s="367">
        <f>Tornado!CI143</f>
        <v>3.90625E-3</v>
      </c>
      <c r="N145" s="268">
        <f>Tornado!CJ143</f>
        <v>0.5703125</v>
      </c>
      <c r="O145" s="368">
        <f>Tornado!CK143</f>
        <v>30.269770322580648</v>
      </c>
      <c r="P145" s="266">
        <f t="shared" si="8"/>
        <v>0.17520000000000002</v>
      </c>
      <c r="R145" s="300">
        <f t="shared" si="9"/>
        <v>1.2000000000000899E-3</v>
      </c>
      <c r="S145" s="267">
        <f t="shared" si="10"/>
        <v>0.86680000000000001</v>
      </c>
      <c r="T145" s="266">
        <f t="shared" si="11"/>
        <v>30.215638709677417</v>
      </c>
    </row>
    <row r="146" spans="13:20" x14ac:dyDescent="0.2">
      <c r="M146" s="367">
        <f>Tornado!CI144</f>
        <v>3.90625E-3</v>
      </c>
      <c r="N146" s="268">
        <f>Tornado!CJ144</f>
        <v>0.57421875</v>
      </c>
      <c r="O146" s="368">
        <f>Tornado!CK144</f>
        <v>30.269770322580648</v>
      </c>
      <c r="P146" s="266">
        <f t="shared" si="8"/>
        <v>0.17640000000000003</v>
      </c>
      <c r="R146" s="300">
        <f t="shared" si="9"/>
        <v>1.1999999999999789E-3</v>
      </c>
      <c r="S146" s="267">
        <f t="shared" si="10"/>
        <v>0.86799999999999999</v>
      </c>
      <c r="T146" s="266">
        <f t="shared" si="11"/>
        <v>30.269770322580648</v>
      </c>
    </row>
    <row r="147" spans="13:20" x14ac:dyDescent="0.2">
      <c r="M147" s="367">
        <f>Tornado!CI145</f>
        <v>7.8125E-3</v>
      </c>
      <c r="N147" s="268">
        <f>Tornado!CJ145</f>
        <v>0.58203125</v>
      </c>
      <c r="O147" s="368">
        <f>Tornado!CK145</f>
        <v>30.768722580645157</v>
      </c>
      <c r="P147" s="266">
        <f t="shared" si="8"/>
        <v>0.17880000000000001</v>
      </c>
      <c r="R147" s="300">
        <f t="shared" si="9"/>
        <v>1.1999999999999789E-3</v>
      </c>
      <c r="S147" s="267">
        <f t="shared" si="10"/>
        <v>0.86919999999999997</v>
      </c>
      <c r="T147" s="266">
        <f t="shared" si="11"/>
        <v>30.269770322580648</v>
      </c>
    </row>
    <row r="148" spans="13:20" x14ac:dyDescent="0.2">
      <c r="M148" s="367">
        <f>Tornado!CI146</f>
        <v>7.8125E-3</v>
      </c>
      <c r="N148" s="268">
        <f>Tornado!CJ146</f>
        <v>0.58984375</v>
      </c>
      <c r="O148" s="368">
        <f>Tornado!CK146</f>
        <v>30.768722580645157</v>
      </c>
      <c r="P148" s="266">
        <f t="shared" si="8"/>
        <v>0.18120000000000003</v>
      </c>
      <c r="R148" s="300">
        <f t="shared" si="9"/>
        <v>2.3999999999999577E-3</v>
      </c>
      <c r="S148" s="267">
        <f t="shared" si="10"/>
        <v>0.87159999999999993</v>
      </c>
      <c r="T148" s="266">
        <f t="shared" si="11"/>
        <v>30.768722580645157</v>
      </c>
    </row>
    <row r="149" spans="13:20" x14ac:dyDescent="0.2">
      <c r="M149" s="367">
        <f>Tornado!CI147</f>
        <v>3.90625E-3</v>
      </c>
      <c r="N149" s="268">
        <f>Tornado!CJ147</f>
        <v>0.59375</v>
      </c>
      <c r="O149" s="368">
        <f>Tornado!CK147</f>
        <v>30.861625806451606</v>
      </c>
      <c r="P149" s="266">
        <f t="shared" si="8"/>
        <v>0.18240000000000001</v>
      </c>
      <c r="R149" s="300">
        <f t="shared" si="9"/>
        <v>2.4000000000000687E-3</v>
      </c>
      <c r="S149" s="267">
        <f t="shared" si="10"/>
        <v>0.874</v>
      </c>
      <c r="T149" s="266">
        <f t="shared" si="11"/>
        <v>30.768722580645157</v>
      </c>
    </row>
    <row r="150" spans="13:20" x14ac:dyDescent="0.2">
      <c r="M150" s="367">
        <f>Tornado!CI148</f>
        <v>7.8125E-3</v>
      </c>
      <c r="N150" s="268">
        <f>Tornado!CJ148</f>
        <v>0.6015625</v>
      </c>
      <c r="O150" s="368">
        <f>Tornado!CK148</f>
        <v>32.223999999999997</v>
      </c>
      <c r="P150" s="266">
        <f t="shared" si="8"/>
        <v>0.18480000000000002</v>
      </c>
      <c r="R150" s="300">
        <f t="shared" si="9"/>
        <v>1.1999999999999789E-3</v>
      </c>
      <c r="S150" s="267">
        <f t="shared" si="10"/>
        <v>0.87519999999999998</v>
      </c>
      <c r="T150" s="266">
        <f t="shared" si="11"/>
        <v>30.861625806451606</v>
      </c>
    </row>
    <row r="151" spans="13:20" x14ac:dyDescent="0.2">
      <c r="M151" s="367">
        <f>Tornado!CI149</f>
        <v>7.8125E-3</v>
      </c>
      <c r="N151" s="268">
        <f>Tornado!CJ149</f>
        <v>0.609375</v>
      </c>
      <c r="O151" s="368">
        <f>Tornado!CK149</f>
        <v>32.223999999999997</v>
      </c>
      <c r="P151" s="266">
        <f t="shared" si="8"/>
        <v>0.18720000000000001</v>
      </c>
      <c r="R151" s="300">
        <f t="shared" si="9"/>
        <v>2.3999999999999577E-3</v>
      </c>
      <c r="S151" s="267">
        <f t="shared" si="10"/>
        <v>0.87759999999999994</v>
      </c>
      <c r="T151" s="266">
        <f t="shared" si="11"/>
        <v>32.223999999999997</v>
      </c>
    </row>
    <row r="152" spans="13:20" x14ac:dyDescent="0.2">
      <c r="M152" s="367">
        <f>Tornado!CI150</f>
        <v>3.90625E-3</v>
      </c>
      <c r="N152" s="268">
        <f>Tornado!CJ150</f>
        <v>0.61328125</v>
      </c>
      <c r="O152" s="368">
        <f>Tornado!CK150</f>
        <v>32.431896774193547</v>
      </c>
      <c r="P152" s="266">
        <f t="shared" si="8"/>
        <v>0.18840000000000001</v>
      </c>
      <c r="R152" s="300">
        <f t="shared" si="9"/>
        <v>2.4000000000000687E-3</v>
      </c>
      <c r="S152" s="267">
        <f t="shared" si="10"/>
        <v>0.88</v>
      </c>
      <c r="T152" s="266">
        <f t="shared" si="11"/>
        <v>32.223999999999997</v>
      </c>
    </row>
    <row r="153" spans="13:20" x14ac:dyDescent="0.2">
      <c r="M153" s="367">
        <f>Tornado!CI151</f>
        <v>3.90625E-3</v>
      </c>
      <c r="N153" s="268">
        <f>Tornado!CJ151</f>
        <v>0.6171875</v>
      </c>
      <c r="O153" s="368">
        <f>Tornado!CK151</f>
        <v>32.431896774193547</v>
      </c>
      <c r="P153" s="266">
        <f t="shared" si="8"/>
        <v>0.18960000000000002</v>
      </c>
      <c r="R153" s="300">
        <f t="shared" si="9"/>
        <v>1.1999999999999789E-3</v>
      </c>
      <c r="S153" s="267">
        <f t="shared" si="10"/>
        <v>0.88119999999999998</v>
      </c>
      <c r="T153" s="266">
        <f t="shared" si="11"/>
        <v>32.431896774193547</v>
      </c>
    </row>
    <row r="154" spans="13:20" x14ac:dyDescent="0.2">
      <c r="M154" s="367">
        <f>Tornado!CI152</f>
        <v>7.8125E-3</v>
      </c>
      <c r="N154" s="268">
        <f>Tornado!CJ152</f>
        <v>0.625</v>
      </c>
      <c r="O154" s="368">
        <f>Tornado!CK152</f>
        <v>32.44205419354838</v>
      </c>
      <c r="P154" s="266">
        <f t="shared" si="8"/>
        <v>0.192</v>
      </c>
      <c r="R154" s="300">
        <f t="shared" si="9"/>
        <v>1.1999999999999789E-3</v>
      </c>
      <c r="S154" s="267">
        <f t="shared" si="10"/>
        <v>0.88239999999999996</v>
      </c>
      <c r="T154" s="266">
        <f t="shared" si="11"/>
        <v>32.431896774193547</v>
      </c>
    </row>
    <row r="155" spans="13:20" x14ac:dyDescent="0.2">
      <c r="M155" s="367">
        <f>Tornado!CI153</f>
        <v>9.765625E-4</v>
      </c>
      <c r="N155" s="268">
        <f>Tornado!CJ153</f>
        <v>0.6259765625</v>
      </c>
      <c r="O155" s="368">
        <f>Tornado!CK153</f>
        <v>32.44205419354838</v>
      </c>
      <c r="P155" s="266">
        <f t="shared" si="8"/>
        <v>0.19230000000000003</v>
      </c>
      <c r="R155" s="300">
        <f t="shared" si="9"/>
        <v>2.4000000000000687E-3</v>
      </c>
      <c r="S155" s="267">
        <f t="shared" si="10"/>
        <v>0.88480000000000003</v>
      </c>
      <c r="T155" s="266">
        <f t="shared" si="11"/>
        <v>32.44205419354838</v>
      </c>
    </row>
    <row r="156" spans="13:20" x14ac:dyDescent="0.2">
      <c r="M156" s="367">
        <f>Tornado!CI154</f>
        <v>9.765625E-4</v>
      </c>
      <c r="N156" s="268">
        <f>Tornado!CJ154</f>
        <v>0.626953125</v>
      </c>
      <c r="O156" s="368">
        <f>Tornado!CK154</f>
        <v>32.839628387096774</v>
      </c>
      <c r="P156" s="266">
        <f t="shared" si="8"/>
        <v>0.19260000000000002</v>
      </c>
      <c r="R156" s="300">
        <f t="shared" si="9"/>
        <v>2.9999999999996696E-4</v>
      </c>
      <c r="S156" s="267">
        <f t="shared" si="10"/>
        <v>0.8851</v>
      </c>
      <c r="T156" s="266">
        <f t="shared" si="11"/>
        <v>32.44205419354838</v>
      </c>
    </row>
    <row r="157" spans="13:20" x14ac:dyDescent="0.2">
      <c r="M157" s="367">
        <f>Tornado!CI155</f>
        <v>9.765625E-4</v>
      </c>
      <c r="N157" s="268">
        <f>Tornado!CJ155</f>
        <v>0.6279296875</v>
      </c>
      <c r="O157" s="368">
        <f>Tornado!CK155</f>
        <v>32.839628387096774</v>
      </c>
      <c r="P157" s="266">
        <f t="shared" si="8"/>
        <v>0.19290000000000002</v>
      </c>
      <c r="R157" s="300">
        <f t="shared" si="9"/>
        <v>2.9999999999996696E-4</v>
      </c>
      <c r="S157" s="267">
        <f t="shared" si="10"/>
        <v>0.88539999999999996</v>
      </c>
      <c r="T157" s="266">
        <f t="shared" si="11"/>
        <v>32.839628387096774</v>
      </c>
    </row>
    <row r="158" spans="13:20" x14ac:dyDescent="0.2">
      <c r="M158" s="367">
        <f>Tornado!CI156</f>
        <v>3.90625E-3</v>
      </c>
      <c r="N158" s="268">
        <f>Tornado!CJ156</f>
        <v>0.6318359375</v>
      </c>
      <c r="O158" s="368">
        <f>Tornado!CK156</f>
        <v>34.095070967741925</v>
      </c>
      <c r="P158" s="266">
        <f t="shared" si="8"/>
        <v>0.19410000000000002</v>
      </c>
      <c r="R158" s="300">
        <f t="shared" si="9"/>
        <v>2.9999999999996696E-4</v>
      </c>
      <c r="S158" s="267">
        <f t="shared" si="10"/>
        <v>0.88569999999999993</v>
      </c>
      <c r="T158" s="266">
        <f t="shared" si="11"/>
        <v>32.839628387096774</v>
      </c>
    </row>
    <row r="159" spans="13:20" x14ac:dyDescent="0.2">
      <c r="M159" s="367">
        <f>Tornado!CI157</f>
        <v>3.90625E-3</v>
      </c>
      <c r="N159" s="268">
        <f>Tornado!CJ157</f>
        <v>0.6357421875</v>
      </c>
      <c r="O159" s="368">
        <f>Tornado!CK157</f>
        <v>34.095070967741925</v>
      </c>
      <c r="P159" s="266">
        <f t="shared" si="8"/>
        <v>0.19530000000000003</v>
      </c>
      <c r="R159" s="300">
        <f t="shared" si="9"/>
        <v>1.2000000000000899E-3</v>
      </c>
      <c r="S159" s="267">
        <f t="shared" si="10"/>
        <v>0.88690000000000002</v>
      </c>
      <c r="T159" s="266">
        <f t="shared" si="11"/>
        <v>34.095070967741925</v>
      </c>
    </row>
    <row r="160" spans="13:20" x14ac:dyDescent="0.2">
      <c r="M160" s="367">
        <f>Tornado!CI158</f>
        <v>1.953125E-3</v>
      </c>
      <c r="N160" s="268">
        <f>Tornado!CJ158</f>
        <v>0.6376953125</v>
      </c>
      <c r="O160" s="368">
        <f>Tornado!CK158</f>
        <v>34.248877419354827</v>
      </c>
      <c r="P160" s="266">
        <f t="shared" si="8"/>
        <v>0.19590000000000002</v>
      </c>
      <c r="R160" s="300">
        <f t="shared" si="9"/>
        <v>1.1999999999999789E-3</v>
      </c>
      <c r="S160" s="267">
        <f t="shared" si="10"/>
        <v>0.8881</v>
      </c>
      <c r="T160" s="266">
        <f t="shared" si="11"/>
        <v>34.095070967741925</v>
      </c>
    </row>
    <row r="161" spans="13:20" x14ac:dyDescent="0.2">
      <c r="M161" s="367">
        <f>Tornado!CI159</f>
        <v>1.953125E-3</v>
      </c>
      <c r="N161" s="268">
        <f>Tornado!CJ159</f>
        <v>0.6396484375</v>
      </c>
      <c r="O161" s="368">
        <f>Tornado!CK159</f>
        <v>34.248877419354827</v>
      </c>
      <c r="P161" s="266">
        <f t="shared" si="8"/>
        <v>0.19650000000000001</v>
      </c>
      <c r="R161" s="300">
        <f t="shared" si="9"/>
        <v>6.0000000000004494E-4</v>
      </c>
      <c r="S161" s="267">
        <f t="shared" si="10"/>
        <v>0.88870000000000005</v>
      </c>
      <c r="T161" s="266">
        <f t="shared" si="11"/>
        <v>34.248877419354827</v>
      </c>
    </row>
    <row r="162" spans="13:20" x14ac:dyDescent="0.2">
      <c r="M162" s="367">
        <f>Tornado!CI160</f>
        <v>7.8125E-3</v>
      </c>
      <c r="N162" s="268">
        <f>Tornado!CJ160</f>
        <v>0.6474609375</v>
      </c>
      <c r="O162" s="368">
        <f>Tornado!CK160</f>
        <v>34.986529032258069</v>
      </c>
      <c r="P162" s="266">
        <f t="shared" si="8"/>
        <v>0.19890000000000002</v>
      </c>
      <c r="R162" s="300">
        <f t="shared" si="9"/>
        <v>5.9999999999993392E-4</v>
      </c>
      <c r="S162" s="267">
        <f t="shared" si="10"/>
        <v>0.88929999999999998</v>
      </c>
      <c r="T162" s="266">
        <f t="shared" si="11"/>
        <v>34.248877419354827</v>
      </c>
    </row>
    <row r="163" spans="13:20" x14ac:dyDescent="0.2">
      <c r="M163" s="367">
        <f>Tornado!CI161</f>
        <v>7.8125E-3</v>
      </c>
      <c r="N163" s="268">
        <f>Tornado!CJ161</f>
        <v>0.6552734375</v>
      </c>
      <c r="O163" s="368">
        <f>Tornado!CK161</f>
        <v>34.986529032258069</v>
      </c>
      <c r="P163" s="266">
        <f t="shared" si="8"/>
        <v>0.20130000000000001</v>
      </c>
      <c r="R163" s="300">
        <f t="shared" si="9"/>
        <v>2.3999999999999577E-3</v>
      </c>
      <c r="S163" s="267">
        <f t="shared" si="10"/>
        <v>0.89169999999999994</v>
      </c>
      <c r="T163" s="266">
        <f t="shared" si="11"/>
        <v>34.986529032258069</v>
      </c>
    </row>
    <row r="164" spans="13:20" x14ac:dyDescent="0.2">
      <c r="M164" s="367">
        <f>Tornado!CI162</f>
        <v>1.953125E-3</v>
      </c>
      <c r="N164" s="268">
        <f>Tornado!CJ162</f>
        <v>0.6572265625</v>
      </c>
      <c r="O164" s="368">
        <f>Tornado!CK162</f>
        <v>35.300872258064516</v>
      </c>
      <c r="P164" s="266">
        <f t="shared" si="8"/>
        <v>0.20190000000000002</v>
      </c>
      <c r="R164" s="300">
        <f t="shared" si="9"/>
        <v>2.4000000000000687E-3</v>
      </c>
      <c r="S164" s="267">
        <f t="shared" si="10"/>
        <v>0.89410000000000001</v>
      </c>
      <c r="T164" s="266">
        <f t="shared" si="11"/>
        <v>34.986529032258069</v>
      </c>
    </row>
    <row r="165" spans="13:20" x14ac:dyDescent="0.2">
      <c r="M165" s="367">
        <f>Tornado!CI163</f>
        <v>1.953125E-3</v>
      </c>
      <c r="N165" s="268">
        <f>Tornado!CJ163</f>
        <v>0.6591796875</v>
      </c>
      <c r="O165" s="368">
        <f>Tornado!CK163</f>
        <v>35.304588387096771</v>
      </c>
      <c r="P165" s="266">
        <f t="shared" si="8"/>
        <v>0.20250000000000001</v>
      </c>
      <c r="R165" s="300">
        <f t="shared" si="9"/>
        <v>6.0000000000004494E-4</v>
      </c>
      <c r="S165" s="267">
        <f t="shared" si="10"/>
        <v>0.89470000000000005</v>
      </c>
      <c r="T165" s="266">
        <f t="shared" si="11"/>
        <v>35.300872258064516</v>
      </c>
    </row>
    <row r="166" spans="13:20" x14ac:dyDescent="0.2">
      <c r="M166" s="367">
        <f>Tornado!CI164</f>
        <v>1.953125E-3</v>
      </c>
      <c r="N166" s="268">
        <f>Tornado!CJ164</f>
        <v>0.6611328125</v>
      </c>
      <c r="O166" s="368">
        <f>Tornado!CK164</f>
        <v>35.304588387096771</v>
      </c>
      <c r="P166" s="266">
        <f t="shared" si="8"/>
        <v>0.20310000000000003</v>
      </c>
      <c r="R166" s="300">
        <f t="shared" si="9"/>
        <v>5.9999999999993392E-4</v>
      </c>
      <c r="S166" s="267">
        <f t="shared" si="10"/>
        <v>0.89529999999999998</v>
      </c>
      <c r="T166" s="266">
        <f t="shared" si="11"/>
        <v>35.304588387096771</v>
      </c>
    </row>
    <row r="167" spans="13:20" x14ac:dyDescent="0.2">
      <c r="M167" s="367">
        <f>Tornado!CI165</f>
        <v>7.8125E-3</v>
      </c>
      <c r="N167" s="268">
        <f>Tornado!CJ165</f>
        <v>0.6689453125</v>
      </c>
      <c r="O167" s="368">
        <f>Tornado!CK165</f>
        <v>36.179251612903229</v>
      </c>
      <c r="P167" s="266">
        <f t="shared" si="8"/>
        <v>0.20550000000000002</v>
      </c>
      <c r="R167" s="300">
        <f t="shared" si="9"/>
        <v>6.0000000000004494E-4</v>
      </c>
      <c r="S167" s="267">
        <f t="shared" si="10"/>
        <v>0.89590000000000003</v>
      </c>
      <c r="T167" s="266">
        <f t="shared" si="11"/>
        <v>35.304588387096771</v>
      </c>
    </row>
    <row r="168" spans="13:20" x14ac:dyDescent="0.2">
      <c r="M168" s="367">
        <f>Tornado!CI166</f>
        <v>1.953125E-3</v>
      </c>
      <c r="N168" s="268">
        <f>Tornado!CJ166</f>
        <v>0.6708984375</v>
      </c>
      <c r="O168" s="368">
        <f>Tornado!CK166</f>
        <v>36.507045161290314</v>
      </c>
      <c r="P168" s="266">
        <f t="shared" si="8"/>
        <v>0.20610000000000001</v>
      </c>
      <c r="R168" s="300">
        <f t="shared" si="9"/>
        <v>2.3999999999999577E-3</v>
      </c>
      <c r="S168" s="267">
        <f t="shared" si="10"/>
        <v>0.89829999999999999</v>
      </c>
      <c r="T168" s="266">
        <f t="shared" si="11"/>
        <v>36.179251612903229</v>
      </c>
    </row>
    <row r="169" spans="13:20" x14ac:dyDescent="0.2">
      <c r="M169" s="367">
        <f>Tornado!CI167</f>
        <v>1.953125E-3</v>
      </c>
      <c r="N169" s="268">
        <f>Tornado!CJ167</f>
        <v>0.6728515625</v>
      </c>
      <c r="O169" s="368">
        <f>Tornado!CK167</f>
        <v>36.974399999999996</v>
      </c>
      <c r="P169" s="266">
        <f t="shared" si="8"/>
        <v>0.20670000000000002</v>
      </c>
      <c r="R169" s="300">
        <f t="shared" si="9"/>
        <v>6.0000000000004494E-4</v>
      </c>
      <c r="S169" s="267">
        <f t="shared" si="10"/>
        <v>0.89890000000000003</v>
      </c>
      <c r="T169" s="266">
        <f t="shared" si="11"/>
        <v>36.507045161290314</v>
      </c>
    </row>
    <row r="170" spans="13:20" x14ac:dyDescent="0.2">
      <c r="M170" s="367">
        <f>Tornado!CI168</f>
        <v>1.953125E-3</v>
      </c>
      <c r="N170" s="268">
        <f>Tornado!CJ168</f>
        <v>0.6748046875</v>
      </c>
      <c r="O170" s="368">
        <f>Tornado!CK168</f>
        <v>36.974399999999996</v>
      </c>
      <c r="P170" s="266">
        <f t="shared" si="8"/>
        <v>0.20730000000000001</v>
      </c>
      <c r="R170" s="300">
        <f t="shared" si="9"/>
        <v>5.9999999999993392E-4</v>
      </c>
      <c r="S170" s="267">
        <f t="shared" si="10"/>
        <v>0.89949999999999997</v>
      </c>
      <c r="T170" s="266">
        <f t="shared" si="11"/>
        <v>36.974399999999996</v>
      </c>
    </row>
    <row r="171" spans="13:20" x14ac:dyDescent="0.2">
      <c r="M171" s="367">
        <f>Tornado!CI169</f>
        <v>9.765625E-4</v>
      </c>
      <c r="N171" s="268">
        <f>Tornado!CJ169</f>
        <v>0.67578125</v>
      </c>
      <c r="O171" s="368">
        <f>Tornado!CK169</f>
        <v>37.278585806451609</v>
      </c>
      <c r="P171" s="266">
        <f t="shared" si="8"/>
        <v>0.20760000000000001</v>
      </c>
      <c r="R171" s="300">
        <f t="shared" si="9"/>
        <v>6.0000000000004494E-4</v>
      </c>
      <c r="S171" s="267">
        <f t="shared" si="10"/>
        <v>0.90010000000000001</v>
      </c>
      <c r="T171" s="266">
        <f t="shared" si="11"/>
        <v>36.974399999999996</v>
      </c>
    </row>
    <row r="172" spans="13:20" x14ac:dyDescent="0.2">
      <c r="M172" s="367">
        <f>Tornado!CI170</f>
        <v>9.765625E-4</v>
      </c>
      <c r="N172" s="268">
        <f>Tornado!CJ170</f>
        <v>0.6767578125</v>
      </c>
      <c r="O172" s="368">
        <f>Tornado!CK170</f>
        <v>39.121300645161284</v>
      </c>
      <c r="P172" s="266">
        <f t="shared" si="8"/>
        <v>0.20790000000000003</v>
      </c>
      <c r="R172" s="300">
        <f t="shared" si="9"/>
        <v>2.9999999999996696E-4</v>
      </c>
      <c r="S172" s="267">
        <f t="shared" si="10"/>
        <v>0.90039999999999998</v>
      </c>
      <c r="T172" s="266">
        <f t="shared" si="11"/>
        <v>37.278585806451609</v>
      </c>
    </row>
    <row r="173" spans="13:20" x14ac:dyDescent="0.2">
      <c r="M173" s="367">
        <f>Tornado!CI171</f>
        <v>9.765625E-4</v>
      </c>
      <c r="N173" s="268">
        <f>Tornado!CJ171</f>
        <v>0.677734375</v>
      </c>
      <c r="O173" s="368">
        <f>Tornado!CK171</f>
        <v>39.121300645161284</v>
      </c>
      <c r="P173" s="266">
        <f t="shared" si="8"/>
        <v>0.20820000000000002</v>
      </c>
      <c r="R173" s="300">
        <f t="shared" si="9"/>
        <v>3.0000000000007798E-4</v>
      </c>
      <c r="S173" s="267">
        <f t="shared" si="10"/>
        <v>0.90070000000000006</v>
      </c>
      <c r="T173" s="266">
        <f t="shared" si="11"/>
        <v>39.121300645161284</v>
      </c>
    </row>
    <row r="174" spans="13:20" x14ac:dyDescent="0.2">
      <c r="M174" s="367">
        <f>Tornado!CI172</f>
        <v>1.953125E-3</v>
      </c>
      <c r="N174" s="268">
        <f>Tornado!CJ172</f>
        <v>0.6796875</v>
      </c>
      <c r="O174" s="368">
        <f>Tornado!CK172</f>
        <v>39.58354580645161</v>
      </c>
      <c r="P174" s="266">
        <f t="shared" si="8"/>
        <v>0.20880000000000001</v>
      </c>
      <c r="R174" s="300">
        <f t="shared" si="9"/>
        <v>2.9999999999996696E-4</v>
      </c>
      <c r="S174" s="267">
        <f t="shared" si="10"/>
        <v>0.90100000000000002</v>
      </c>
      <c r="T174" s="266">
        <f t="shared" si="11"/>
        <v>39.121300645161284</v>
      </c>
    </row>
    <row r="175" spans="13:20" x14ac:dyDescent="0.2">
      <c r="M175" s="367">
        <f>Tornado!CI173</f>
        <v>1.5625E-2</v>
      </c>
      <c r="N175" s="268">
        <f>Tornado!CJ173</f>
        <v>0.6953125</v>
      </c>
      <c r="O175" s="368">
        <f>Tornado!CK173</f>
        <v>39.58354580645161</v>
      </c>
      <c r="P175" s="266">
        <f t="shared" si="8"/>
        <v>0.21360000000000001</v>
      </c>
      <c r="R175" s="300">
        <f t="shared" si="9"/>
        <v>5.9999999999993392E-4</v>
      </c>
      <c r="S175" s="267">
        <f t="shared" si="10"/>
        <v>0.90159999999999996</v>
      </c>
      <c r="T175" s="266">
        <f t="shared" si="11"/>
        <v>39.58354580645161</v>
      </c>
    </row>
    <row r="176" spans="13:20" x14ac:dyDescent="0.2">
      <c r="M176" s="367">
        <f>Tornado!CI174</f>
        <v>1.5625E-2</v>
      </c>
      <c r="N176" s="268">
        <f>Tornado!CJ174</f>
        <v>0.7109375</v>
      </c>
      <c r="O176" s="368">
        <f>Tornado!CK174</f>
        <v>40.747767741935476</v>
      </c>
      <c r="P176" s="266">
        <f t="shared" si="8"/>
        <v>0.21840000000000001</v>
      </c>
      <c r="R176" s="300">
        <f t="shared" si="9"/>
        <v>4.8000000000000265E-3</v>
      </c>
      <c r="S176" s="267">
        <f t="shared" si="10"/>
        <v>0.90639999999999998</v>
      </c>
      <c r="T176" s="266">
        <f t="shared" si="11"/>
        <v>39.58354580645161</v>
      </c>
    </row>
    <row r="177" spans="13:20" x14ac:dyDescent="0.2">
      <c r="M177" s="367">
        <f>Tornado!CI175</f>
        <v>3.90625E-3</v>
      </c>
      <c r="N177" s="268">
        <f>Tornado!CJ175</f>
        <v>0.71484375</v>
      </c>
      <c r="O177" s="368">
        <f>Tornado!CK175</f>
        <v>40.914085161290316</v>
      </c>
      <c r="P177" s="266">
        <f t="shared" si="8"/>
        <v>0.21960000000000002</v>
      </c>
      <c r="R177" s="300">
        <f t="shared" si="9"/>
        <v>4.8000000000000265E-3</v>
      </c>
      <c r="S177" s="267">
        <f t="shared" si="10"/>
        <v>0.91120000000000001</v>
      </c>
      <c r="T177" s="266">
        <f t="shared" si="11"/>
        <v>40.747767741935476</v>
      </c>
    </row>
    <row r="178" spans="13:20" x14ac:dyDescent="0.2">
      <c r="M178" s="367">
        <f>Tornado!CI176</f>
        <v>3.90625E-3</v>
      </c>
      <c r="N178" s="268">
        <f>Tornado!CJ176</f>
        <v>0.71875</v>
      </c>
      <c r="O178" s="368">
        <f>Tornado!CK176</f>
        <v>41.347716129032257</v>
      </c>
      <c r="P178" s="266">
        <f t="shared" si="8"/>
        <v>0.22080000000000002</v>
      </c>
      <c r="R178" s="300">
        <f t="shared" si="9"/>
        <v>1.1999999999999789E-3</v>
      </c>
      <c r="S178" s="267">
        <f t="shared" si="10"/>
        <v>0.91239999999999999</v>
      </c>
      <c r="T178" s="266">
        <f t="shared" si="11"/>
        <v>40.914085161290316</v>
      </c>
    </row>
    <row r="179" spans="13:20" x14ac:dyDescent="0.2">
      <c r="M179" s="367">
        <f>Tornado!CI177</f>
        <v>3.90625E-3</v>
      </c>
      <c r="N179" s="268">
        <f>Tornado!CJ177</f>
        <v>0.72265625</v>
      </c>
      <c r="O179" s="368">
        <f>Tornado!CK177</f>
        <v>41.347716129032257</v>
      </c>
      <c r="P179" s="266">
        <f t="shared" si="8"/>
        <v>0.22200000000000003</v>
      </c>
      <c r="R179" s="300">
        <f t="shared" si="9"/>
        <v>1.1999999999999789E-3</v>
      </c>
      <c r="S179" s="267">
        <f t="shared" si="10"/>
        <v>0.91359999999999997</v>
      </c>
      <c r="T179" s="266">
        <f t="shared" si="11"/>
        <v>41.347716129032257</v>
      </c>
    </row>
    <row r="180" spans="13:20" x14ac:dyDescent="0.2">
      <c r="M180" s="367">
        <f>Tornado!CI178</f>
        <v>1.5625E-2</v>
      </c>
      <c r="N180" s="268">
        <f>Tornado!CJ178</f>
        <v>0.73828125</v>
      </c>
      <c r="O180" s="368">
        <f>Tornado!CK178</f>
        <v>41.579354838709676</v>
      </c>
      <c r="P180" s="266">
        <f t="shared" si="8"/>
        <v>0.22680000000000003</v>
      </c>
      <c r="R180" s="300">
        <f t="shared" si="9"/>
        <v>1.2000000000000899E-3</v>
      </c>
      <c r="S180" s="267">
        <f t="shared" si="10"/>
        <v>0.91480000000000006</v>
      </c>
      <c r="T180" s="266">
        <f t="shared" si="11"/>
        <v>41.347716129032257</v>
      </c>
    </row>
    <row r="181" spans="13:20" x14ac:dyDescent="0.2">
      <c r="M181" s="367">
        <f>Tornado!CI179</f>
        <v>1.5625E-2</v>
      </c>
      <c r="N181" s="268">
        <f>Tornado!CJ179</f>
        <v>0.75390625</v>
      </c>
      <c r="O181" s="368">
        <f>Tornado!CK179</f>
        <v>41.579354838709676</v>
      </c>
      <c r="P181" s="266">
        <f t="shared" si="8"/>
        <v>0.23160000000000003</v>
      </c>
      <c r="R181" s="300">
        <f t="shared" si="9"/>
        <v>4.7999999999999154E-3</v>
      </c>
      <c r="S181" s="267">
        <f t="shared" si="10"/>
        <v>0.91959999999999997</v>
      </c>
      <c r="T181" s="266">
        <f t="shared" si="11"/>
        <v>41.579354838709676</v>
      </c>
    </row>
    <row r="182" spans="13:20" x14ac:dyDescent="0.2">
      <c r="M182" s="367">
        <f>Tornado!CI180</f>
        <v>1.953125E-3</v>
      </c>
      <c r="N182" s="268">
        <f>Tornado!CJ180</f>
        <v>0.755859375</v>
      </c>
      <c r="O182" s="368">
        <f>Tornado!CK180</f>
        <v>42.301894193548378</v>
      </c>
      <c r="P182" s="266">
        <f t="shared" si="8"/>
        <v>0.23220000000000002</v>
      </c>
      <c r="R182" s="300">
        <f t="shared" si="9"/>
        <v>4.8000000000000265E-3</v>
      </c>
      <c r="S182" s="267">
        <f t="shared" si="10"/>
        <v>0.9244</v>
      </c>
      <c r="T182" s="266">
        <f t="shared" si="11"/>
        <v>41.579354838709676</v>
      </c>
    </row>
    <row r="183" spans="13:20" x14ac:dyDescent="0.2">
      <c r="M183" s="367">
        <f>Tornado!CI181</f>
        <v>3.90625E-3</v>
      </c>
      <c r="N183" s="268">
        <f>Tornado!CJ181</f>
        <v>0.759765625</v>
      </c>
      <c r="O183" s="368">
        <f>Tornado!CK181</f>
        <v>43.076211612903222</v>
      </c>
      <c r="P183" s="266">
        <f t="shared" si="8"/>
        <v>0.23340000000000002</v>
      </c>
      <c r="R183" s="300">
        <f t="shared" si="9"/>
        <v>6.0000000000004494E-4</v>
      </c>
      <c r="S183" s="267">
        <f t="shared" si="10"/>
        <v>0.92500000000000004</v>
      </c>
      <c r="T183" s="266">
        <f t="shared" si="11"/>
        <v>42.301894193548378</v>
      </c>
    </row>
    <row r="184" spans="13:20" x14ac:dyDescent="0.2">
      <c r="M184" s="367">
        <f>Tornado!CI182</f>
        <v>3.90625E-3</v>
      </c>
      <c r="N184" s="268">
        <f>Tornado!CJ182</f>
        <v>0.763671875</v>
      </c>
      <c r="O184" s="368">
        <f>Tornado!CK182</f>
        <v>43.076211612903222</v>
      </c>
      <c r="P184" s="266">
        <f t="shared" si="8"/>
        <v>0.23460000000000003</v>
      </c>
      <c r="R184" s="300">
        <f t="shared" si="9"/>
        <v>1.1999999999999789E-3</v>
      </c>
      <c r="S184" s="267">
        <f t="shared" si="10"/>
        <v>0.92620000000000002</v>
      </c>
      <c r="T184" s="266">
        <f t="shared" si="11"/>
        <v>43.076211612903222</v>
      </c>
    </row>
    <row r="185" spans="13:20" x14ac:dyDescent="0.2">
      <c r="M185" s="367">
        <f>Tornado!CI183</f>
        <v>1.953125E-3</v>
      </c>
      <c r="N185" s="268">
        <f>Tornado!CJ183</f>
        <v>0.765625</v>
      </c>
      <c r="O185" s="368">
        <f>Tornado!CK183</f>
        <v>43.20627612903224</v>
      </c>
      <c r="P185" s="266">
        <f t="shared" si="8"/>
        <v>0.23520000000000002</v>
      </c>
      <c r="R185" s="300">
        <f t="shared" si="9"/>
        <v>1.1999999999999789E-3</v>
      </c>
      <c r="S185" s="267">
        <f t="shared" si="10"/>
        <v>0.9274</v>
      </c>
      <c r="T185" s="266">
        <f t="shared" si="11"/>
        <v>43.076211612903222</v>
      </c>
    </row>
    <row r="186" spans="13:20" x14ac:dyDescent="0.2">
      <c r="M186" s="367">
        <f>Tornado!CI184</f>
        <v>3.90625E-3</v>
      </c>
      <c r="N186" s="268">
        <f>Tornado!CJ184</f>
        <v>0.76953125</v>
      </c>
      <c r="O186" s="368">
        <f>Tornado!CK184</f>
        <v>45.113599999999998</v>
      </c>
      <c r="P186" s="266">
        <f t="shared" si="8"/>
        <v>0.23640000000000003</v>
      </c>
      <c r="R186" s="300">
        <f t="shared" si="9"/>
        <v>5.9999999999993392E-4</v>
      </c>
      <c r="S186" s="267">
        <f t="shared" si="10"/>
        <v>0.92799999999999994</v>
      </c>
      <c r="T186" s="266">
        <f t="shared" si="11"/>
        <v>43.20627612903224</v>
      </c>
    </row>
    <row r="187" spans="13:20" x14ac:dyDescent="0.2">
      <c r="M187" s="367">
        <f>Tornado!CI185</f>
        <v>3.90625E-3</v>
      </c>
      <c r="N187" s="268">
        <f>Tornado!CJ185</f>
        <v>0.7734375</v>
      </c>
      <c r="O187" s="368">
        <f>Tornado!CK185</f>
        <v>45.113599999999998</v>
      </c>
      <c r="P187" s="266">
        <f t="shared" si="8"/>
        <v>0.23760000000000003</v>
      </c>
      <c r="R187" s="300">
        <f t="shared" si="9"/>
        <v>1.2000000000000899E-3</v>
      </c>
      <c r="S187" s="267">
        <f t="shared" si="10"/>
        <v>0.92920000000000003</v>
      </c>
      <c r="T187" s="266">
        <f t="shared" si="11"/>
        <v>45.113599999999998</v>
      </c>
    </row>
    <row r="188" spans="13:20" x14ac:dyDescent="0.2">
      <c r="M188" s="367">
        <f>Tornado!CI186</f>
        <v>3.90625E-3</v>
      </c>
      <c r="N188" s="268">
        <f>Tornado!CJ186</f>
        <v>0.77734375</v>
      </c>
      <c r="O188" s="368">
        <f>Tornado!CK186</f>
        <v>46.754725161290324</v>
      </c>
      <c r="P188" s="266">
        <f t="shared" si="8"/>
        <v>0.23880000000000001</v>
      </c>
      <c r="R188" s="300">
        <f t="shared" si="9"/>
        <v>1.1999999999999789E-3</v>
      </c>
      <c r="S188" s="267">
        <f t="shared" si="10"/>
        <v>0.9304</v>
      </c>
      <c r="T188" s="266">
        <f t="shared" si="11"/>
        <v>45.113599999999998</v>
      </c>
    </row>
    <row r="189" spans="13:20" x14ac:dyDescent="0.2">
      <c r="M189" s="367">
        <f>Tornado!CI187</f>
        <v>3.90625E-3</v>
      </c>
      <c r="N189" s="268">
        <f>Tornado!CJ187</f>
        <v>0.78125</v>
      </c>
      <c r="O189" s="368">
        <f>Tornado!CK187</f>
        <v>47.708903225806452</v>
      </c>
      <c r="P189" s="266">
        <f t="shared" si="8"/>
        <v>0.24000000000000002</v>
      </c>
      <c r="R189" s="300">
        <f t="shared" si="9"/>
        <v>1.1999999999999789E-3</v>
      </c>
      <c r="S189" s="267">
        <f t="shared" si="10"/>
        <v>0.93159999999999998</v>
      </c>
      <c r="T189" s="266">
        <f t="shared" si="11"/>
        <v>46.754725161290324</v>
      </c>
    </row>
    <row r="190" spans="13:20" x14ac:dyDescent="0.2">
      <c r="M190" s="367">
        <f>Tornado!CI188</f>
        <v>3.90625E-3</v>
      </c>
      <c r="N190" s="268">
        <f>Tornado!CJ188</f>
        <v>0.78515625</v>
      </c>
      <c r="O190" s="368">
        <f>Tornado!CK188</f>
        <v>47.708903225806452</v>
      </c>
      <c r="P190" s="266">
        <f t="shared" si="8"/>
        <v>0.24120000000000003</v>
      </c>
      <c r="R190" s="300">
        <f t="shared" si="9"/>
        <v>1.1999999999999789E-3</v>
      </c>
      <c r="S190" s="267">
        <f t="shared" si="10"/>
        <v>0.93279999999999996</v>
      </c>
      <c r="T190" s="266">
        <f t="shared" si="11"/>
        <v>47.708903225806452</v>
      </c>
    </row>
    <row r="191" spans="13:20" x14ac:dyDescent="0.2">
      <c r="M191" s="367">
        <f>Tornado!CI189</f>
        <v>1.953125E-3</v>
      </c>
      <c r="N191" s="268">
        <f>Tornado!CJ189</f>
        <v>0.787109375</v>
      </c>
      <c r="O191" s="368">
        <f>Tornado!CK189</f>
        <v>47.733099354838707</v>
      </c>
      <c r="P191" s="266">
        <f t="shared" si="8"/>
        <v>0.24180000000000001</v>
      </c>
      <c r="R191" s="300">
        <f t="shared" si="9"/>
        <v>1.1999999999999789E-3</v>
      </c>
      <c r="S191" s="267">
        <f t="shared" si="10"/>
        <v>0.93399999999999994</v>
      </c>
      <c r="T191" s="266">
        <f t="shared" si="11"/>
        <v>47.708903225806452</v>
      </c>
    </row>
    <row r="192" spans="13:20" x14ac:dyDescent="0.2">
      <c r="M192" s="367">
        <f>Tornado!CI190</f>
        <v>1.953125E-3</v>
      </c>
      <c r="N192" s="268">
        <f>Tornado!CJ190</f>
        <v>0.7890625</v>
      </c>
      <c r="O192" s="368">
        <f>Tornado!CK190</f>
        <v>47.733099354838707</v>
      </c>
      <c r="P192" s="266">
        <f t="shared" si="8"/>
        <v>0.24240000000000003</v>
      </c>
      <c r="R192" s="300">
        <f t="shared" si="9"/>
        <v>6.0000000000004494E-4</v>
      </c>
      <c r="S192" s="267">
        <f t="shared" si="10"/>
        <v>0.93459999999999999</v>
      </c>
      <c r="T192" s="266">
        <f t="shared" si="11"/>
        <v>47.733099354838707</v>
      </c>
    </row>
    <row r="193" spans="13:20" x14ac:dyDescent="0.2">
      <c r="M193" s="367">
        <f>Tornado!CI191</f>
        <v>1.953125E-3</v>
      </c>
      <c r="N193" s="268">
        <f>Tornado!CJ191</f>
        <v>0.791015625</v>
      </c>
      <c r="O193" s="368">
        <f>Tornado!CK191</f>
        <v>48.39836903225806</v>
      </c>
      <c r="P193" s="266">
        <f t="shared" si="8"/>
        <v>0.24300000000000002</v>
      </c>
      <c r="R193" s="300">
        <f t="shared" si="9"/>
        <v>6.0000000000004494E-4</v>
      </c>
      <c r="S193" s="267">
        <f t="shared" si="10"/>
        <v>0.93520000000000003</v>
      </c>
      <c r="T193" s="266">
        <f t="shared" si="11"/>
        <v>47.733099354838707</v>
      </c>
    </row>
    <row r="194" spans="13:20" x14ac:dyDescent="0.2">
      <c r="M194" s="367">
        <f>Tornado!CI192</f>
        <v>3.90625E-3</v>
      </c>
      <c r="N194" s="268">
        <f>Tornado!CJ192</f>
        <v>0.794921875</v>
      </c>
      <c r="O194" s="368">
        <f>Tornado!CK192</f>
        <v>48.98114064516129</v>
      </c>
      <c r="P194" s="266">
        <f t="shared" si="8"/>
        <v>0.24420000000000003</v>
      </c>
      <c r="R194" s="300">
        <f t="shared" si="9"/>
        <v>5.9999999999993392E-4</v>
      </c>
      <c r="S194" s="267">
        <f t="shared" si="10"/>
        <v>0.93579999999999997</v>
      </c>
      <c r="T194" s="266">
        <f t="shared" si="11"/>
        <v>48.39836903225806</v>
      </c>
    </row>
    <row r="195" spans="13:20" x14ac:dyDescent="0.2">
      <c r="M195" s="367">
        <f>Tornado!CI193</f>
        <v>3.90625E-3</v>
      </c>
      <c r="N195" s="268">
        <f>Tornado!CJ193</f>
        <v>0.798828125</v>
      </c>
      <c r="O195" s="368">
        <f>Tornado!CK193</f>
        <v>48.98114064516129</v>
      </c>
      <c r="P195" s="266">
        <f t="shared" si="8"/>
        <v>0.24540000000000003</v>
      </c>
      <c r="R195" s="300">
        <f t="shared" si="9"/>
        <v>1.2000000000000899E-3</v>
      </c>
      <c r="S195" s="267">
        <f t="shared" si="10"/>
        <v>0.93700000000000006</v>
      </c>
      <c r="T195" s="266">
        <f t="shared" si="11"/>
        <v>48.98114064516129</v>
      </c>
    </row>
    <row r="196" spans="13:20" x14ac:dyDescent="0.2">
      <c r="M196" s="367">
        <f>Tornado!CI194</f>
        <v>3.90625E-3</v>
      </c>
      <c r="N196" s="268">
        <f>Tornado!CJ194</f>
        <v>0.802734375</v>
      </c>
      <c r="O196" s="368">
        <f>Tornado!CK194</f>
        <v>50.650952258064507</v>
      </c>
      <c r="P196" s="266">
        <f t="shared" si="8"/>
        <v>0.24660000000000001</v>
      </c>
      <c r="R196" s="300">
        <f t="shared" si="9"/>
        <v>1.1999999999999789E-3</v>
      </c>
      <c r="S196" s="267">
        <f t="shared" si="10"/>
        <v>0.93820000000000003</v>
      </c>
      <c r="T196" s="266">
        <f t="shared" si="11"/>
        <v>48.98114064516129</v>
      </c>
    </row>
    <row r="197" spans="13:20" x14ac:dyDescent="0.2">
      <c r="M197" s="367">
        <f>Tornado!CI195</f>
        <v>9.765625E-4</v>
      </c>
      <c r="N197" s="268">
        <f>Tornado!CJ195</f>
        <v>0.8037109375</v>
      </c>
      <c r="O197" s="368">
        <f>Tornado!CK195</f>
        <v>51.109863225806436</v>
      </c>
      <c r="P197" s="266">
        <f t="shared" si="8"/>
        <v>0.24690000000000004</v>
      </c>
      <c r="R197" s="300">
        <f t="shared" si="9"/>
        <v>1.1999999999999789E-3</v>
      </c>
      <c r="S197" s="267">
        <f t="shared" si="10"/>
        <v>0.93940000000000001</v>
      </c>
      <c r="T197" s="266">
        <f t="shared" si="11"/>
        <v>50.650952258064507</v>
      </c>
    </row>
    <row r="198" spans="13:20" x14ac:dyDescent="0.2">
      <c r="M198" s="367">
        <f>Tornado!CI196</f>
        <v>7.8125E-3</v>
      </c>
      <c r="N198" s="268">
        <f>Tornado!CJ196</f>
        <v>0.8115234375</v>
      </c>
      <c r="O198" s="368">
        <f>Tornado!CK196</f>
        <v>54.053161290322571</v>
      </c>
      <c r="P198" s="266">
        <f t="shared" si="8"/>
        <v>0.24930000000000002</v>
      </c>
      <c r="R198" s="300">
        <f t="shared" si="9"/>
        <v>2.9999999999996696E-4</v>
      </c>
      <c r="S198" s="267">
        <f t="shared" si="10"/>
        <v>0.93969999999999998</v>
      </c>
      <c r="T198" s="266">
        <f t="shared" si="11"/>
        <v>51.109863225806436</v>
      </c>
    </row>
    <row r="199" spans="13:20" x14ac:dyDescent="0.2">
      <c r="M199" s="367">
        <f>Tornado!CI197</f>
        <v>7.8125E-3</v>
      </c>
      <c r="N199" s="268">
        <f>Tornado!CJ197</f>
        <v>0.8193359375</v>
      </c>
      <c r="O199" s="368">
        <f>Tornado!CK197</f>
        <v>54.053161290322571</v>
      </c>
      <c r="P199" s="266">
        <f t="shared" ref="P199:P249" si="12">pCrossChasm_total * N199</f>
        <v>0.25170000000000003</v>
      </c>
      <c r="R199" s="300">
        <f t="shared" si="9"/>
        <v>2.3999999999999577E-3</v>
      </c>
      <c r="S199" s="267">
        <f t="shared" si="10"/>
        <v>0.94209999999999994</v>
      </c>
      <c r="T199" s="266">
        <f t="shared" si="11"/>
        <v>54.053161290322571</v>
      </c>
    </row>
    <row r="200" spans="13:20" x14ac:dyDescent="0.2">
      <c r="M200" s="367">
        <f>Tornado!CI198</f>
        <v>1.953125E-3</v>
      </c>
      <c r="N200" s="268">
        <f>Tornado!CJ198</f>
        <v>0.8212890625</v>
      </c>
      <c r="O200" s="368">
        <f>Tornado!CK198</f>
        <v>54.070090322580633</v>
      </c>
      <c r="P200" s="266">
        <f t="shared" si="12"/>
        <v>0.25230000000000002</v>
      </c>
      <c r="R200" s="300">
        <f t="shared" ref="R200:R250" si="13">S200-S199</f>
        <v>2.4000000000000687E-3</v>
      </c>
      <c r="S200" s="267">
        <f t="shared" si="10"/>
        <v>0.94450000000000001</v>
      </c>
      <c r="T200" s="266">
        <f t="shared" si="11"/>
        <v>54.053161290322571</v>
      </c>
    </row>
    <row r="201" spans="13:20" x14ac:dyDescent="0.2">
      <c r="M201" s="367">
        <f>Tornado!CI199</f>
        <v>1.5625E-2</v>
      </c>
      <c r="N201" s="268">
        <f>Tornado!CJ199</f>
        <v>0.8369140625</v>
      </c>
      <c r="O201" s="368">
        <f>Tornado!CK199</f>
        <v>54.070090322580633</v>
      </c>
      <c r="P201" s="266">
        <f t="shared" si="12"/>
        <v>0.25710000000000005</v>
      </c>
      <c r="R201" s="300">
        <f t="shared" si="13"/>
        <v>6.0000000000004494E-4</v>
      </c>
      <c r="S201" s="267">
        <f t="shared" ref="S201:S250" si="14">P200+$S$7</f>
        <v>0.94510000000000005</v>
      </c>
      <c r="T201" s="266">
        <f t="shared" ref="T201:T250" si="15">O200</f>
        <v>54.070090322580633</v>
      </c>
    </row>
    <row r="202" spans="13:20" x14ac:dyDescent="0.2">
      <c r="M202" s="367">
        <f>Tornado!CI200</f>
        <v>7.8125E-3</v>
      </c>
      <c r="N202" s="268">
        <f>Tornado!CJ200</f>
        <v>0.8447265625</v>
      </c>
      <c r="O202" s="368">
        <f>Tornado!CK200</f>
        <v>57.04687483870967</v>
      </c>
      <c r="P202" s="266">
        <f t="shared" si="12"/>
        <v>0.25950000000000001</v>
      </c>
      <c r="R202" s="300">
        <f t="shared" si="13"/>
        <v>4.7999999999999154E-3</v>
      </c>
      <c r="S202" s="267">
        <f t="shared" si="14"/>
        <v>0.94989999999999997</v>
      </c>
      <c r="T202" s="266">
        <f t="shared" si="15"/>
        <v>54.070090322580633</v>
      </c>
    </row>
    <row r="203" spans="13:20" x14ac:dyDescent="0.2">
      <c r="M203" s="367">
        <f>Tornado!CI201</f>
        <v>1.953125E-3</v>
      </c>
      <c r="N203" s="268">
        <f>Tornado!CJ201</f>
        <v>0.8466796875</v>
      </c>
      <c r="O203" s="368">
        <f>Tornado!CK201</f>
        <v>57.88680258064516</v>
      </c>
      <c r="P203" s="266">
        <f t="shared" si="12"/>
        <v>0.2601</v>
      </c>
      <c r="R203" s="300">
        <f t="shared" si="13"/>
        <v>2.3999999999999577E-3</v>
      </c>
      <c r="S203" s="267">
        <f t="shared" si="14"/>
        <v>0.95229999999999992</v>
      </c>
      <c r="T203" s="266">
        <f t="shared" si="15"/>
        <v>57.04687483870967</v>
      </c>
    </row>
    <row r="204" spans="13:20" x14ac:dyDescent="0.2">
      <c r="M204" s="367">
        <f>Tornado!CI202</f>
        <v>1.953125E-3</v>
      </c>
      <c r="N204" s="268">
        <f>Tornado!CJ202</f>
        <v>0.8486328125</v>
      </c>
      <c r="O204" s="368">
        <f>Tornado!CK202</f>
        <v>57.88680258064516</v>
      </c>
      <c r="P204" s="266">
        <f t="shared" si="12"/>
        <v>0.26070000000000004</v>
      </c>
      <c r="R204" s="300">
        <f t="shared" si="13"/>
        <v>6.0000000000004494E-4</v>
      </c>
      <c r="S204" s="267">
        <f t="shared" si="14"/>
        <v>0.95289999999999997</v>
      </c>
      <c r="T204" s="266">
        <f t="shared" si="15"/>
        <v>57.88680258064516</v>
      </c>
    </row>
    <row r="205" spans="13:20" x14ac:dyDescent="0.2">
      <c r="M205" s="367">
        <f>Tornado!CI203</f>
        <v>7.8125E-3</v>
      </c>
      <c r="N205" s="268">
        <f>Tornado!CJ203</f>
        <v>0.8564453125</v>
      </c>
      <c r="O205" s="368">
        <f>Tornado!CK203</f>
        <v>58.211096774193543</v>
      </c>
      <c r="P205" s="266">
        <f t="shared" si="12"/>
        <v>0.2631</v>
      </c>
      <c r="R205" s="300">
        <f t="shared" si="13"/>
        <v>6.0000000000004494E-4</v>
      </c>
      <c r="S205" s="267">
        <f t="shared" si="14"/>
        <v>0.95350000000000001</v>
      </c>
      <c r="T205" s="266">
        <f t="shared" si="15"/>
        <v>57.88680258064516</v>
      </c>
    </row>
    <row r="206" spans="13:20" x14ac:dyDescent="0.2">
      <c r="M206" s="367">
        <f>Tornado!CI204</f>
        <v>7.8125E-3</v>
      </c>
      <c r="N206" s="268">
        <f>Tornado!CJ204</f>
        <v>0.8642578125</v>
      </c>
      <c r="O206" s="368">
        <f>Tornado!CK204</f>
        <v>58.211096774193543</v>
      </c>
      <c r="P206" s="266">
        <f t="shared" si="12"/>
        <v>0.26550000000000001</v>
      </c>
      <c r="R206" s="300">
        <f t="shared" si="13"/>
        <v>2.3999999999999577E-3</v>
      </c>
      <c r="S206" s="267">
        <f t="shared" si="14"/>
        <v>0.95589999999999997</v>
      </c>
      <c r="T206" s="266">
        <f t="shared" si="15"/>
        <v>58.211096774193543</v>
      </c>
    </row>
    <row r="207" spans="13:20" x14ac:dyDescent="0.2">
      <c r="M207" s="367">
        <f>Tornado!CI205</f>
        <v>3.90625E-3</v>
      </c>
      <c r="N207" s="268">
        <f>Tornado!CJ205</f>
        <v>0.8681640625</v>
      </c>
      <c r="O207" s="368">
        <f>Tornado!CK205</f>
        <v>58.834787096774193</v>
      </c>
      <c r="P207" s="266">
        <f t="shared" si="12"/>
        <v>0.26670000000000005</v>
      </c>
      <c r="R207" s="300">
        <f t="shared" si="13"/>
        <v>2.3999999999999577E-3</v>
      </c>
      <c r="S207" s="267">
        <f t="shared" si="14"/>
        <v>0.95829999999999993</v>
      </c>
      <c r="T207" s="266">
        <f t="shared" si="15"/>
        <v>58.211096774193543</v>
      </c>
    </row>
    <row r="208" spans="13:20" x14ac:dyDescent="0.2">
      <c r="M208" s="367">
        <f>Tornado!CI206</f>
        <v>3.90625E-3</v>
      </c>
      <c r="N208" s="268">
        <f>Tornado!CJ206</f>
        <v>0.8720703125</v>
      </c>
      <c r="O208" s="368">
        <f>Tornado!CK206</f>
        <v>58.840980645161274</v>
      </c>
      <c r="P208" s="266">
        <f t="shared" si="12"/>
        <v>0.26790000000000003</v>
      </c>
      <c r="R208" s="300">
        <f t="shared" si="13"/>
        <v>1.2000000000000899E-3</v>
      </c>
      <c r="S208" s="267">
        <f t="shared" si="14"/>
        <v>0.95950000000000002</v>
      </c>
      <c r="T208" s="266">
        <f t="shared" si="15"/>
        <v>58.834787096774193</v>
      </c>
    </row>
    <row r="209" spans="13:20" x14ac:dyDescent="0.2">
      <c r="M209" s="367">
        <f>Tornado!CI207</f>
        <v>3.90625E-3</v>
      </c>
      <c r="N209" s="268">
        <f>Tornado!CJ207</f>
        <v>0.8759765625</v>
      </c>
      <c r="O209" s="368">
        <f>Tornado!CK207</f>
        <v>58.840980645161274</v>
      </c>
      <c r="P209" s="266">
        <f t="shared" si="12"/>
        <v>0.26910000000000001</v>
      </c>
      <c r="R209" s="300">
        <f t="shared" si="13"/>
        <v>1.1999999999999789E-3</v>
      </c>
      <c r="S209" s="267">
        <f t="shared" si="14"/>
        <v>0.9607</v>
      </c>
      <c r="T209" s="266">
        <f t="shared" si="15"/>
        <v>58.840980645161274</v>
      </c>
    </row>
    <row r="210" spans="13:20" x14ac:dyDescent="0.2">
      <c r="M210" s="367">
        <f>Tornado!CI208</f>
        <v>3.90625E-3</v>
      </c>
      <c r="N210" s="268">
        <f>Tornado!CJ208</f>
        <v>0.8798828125</v>
      </c>
      <c r="O210" s="368">
        <f>Tornado!CK208</f>
        <v>61.623999999999988</v>
      </c>
      <c r="P210" s="266">
        <f t="shared" si="12"/>
        <v>0.27030000000000004</v>
      </c>
      <c r="R210" s="300">
        <f t="shared" si="13"/>
        <v>1.1999999999999789E-3</v>
      </c>
      <c r="S210" s="267">
        <f t="shared" si="14"/>
        <v>0.96189999999999998</v>
      </c>
      <c r="T210" s="266">
        <f t="shared" si="15"/>
        <v>58.840980645161274</v>
      </c>
    </row>
    <row r="211" spans="13:20" x14ac:dyDescent="0.2">
      <c r="M211" s="367">
        <f>Tornado!CI209</f>
        <v>3.90625E-3</v>
      </c>
      <c r="N211" s="268">
        <f>Tornado!CJ209</f>
        <v>0.8837890625</v>
      </c>
      <c r="O211" s="368">
        <f>Tornado!CK209</f>
        <v>61.623999999999988</v>
      </c>
      <c r="P211" s="266">
        <f t="shared" si="12"/>
        <v>0.27150000000000002</v>
      </c>
      <c r="R211" s="300">
        <f t="shared" si="13"/>
        <v>1.2000000000000899E-3</v>
      </c>
      <c r="S211" s="267">
        <f t="shared" si="14"/>
        <v>0.96310000000000007</v>
      </c>
      <c r="T211" s="266">
        <f t="shared" si="15"/>
        <v>61.623999999999988</v>
      </c>
    </row>
    <row r="212" spans="13:20" x14ac:dyDescent="0.2">
      <c r="M212" s="367">
        <f>Tornado!CI210</f>
        <v>1.953125E-3</v>
      </c>
      <c r="N212" s="268">
        <f>Tornado!CJ210</f>
        <v>0.8857421875</v>
      </c>
      <c r="O212" s="368">
        <f>Tornado!CK210</f>
        <v>62.021574193548382</v>
      </c>
      <c r="P212" s="266">
        <f t="shared" si="12"/>
        <v>0.27210000000000001</v>
      </c>
      <c r="R212" s="300">
        <f t="shared" si="13"/>
        <v>1.1999999999998678E-3</v>
      </c>
      <c r="S212" s="267">
        <f t="shared" si="14"/>
        <v>0.96429999999999993</v>
      </c>
      <c r="T212" s="266">
        <f t="shared" si="15"/>
        <v>61.623999999999988</v>
      </c>
    </row>
    <row r="213" spans="13:20" x14ac:dyDescent="0.2">
      <c r="M213" s="367">
        <f>Tornado!CI211</f>
        <v>1.953125E-3</v>
      </c>
      <c r="N213" s="268">
        <f>Tornado!CJ211</f>
        <v>0.8876953125</v>
      </c>
      <c r="O213" s="368">
        <f>Tornado!CK211</f>
        <v>62.021574193548382</v>
      </c>
      <c r="P213" s="266">
        <f t="shared" si="12"/>
        <v>0.2727</v>
      </c>
      <c r="R213" s="300">
        <f t="shared" si="13"/>
        <v>6.0000000000004494E-4</v>
      </c>
      <c r="S213" s="267">
        <f t="shared" si="14"/>
        <v>0.96489999999999998</v>
      </c>
      <c r="T213" s="266">
        <f t="shared" si="15"/>
        <v>62.021574193548382</v>
      </c>
    </row>
    <row r="214" spans="13:20" x14ac:dyDescent="0.2">
      <c r="M214" s="367">
        <f>Tornado!CI212</f>
        <v>1.953125E-3</v>
      </c>
      <c r="N214" s="268">
        <f>Tornado!CJ212</f>
        <v>0.8896484375</v>
      </c>
      <c r="O214" s="368">
        <f>Tornado!CK212</f>
        <v>65.202167741935483</v>
      </c>
      <c r="P214" s="266">
        <f t="shared" si="12"/>
        <v>0.27330000000000004</v>
      </c>
      <c r="R214" s="300">
        <f t="shared" si="13"/>
        <v>6.0000000000004494E-4</v>
      </c>
      <c r="S214" s="267">
        <f t="shared" si="14"/>
        <v>0.96550000000000002</v>
      </c>
      <c r="T214" s="266">
        <f t="shared" si="15"/>
        <v>62.021574193548382</v>
      </c>
    </row>
    <row r="215" spans="13:20" x14ac:dyDescent="0.2">
      <c r="M215" s="367">
        <f>Tornado!CI213</f>
        <v>1.953125E-3</v>
      </c>
      <c r="N215" s="268">
        <f>Tornado!CJ213</f>
        <v>0.8916015625</v>
      </c>
      <c r="O215" s="368">
        <f>Tornado!CK213</f>
        <v>65.202167741935483</v>
      </c>
      <c r="P215" s="266">
        <f t="shared" si="12"/>
        <v>0.27390000000000003</v>
      </c>
      <c r="R215" s="300">
        <f t="shared" si="13"/>
        <v>5.9999999999993392E-4</v>
      </c>
      <c r="S215" s="267">
        <f t="shared" si="14"/>
        <v>0.96609999999999996</v>
      </c>
      <c r="T215" s="266">
        <f t="shared" si="15"/>
        <v>65.202167741935483</v>
      </c>
    </row>
    <row r="216" spans="13:20" x14ac:dyDescent="0.2">
      <c r="M216" s="367">
        <f>Tornado!CI214</f>
        <v>9.765625E-4</v>
      </c>
      <c r="N216" s="268">
        <f>Tornado!CJ214</f>
        <v>0.892578125</v>
      </c>
      <c r="O216" s="368">
        <f>Tornado!CK214</f>
        <v>67.508098064516133</v>
      </c>
      <c r="P216" s="266">
        <f t="shared" si="12"/>
        <v>0.2742</v>
      </c>
      <c r="R216" s="300">
        <f t="shared" si="13"/>
        <v>6.0000000000004494E-4</v>
      </c>
      <c r="S216" s="267">
        <f t="shared" si="14"/>
        <v>0.9667</v>
      </c>
      <c r="T216" s="266">
        <f t="shared" si="15"/>
        <v>65.202167741935483</v>
      </c>
    </row>
    <row r="217" spans="13:20" x14ac:dyDescent="0.2">
      <c r="M217" s="367">
        <f>Tornado!CI215</f>
        <v>7.8125E-3</v>
      </c>
      <c r="N217" s="268">
        <f>Tornado!CJ215</f>
        <v>0.900390625</v>
      </c>
      <c r="O217" s="368">
        <f>Tornado!CK215</f>
        <v>68.190141935483851</v>
      </c>
      <c r="P217" s="266">
        <f t="shared" si="12"/>
        <v>0.27660000000000001</v>
      </c>
      <c r="R217" s="300">
        <f t="shared" si="13"/>
        <v>2.9999999999996696E-4</v>
      </c>
      <c r="S217" s="267">
        <f t="shared" si="14"/>
        <v>0.96699999999999997</v>
      </c>
      <c r="T217" s="266">
        <f t="shared" si="15"/>
        <v>67.508098064516133</v>
      </c>
    </row>
    <row r="218" spans="13:20" x14ac:dyDescent="0.2">
      <c r="M218" s="367">
        <f>Tornado!CI216</f>
        <v>3.90625E-3</v>
      </c>
      <c r="N218" s="268">
        <f>Tornado!CJ216</f>
        <v>0.904296875</v>
      </c>
      <c r="O218" s="368">
        <f>Tornado!CK216</f>
        <v>75.674425806451609</v>
      </c>
      <c r="P218" s="266">
        <f t="shared" si="12"/>
        <v>0.27780000000000005</v>
      </c>
      <c r="R218" s="300">
        <f t="shared" si="13"/>
        <v>2.4000000000000687E-3</v>
      </c>
      <c r="S218" s="267">
        <f t="shared" si="14"/>
        <v>0.96940000000000004</v>
      </c>
      <c r="T218" s="266">
        <f t="shared" si="15"/>
        <v>68.190141935483851</v>
      </c>
    </row>
    <row r="219" spans="13:20" x14ac:dyDescent="0.2">
      <c r="M219" s="367">
        <f>Tornado!CI217</f>
        <v>3.90625E-3</v>
      </c>
      <c r="N219" s="268">
        <f>Tornado!CJ217</f>
        <v>0.908203125</v>
      </c>
      <c r="O219" s="368">
        <f>Tornado!CK217</f>
        <v>75.674425806451609</v>
      </c>
      <c r="P219" s="266">
        <f t="shared" si="12"/>
        <v>0.27900000000000003</v>
      </c>
      <c r="R219" s="300">
        <f t="shared" si="13"/>
        <v>1.1999999999999789E-3</v>
      </c>
      <c r="S219" s="267">
        <f t="shared" si="14"/>
        <v>0.97060000000000002</v>
      </c>
      <c r="T219" s="266">
        <f t="shared" si="15"/>
        <v>75.674425806451609</v>
      </c>
    </row>
    <row r="220" spans="13:20" x14ac:dyDescent="0.2">
      <c r="M220" s="367">
        <f>Tornado!CI218</f>
        <v>7.8125E-3</v>
      </c>
      <c r="N220" s="268">
        <f>Tornado!CJ218</f>
        <v>0.916015625</v>
      </c>
      <c r="O220" s="368">
        <f>Tornado!CK218</f>
        <v>75.698126451612893</v>
      </c>
      <c r="P220" s="266">
        <f t="shared" si="12"/>
        <v>0.28140000000000004</v>
      </c>
      <c r="R220" s="300">
        <f t="shared" si="13"/>
        <v>1.1999999999999789E-3</v>
      </c>
      <c r="S220" s="267">
        <f t="shared" si="14"/>
        <v>0.9718</v>
      </c>
      <c r="T220" s="266">
        <f t="shared" si="15"/>
        <v>75.674425806451609</v>
      </c>
    </row>
    <row r="221" spans="13:20" x14ac:dyDescent="0.2">
      <c r="M221" s="367">
        <f>Tornado!CI219</f>
        <v>9.765625E-4</v>
      </c>
      <c r="N221" s="268">
        <f>Tornado!CJ219</f>
        <v>0.9169921875</v>
      </c>
      <c r="O221" s="368">
        <f>Tornado!CK219</f>
        <v>75.698126451612893</v>
      </c>
      <c r="P221" s="266">
        <f t="shared" si="12"/>
        <v>0.28170000000000001</v>
      </c>
      <c r="R221" s="300">
        <f t="shared" si="13"/>
        <v>2.3999999999999577E-3</v>
      </c>
      <c r="S221" s="267">
        <f t="shared" si="14"/>
        <v>0.97419999999999995</v>
      </c>
      <c r="T221" s="266">
        <f t="shared" si="15"/>
        <v>75.698126451612893</v>
      </c>
    </row>
    <row r="222" spans="13:20" x14ac:dyDescent="0.2">
      <c r="M222" s="367">
        <f>Tornado!CI220</f>
        <v>7.8125E-3</v>
      </c>
      <c r="N222" s="268">
        <f>Tornado!CJ220</f>
        <v>0.9248046875</v>
      </c>
      <c r="O222" s="368">
        <f>Tornado!CK220</f>
        <v>77.924541935483873</v>
      </c>
      <c r="P222" s="266">
        <f t="shared" si="12"/>
        <v>0.28410000000000002</v>
      </c>
      <c r="R222" s="300">
        <f t="shared" si="13"/>
        <v>2.9999999999996696E-4</v>
      </c>
      <c r="S222" s="267">
        <f t="shared" si="14"/>
        <v>0.97449999999999992</v>
      </c>
      <c r="T222" s="266">
        <f t="shared" si="15"/>
        <v>75.698126451612893</v>
      </c>
    </row>
    <row r="223" spans="13:20" x14ac:dyDescent="0.2">
      <c r="M223" s="367">
        <f>Tornado!CI221</f>
        <v>1.953125E-3</v>
      </c>
      <c r="N223" s="268">
        <f>Tornado!CJ221</f>
        <v>0.9267578125</v>
      </c>
      <c r="O223" s="368">
        <f>Tornado!CK221</f>
        <v>78.242601290322568</v>
      </c>
      <c r="P223" s="266">
        <f t="shared" si="12"/>
        <v>0.28470000000000001</v>
      </c>
      <c r="R223" s="300">
        <f t="shared" si="13"/>
        <v>2.4000000000000687E-3</v>
      </c>
      <c r="S223" s="267">
        <f t="shared" si="14"/>
        <v>0.97689999999999999</v>
      </c>
      <c r="T223" s="266">
        <f t="shared" si="15"/>
        <v>77.924541935483873</v>
      </c>
    </row>
    <row r="224" spans="13:20" x14ac:dyDescent="0.2">
      <c r="M224" s="367">
        <f>Tornado!CI222</f>
        <v>7.8125E-3</v>
      </c>
      <c r="N224" s="268">
        <f>Tornado!CJ222</f>
        <v>0.9345703125</v>
      </c>
      <c r="O224" s="368">
        <f>Tornado!CK222</f>
        <v>79.51483870967742</v>
      </c>
      <c r="P224" s="266">
        <f t="shared" si="12"/>
        <v>0.28710000000000002</v>
      </c>
      <c r="R224" s="300">
        <f t="shared" si="13"/>
        <v>6.0000000000004494E-4</v>
      </c>
      <c r="S224" s="267">
        <f t="shared" si="14"/>
        <v>0.97750000000000004</v>
      </c>
      <c r="T224" s="266">
        <f t="shared" si="15"/>
        <v>78.242601290322568</v>
      </c>
    </row>
    <row r="225" spans="13:20" x14ac:dyDescent="0.2">
      <c r="M225" s="367">
        <f>Tornado!CI223</f>
        <v>7.8125E-3</v>
      </c>
      <c r="N225" s="268">
        <f>Tornado!CJ223</f>
        <v>0.9423828125</v>
      </c>
      <c r="O225" s="368">
        <f>Tornado!CK223</f>
        <v>79.51483870967742</v>
      </c>
      <c r="P225" s="266">
        <f t="shared" si="12"/>
        <v>0.28950000000000004</v>
      </c>
      <c r="R225" s="300">
        <f t="shared" si="13"/>
        <v>2.3999999999999577E-3</v>
      </c>
      <c r="S225" s="267">
        <f t="shared" si="14"/>
        <v>0.97989999999999999</v>
      </c>
      <c r="T225" s="266">
        <f t="shared" si="15"/>
        <v>79.51483870967742</v>
      </c>
    </row>
    <row r="226" spans="13:20" x14ac:dyDescent="0.2">
      <c r="M226" s="367">
        <f>Tornado!CI224</f>
        <v>3.90625E-3</v>
      </c>
      <c r="N226" s="268">
        <f>Tornado!CJ224</f>
        <v>0.9462890625</v>
      </c>
      <c r="O226" s="368">
        <f>Tornado!CK224</f>
        <v>80.663948387096767</v>
      </c>
      <c r="P226" s="266">
        <f t="shared" si="12"/>
        <v>0.29070000000000001</v>
      </c>
      <c r="R226" s="300">
        <f t="shared" si="13"/>
        <v>2.3999999999999577E-3</v>
      </c>
      <c r="S226" s="267">
        <f t="shared" si="14"/>
        <v>0.98229999999999995</v>
      </c>
      <c r="T226" s="266">
        <f t="shared" si="15"/>
        <v>79.51483870967742</v>
      </c>
    </row>
    <row r="227" spans="13:20" x14ac:dyDescent="0.2">
      <c r="M227" s="367">
        <f>Tornado!CI225</f>
        <v>1.953125E-3</v>
      </c>
      <c r="N227" s="268">
        <f>Tornado!CJ225</f>
        <v>0.9482421875</v>
      </c>
      <c r="O227" s="368">
        <f>Tornado!CK225</f>
        <v>82.36870193548387</v>
      </c>
      <c r="P227" s="266">
        <f t="shared" si="12"/>
        <v>0.2913</v>
      </c>
      <c r="R227" s="300">
        <f t="shared" si="13"/>
        <v>1.2000000000000899E-3</v>
      </c>
      <c r="S227" s="267">
        <f t="shared" si="14"/>
        <v>0.98350000000000004</v>
      </c>
      <c r="T227" s="266">
        <f t="shared" si="15"/>
        <v>80.663948387096767</v>
      </c>
    </row>
    <row r="228" spans="13:20" x14ac:dyDescent="0.2">
      <c r="M228" s="367">
        <f>Tornado!CI226</f>
        <v>1.953125E-3</v>
      </c>
      <c r="N228" s="268">
        <f>Tornado!CJ226</f>
        <v>0.9501953125</v>
      </c>
      <c r="O228" s="368">
        <f>Tornado!CK226</f>
        <v>82.37737290322579</v>
      </c>
      <c r="P228" s="266">
        <f t="shared" si="12"/>
        <v>0.29190000000000005</v>
      </c>
      <c r="R228" s="300">
        <f t="shared" si="13"/>
        <v>5.9999999999993392E-4</v>
      </c>
      <c r="S228" s="267">
        <f t="shared" si="14"/>
        <v>0.98409999999999997</v>
      </c>
      <c r="T228" s="266">
        <f t="shared" si="15"/>
        <v>82.36870193548387</v>
      </c>
    </row>
    <row r="229" spans="13:20" x14ac:dyDescent="0.2">
      <c r="M229" s="367">
        <f>Tornado!CI227</f>
        <v>1.953125E-3</v>
      </c>
      <c r="N229" s="268">
        <f>Tornado!CJ227</f>
        <v>0.9521484375</v>
      </c>
      <c r="O229" s="368">
        <f>Tornado!CK227</f>
        <v>82.37737290322579</v>
      </c>
      <c r="P229" s="266">
        <f t="shared" si="12"/>
        <v>0.29250000000000004</v>
      </c>
      <c r="R229" s="300">
        <f t="shared" si="13"/>
        <v>6.0000000000004494E-4</v>
      </c>
      <c r="S229" s="267">
        <f t="shared" si="14"/>
        <v>0.98470000000000002</v>
      </c>
      <c r="T229" s="266">
        <f t="shared" si="15"/>
        <v>82.37737290322579</v>
      </c>
    </row>
    <row r="230" spans="13:20" x14ac:dyDescent="0.2">
      <c r="M230" s="367">
        <f>Tornado!CI228</f>
        <v>1.953125E-3</v>
      </c>
      <c r="N230" s="268">
        <f>Tornado!CJ228</f>
        <v>0.9541015625</v>
      </c>
      <c r="O230" s="368">
        <f>Tornado!CK228</f>
        <v>86.273599999999988</v>
      </c>
      <c r="P230" s="266">
        <f t="shared" si="12"/>
        <v>0.29310000000000003</v>
      </c>
      <c r="R230" s="300">
        <f t="shared" si="13"/>
        <v>6.0000000000004494E-4</v>
      </c>
      <c r="S230" s="267">
        <f t="shared" si="14"/>
        <v>0.98530000000000006</v>
      </c>
      <c r="T230" s="266">
        <f t="shared" si="15"/>
        <v>82.37737290322579</v>
      </c>
    </row>
    <row r="231" spans="13:20" x14ac:dyDescent="0.2">
      <c r="M231" s="367">
        <f>Tornado!CI229</f>
        <v>1.953125E-3</v>
      </c>
      <c r="N231" s="268">
        <f>Tornado!CJ229</f>
        <v>0.9560546875</v>
      </c>
      <c r="O231" s="368">
        <f>Tornado!CK229</f>
        <v>86.273599999999988</v>
      </c>
      <c r="P231" s="266">
        <f t="shared" si="12"/>
        <v>0.29370000000000002</v>
      </c>
      <c r="R231" s="300">
        <f t="shared" si="13"/>
        <v>5.9999999999993392E-4</v>
      </c>
      <c r="S231" s="267">
        <f t="shared" si="14"/>
        <v>0.9859</v>
      </c>
      <c r="T231" s="266">
        <f t="shared" si="15"/>
        <v>86.273599999999988</v>
      </c>
    </row>
    <row r="232" spans="13:20" x14ac:dyDescent="0.2">
      <c r="M232" s="367">
        <f>Tornado!CI230</f>
        <v>9.765625E-4</v>
      </c>
      <c r="N232" s="268">
        <f>Tornado!CJ230</f>
        <v>0.95703125</v>
      </c>
      <c r="O232" s="368">
        <f>Tornado!CK230</f>
        <v>91.283034838709682</v>
      </c>
      <c r="P232" s="266">
        <f t="shared" si="12"/>
        <v>0.29400000000000004</v>
      </c>
      <c r="R232" s="300">
        <f t="shared" si="13"/>
        <v>5.9999999999993392E-4</v>
      </c>
      <c r="S232" s="267">
        <f t="shared" si="14"/>
        <v>0.98649999999999993</v>
      </c>
      <c r="T232" s="266">
        <f t="shared" si="15"/>
        <v>86.273599999999988</v>
      </c>
    </row>
    <row r="233" spans="13:20" x14ac:dyDescent="0.2">
      <c r="M233" s="367">
        <f>Tornado!CI231</f>
        <v>9.765625E-4</v>
      </c>
      <c r="N233" s="268">
        <f>Tornado!CJ231</f>
        <v>0.9580078125</v>
      </c>
      <c r="O233" s="368">
        <f>Tornado!CK231</f>
        <v>91.283034838709682</v>
      </c>
      <c r="P233" s="266">
        <f t="shared" si="12"/>
        <v>0.29430000000000001</v>
      </c>
      <c r="R233" s="300">
        <f t="shared" si="13"/>
        <v>3.0000000000007798E-4</v>
      </c>
      <c r="S233" s="267">
        <f t="shared" si="14"/>
        <v>0.98680000000000001</v>
      </c>
      <c r="T233" s="266">
        <f t="shared" si="15"/>
        <v>91.283034838709682</v>
      </c>
    </row>
    <row r="234" spans="13:20" x14ac:dyDescent="0.2">
      <c r="M234" s="367">
        <f>Tornado!CI232</f>
        <v>9.765625E-4</v>
      </c>
      <c r="N234" s="268">
        <f>Tornado!CJ232</f>
        <v>0.958984375</v>
      </c>
      <c r="O234" s="368">
        <f>Tornado!CK232</f>
        <v>92.55527225806452</v>
      </c>
      <c r="P234" s="266">
        <f t="shared" si="12"/>
        <v>0.29460000000000003</v>
      </c>
      <c r="R234" s="300">
        <f t="shared" si="13"/>
        <v>2.9999999999996696E-4</v>
      </c>
      <c r="S234" s="267">
        <f t="shared" si="14"/>
        <v>0.98709999999999998</v>
      </c>
      <c r="T234" s="266">
        <f t="shared" si="15"/>
        <v>91.283034838709682</v>
      </c>
    </row>
    <row r="235" spans="13:20" x14ac:dyDescent="0.2">
      <c r="M235" s="367">
        <f>Tornado!CI233</f>
        <v>3.90625E-3</v>
      </c>
      <c r="N235" s="268">
        <f>Tornado!CJ233</f>
        <v>0.962890625</v>
      </c>
      <c r="O235" s="368">
        <f>Tornado!CK233</f>
        <v>95.466198709677414</v>
      </c>
      <c r="P235" s="266">
        <f t="shared" si="12"/>
        <v>0.29580000000000001</v>
      </c>
      <c r="R235" s="300">
        <f t="shared" si="13"/>
        <v>3.0000000000007798E-4</v>
      </c>
      <c r="S235" s="267">
        <f t="shared" si="14"/>
        <v>0.98740000000000006</v>
      </c>
      <c r="T235" s="266">
        <f t="shared" si="15"/>
        <v>92.55527225806452</v>
      </c>
    </row>
    <row r="236" spans="13:20" x14ac:dyDescent="0.2">
      <c r="M236" s="367">
        <f>Tornado!CI234</f>
        <v>3.90625E-3</v>
      </c>
      <c r="N236" s="268">
        <f>Tornado!CJ234</f>
        <v>0.966796875</v>
      </c>
      <c r="O236" s="368">
        <f>Tornado!CK234</f>
        <v>103.36929032258062</v>
      </c>
      <c r="P236" s="266">
        <f t="shared" si="12"/>
        <v>0.29700000000000004</v>
      </c>
      <c r="R236" s="300">
        <f t="shared" si="13"/>
        <v>1.1999999999998678E-3</v>
      </c>
      <c r="S236" s="267">
        <f t="shared" si="14"/>
        <v>0.98859999999999992</v>
      </c>
      <c r="T236" s="266">
        <f t="shared" si="15"/>
        <v>95.466198709677414</v>
      </c>
    </row>
    <row r="237" spans="13:20" x14ac:dyDescent="0.2">
      <c r="M237" s="367">
        <f>Tornado!CI235</f>
        <v>3.90625E-3</v>
      </c>
      <c r="N237" s="268">
        <f>Tornado!CJ235</f>
        <v>0.970703125</v>
      </c>
      <c r="O237" s="368">
        <f>Tornado!CK235</f>
        <v>103.36929032258062</v>
      </c>
      <c r="P237" s="266">
        <f t="shared" si="12"/>
        <v>0.29820000000000002</v>
      </c>
      <c r="R237" s="300">
        <f t="shared" si="13"/>
        <v>1.2000000000000899E-3</v>
      </c>
      <c r="S237" s="267">
        <f t="shared" si="14"/>
        <v>0.98980000000000001</v>
      </c>
      <c r="T237" s="266">
        <f t="shared" si="15"/>
        <v>103.36929032258062</v>
      </c>
    </row>
    <row r="238" spans="13:20" x14ac:dyDescent="0.2">
      <c r="M238" s="367">
        <f>Tornado!CI236</f>
        <v>3.90625E-3</v>
      </c>
      <c r="N238" s="268">
        <f>Tornado!CJ236</f>
        <v>0.974609375</v>
      </c>
      <c r="O238" s="368">
        <f>Tornado!CK236</f>
        <v>109.09435870967741</v>
      </c>
      <c r="P238" s="266">
        <f t="shared" si="12"/>
        <v>0.29940000000000005</v>
      </c>
      <c r="R238" s="300">
        <f t="shared" si="13"/>
        <v>1.1999999999999789E-3</v>
      </c>
      <c r="S238" s="267">
        <f t="shared" si="14"/>
        <v>0.99099999999999999</v>
      </c>
      <c r="T238" s="266">
        <f t="shared" si="15"/>
        <v>103.36929032258062</v>
      </c>
    </row>
    <row r="239" spans="13:20" x14ac:dyDescent="0.2">
      <c r="M239" s="367">
        <f>Tornado!CI237</f>
        <v>3.90625E-3</v>
      </c>
      <c r="N239" s="268">
        <f>Tornado!CJ237</f>
        <v>0.978515625</v>
      </c>
      <c r="O239" s="368">
        <f>Tornado!CK237</f>
        <v>111.32077419354839</v>
      </c>
      <c r="P239" s="266">
        <f t="shared" si="12"/>
        <v>0.30060000000000003</v>
      </c>
      <c r="R239" s="300">
        <f t="shared" si="13"/>
        <v>1.1999999999999789E-3</v>
      </c>
      <c r="S239" s="267">
        <f t="shared" si="14"/>
        <v>0.99219999999999997</v>
      </c>
      <c r="T239" s="266">
        <f t="shared" si="15"/>
        <v>109.09435870967741</v>
      </c>
    </row>
    <row r="240" spans="13:20" x14ac:dyDescent="0.2">
      <c r="M240" s="367">
        <f>Tornado!CI238</f>
        <v>3.90625E-3</v>
      </c>
      <c r="N240" s="268">
        <f>Tornado!CJ238</f>
        <v>0.982421875</v>
      </c>
      <c r="O240" s="368">
        <f>Tornado!CK238</f>
        <v>111.32077419354839</v>
      </c>
      <c r="P240" s="266">
        <f t="shared" si="12"/>
        <v>0.30180000000000001</v>
      </c>
      <c r="R240" s="300">
        <f t="shared" si="13"/>
        <v>1.2000000000000899E-3</v>
      </c>
      <c r="S240" s="267">
        <f t="shared" si="14"/>
        <v>0.99340000000000006</v>
      </c>
      <c r="T240" s="266">
        <f t="shared" si="15"/>
        <v>111.32077419354839</v>
      </c>
    </row>
    <row r="241" spans="13:20" x14ac:dyDescent="0.2">
      <c r="M241" s="367">
        <f>Tornado!CI239</f>
        <v>1.953125E-3</v>
      </c>
      <c r="N241" s="268">
        <f>Tornado!CJ239</f>
        <v>0.984375</v>
      </c>
      <c r="O241" s="368">
        <f>Tornado!CK239</f>
        <v>112.51349677419354</v>
      </c>
      <c r="P241" s="266">
        <f t="shared" si="12"/>
        <v>0.3024</v>
      </c>
      <c r="R241" s="300">
        <f t="shared" si="13"/>
        <v>1.1999999999998678E-3</v>
      </c>
      <c r="S241" s="267">
        <f t="shared" si="14"/>
        <v>0.99459999999999993</v>
      </c>
      <c r="T241" s="266">
        <f t="shared" si="15"/>
        <v>111.32077419354839</v>
      </c>
    </row>
    <row r="242" spans="13:20" x14ac:dyDescent="0.2">
      <c r="M242" s="367">
        <f>Tornado!CI240</f>
        <v>1.953125E-3</v>
      </c>
      <c r="N242" s="268">
        <f>Tornado!CJ240</f>
        <v>0.986328125</v>
      </c>
      <c r="O242" s="368">
        <f>Tornado!CK240</f>
        <v>112.92952774193549</v>
      </c>
      <c r="P242" s="266">
        <f t="shared" si="12"/>
        <v>0.30300000000000005</v>
      </c>
      <c r="R242" s="300">
        <f t="shared" si="13"/>
        <v>6.0000000000004494E-4</v>
      </c>
      <c r="S242" s="267">
        <f t="shared" si="14"/>
        <v>0.99519999999999997</v>
      </c>
      <c r="T242" s="266">
        <f t="shared" si="15"/>
        <v>112.51349677419354</v>
      </c>
    </row>
    <row r="243" spans="13:20" x14ac:dyDescent="0.2">
      <c r="M243" s="367">
        <f>Tornado!CI241</f>
        <v>3.90625E-3</v>
      </c>
      <c r="N243" s="268">
        <f>Tornado!CJ241</f>
        <v>0.990234375</v>
      </c>
      <c r="O243" s="368">
        <f>Tornado!CK241</f>
        <v>130.40433548387097</v>
      </c>
      <c r="P243" s="266">
        <f t="shared" si="12"/>
        <v>0.30420000000000003</v>
      </c>
      <c r="R243" s="300">
        <f t="shared" si="13"/>
        <v>6.0000000000004494E-4</v>
      </c>
      <c r="S243" s="267">
        <f t="shared" si="14"/>
        <v>0.99580000000000002</v>
      </c>
      <c r="T243" s="266">
        <f t="shared" si="15"/>
        <v>112.92952774193549</v>
      </c>
    </row>
    <row r="244" spans="13:20" x14ac:dyDescent="0.2">
      <c r="M244" s="367">
        <f>Tornado!CI242</f>
        <v>1.953125E-3</v>
      </c>
      <c r="N244" s="268">
        <f>Tornado!CJ242</f>
        <v>0.9921875</v>
      </c>
      <c r="O244" s="368">
        <f>Tornado!CK242</f>
        <v>144.71700645161292</v>
      </c>
      <c r="P244" s="266">
        <f t="shared" si="12"/>
        <v>0.30480000000000002</v>
      </c>
      <c r="R244" s="300">
        <f t="shared" si="13"/>
        <v>1.1999999999999789E-3</v>
      </c>
      <c r="S244" s="267">
        <f t="shared" si="14"/>
        <v>0.997</v>
      </c>
      <c r="T244" s="266">
        <f t="shared" si="15"/>
        <v>130.40433548387097</v>
      </c>
    </row>
    <row r="245" spans="13:20" x14ac:dyDescent="0.2">
      <c r="M245" s="367">
        <f>Tornado!CI243</f>
        <v>1.953125E-3</v>
      </c>
      <c r="N245" s="268">
        <f>Tornado!CJ243</f>
        <v>0.994140625</v>
      </c>
      <c r="O245" s="368">
        <f>Tornado!CK243</f>
        <v>144.71700645161292</v>
      </c>
      <c r="P245" s="266">
        <f t="shared" si="12"/>
        <v>0.3054</v>
      </c>
      <c r="R245" s="300">
        <f t="shared" si="13"/>
        <v>6.0000000000004494E-4</v>
      </c>
      <c r="S245" s="267">
        <f t="shared" si="14"/>
        <v>0.99760000000000004</v>
      </c>
      <c r="T245" s="266">
        <f t="shared" si="15"/>
        <v>144.71700645161292</v>
      </c>
    </row>
    <row r="246" spans="13:20" x14ac:dyDescent="0.2">
      <c r="M246" s="367">
        <f>Tornado!CI244</f>
        <v>1.953125E-3</v>
      </c>
      <c r="N246" s="268">
        <f>Tornado!CJ244</f>
        <v>0.99609375</v>
      </c>
      <c r="O246" s="368">
        <f>Tornado!CK244</f>
        <v>154.25878709677417</v>
      </c>
      <c r="P246" s="266">
        <f t="shared" si="12"/>
        <v>0.30600000000000005</v>
      </c>
      <c r="R246" s="300">
        <f t="shared" si="13"/>
        <v>5.9999999999993392E-4</v>
      </c>
      <c r="S246" s="267">
        <f t="shared" si="14"/>
        <v>0.99819999999999998</v>
      </c>
      <c r="T246" s="266">
        <f t="shared" si="15"/>
        <v>144.71700645161292</v>
      </c>
    </row>
    <row r="247" spans="13:20" x14ac:dyDescent="0.2">
      <c r="M247" s="367">
        <f>Tornado!CI245</f>
        <v>9.765625E-4</v>
      </c>
      <c r="N247" s="268">
        <f>Tornado!CJ245</f>
        <v>0.9970703125</v>
      </c>
      <c r="O247" s="368">
        <f>Tornado!CK245</f>
        <v>157.51889548387095</v>
      </c>
      <c r="P247" s="266">
        <f t="shared" si="12"/>
        <v>0.30630000000000002</v>
      </c>
      <c r="R247" s="300">
        <f t="shared" si="13"/>
        <v>6.0000000000004494E-4</v>
      </c>
      <c r="S247" s="267">
        <f t="shared" si="14"/>
        <v>0.99880000000000002</v>
      </c>
      <c r="T247" s="266">
        <f t="shared" si="15"/>
        <v>154.25878709677417</v>
      </c>
    </row>
    <row r="248" spans="13:20" x14ac:dyDescent="0.2">
      <c r="M248" s="367">
        <f>Tornado!CI246</f>
        <v>1.953125E-3</v>
      </c>
      <c r="N248" s="268">
        <f>Tornado!CJ246</f>
        <v>0.9990234375</v>
      </c>
      <c r="O248" s="368">
        <f>Tornado!CK246</f>
        <v>182.56606967741936</v>
      </c>
      <c r="P248" s="266">
        <f t="shared" si="12"/>
        <v>0.30690000000000001</v>
      </c>
      <c r="R248" s="300">
        <f t="shared" si="13"/>
        <v>2.9999999999996696E-4</v>
      </c>
      <c r="S248" s="267">
        <f t="shared" si="14"/>
        <v>0.99909999999999999</v>
      </c>
      <c r="T248" s="266">
        <f t="shared" si="15"/>
        <v>157.51889548387095</v>
      </c>
    </row>
    <row r="249" spans="13:20" ht="15" thickBot="1" x14ac:dyDescent="0.25">
      <c r="M249" s="369">
        <f>Tornado!CI247</f>
        <v>9.765625E-4</v>
      </c>
      <c r="N249" s="370">
        <f>Tornado!CJ247</f>
        <v>1</v>
      </c>
      <c r="O249" s="371">
        <f>Tornado!CK247</f>
        <v>215.96230193548388</v>
      </c>
      <c r="P249" s="270">
        <f t="shared" si="12"/>
        <v>0.30720000000000003</v>
      </c>
      <c r="R249" s="300">
        <f t="shared" si="13"/>
        <v>6.0000000000004494E-4</v>
      </c>
      <c r="S249" s="267">
        <f t="shared" si="14"/>
        <v>0.99970000000000003</v>
      </c>
      <c r="T249" s="266">
        <f t="shared" si="15"/>
        <v>182.56606967741936</v>
      </c>
    </row>
    <row r="250" spans="13:20" x14ac:dyDescent="0.2">
      <c r="R250" s="301">
        <f t="shared" si="13"/>
        <v>2.9999999999996696E-4</v>
      </c>
      <c r="S250" s="269">
        <f t="shared" si="14"/>
        <v>1</v>
      </c>
      <c r="T250" s="270">
        <f t="shared" si="15"/>
        <v>215.96230193548388</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License</vt:lpstr>
      <vt:lpstr>Model</vt:lpstr>
      <vt:lpstr>Tornado</vt:lpstr>
      <vt:lpstr>Life Stage Assessments</vt:lpstr>
      <vt:lpstr>Full Distribution</vt:lpstr>
      <vt:lpstr>big_apps</vt:lpstr>
      <vt:lpstr>big_fee</vt:lpstr>
      <vt:lpstr>big_fraction</vt:lpstr>
      <vt:lpstr>big_hires</vt:lpstr>
      <vt:lpstr>big_number</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massMarket_financial</vt:lpstr>
      <vt:lpstr>massMarket_market</vt:lpstr>
      <vt:lpstr>massMarket_product</vt:lpstr>
      <vt:lpstr>massMarket_team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Microsoft Office User</cp:lastModifiedBy>
  <cp:lastPrinted>2017-02-02T01:23:03Z</cp:lastPrinted>
  <dcterms:created xsi:type="dcterms:W3CDTF">2000-05-24T16:45:44Z</dcterms:created>
  <dcterms:modified xsi:type="dcterms:W3CDTF">2019-04-30T19:27:32Z</dcterms:modified>
</cp:coreProperties>
</file>