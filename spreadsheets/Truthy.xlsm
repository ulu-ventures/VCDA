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208" codeName="{51196F13-6AD0-C1B8-E2B4-A1F9AE17003E}"/>
  <workbookPr date1904="1"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somik/PycharmProjects/VCDA/spreadsheets/"/>
    </mc:Choice>
  </mc:AlternateContent>
  <xr:revisionPtr revIDLastSave="0" documentId="13_ncr:1_{7B50537F-5D60-9243-8159-B9F085943DB8}" xr6:coauthVersionLast="40" xr6:coauthVersionMax="40" xr10:uidLastSave="{00000000-0000-0000-0000-000000000000}"/>
  <bookViews>
    <workbookView xWindow="23620" yWindow="-25660" windowWidth="31400" windowHeight="19300" tabRatio="783" xr2:uid="{00000000-000D-0000-FFFF-FFFF00000000}"/>
  </bookViews>
  <sheets>
    <sheet name="Model" sheetId="1" r:id="rId1"/>
    <sheet name="Tornado" sheetId="4" r:id="rId2"/>
    <sheet name="Life Stage Assessments" sheetId="2" r:id="rId3"/>
    <sheet name="Full Distribution" sheetId="5" r:id="rId4"/>
  </sheets>
  <functionGroups builtInGroupCount="19"/>
  <definedNames>
    <definedName name="big_apps">Model!$O$18</definedName>
    <definedName name="big_fee">Model!$O$19</definedName>
    <definedName name="big_fraction">Model!$O$20</definedName>
    <definedName name="big_hires">Model!$O$17</definedName>
    <definedName name="big_number">Model!$O$16</definedName>
    <definedName name="BookType">2</definedName>
    <definedName name="CrossChasm">Model!$H$72</definedName>
    <definedName name="CumeCostCrossChasm">Model!$V$103</definedName>
    <definedName name="CumeCostEarlyStage">Model!$V$105</definedName>
    <definedName name="Decisions">1</definedName>
    <definedName name="Dilution">Model!$O$42</definedName>
    <definedName name="EarlySuccess">Model!$H$71</definedName>
    <definedName name="EarningsMult">Model!$O$57</definedName>
    <definedName name="exitValue">Model!$O$80:$O$91</definedName>
    <definedName name="InitialRoundSize">Model!$O$41</definedName>
    <definedName name="inputTable">Model!$B$13:$L$67</definedName>
    <definedName name="international_multiplier">Model!$O$36</definedName>
    <definedName name="IntlMult">Model!$O$36</definedName>
    <definedName name="Investment">Model!$O$39</definedName>
    <definedName name="KingChance">Model!$O$46</definedName>
    <definedName name="KingMktShare">Model!$O$50</definedName>
    <definedName name="MainstreamSuccess">Model!$H$73</definedName>
    <definedName name="medium_apps">Model!$O$25</definedName>
    <definedName name="medium_fee">Model!$O$26</definedName>
    <definedName name="medium_fraction">Model!$O$27</definedName>
    <definedName name="medium_hires">Model!$O$24</definedName>
    <definedName name="medium_number">Model!$O$23</definedName>
    <definedName name="NicheDilution">Model!$O$43</definedName>
    <definedName name="NicheEarningsMultDisc">Model!$O$58</definedName>
    <definedName name="NicheMarketShare">Model!$O$54</definedName>
    <definedName name="NicheMultDisc">Model!$O$58</definedName>
    <definedName name="NicheOwnershipAtExit">Model!$E$130</definedName>
    <definedName name="NicheSize">Model!$O$53</definedName>
    <definedName name="outputDefnTable">Model!$B$5:$F$8</definedName>
    <definedName name="outputTable">Model!$A$3:$K$9</definedName>
    <definedName name="ownershipAtExit">Model!$E$129</definedName>
    <definedName name="pCrossChasm_total">Model!$Q$96</definedName>
    <definedName name="pFailCrossChasm">Model!$V$104</definedName>
    <definedName name="pFailEarlyStage">Model!$V$106</definedName>
    <definedName name="pMassMkt_total">Model!$Q$97</definedName>
    <definedName name="PreMoneyValue">Model!$O$40</definedName>
    <definedName name="PrinceChance">Model!$O$47</definedName>
    <definedName name="PrinceMktShare">Model!$O$51</definedName>
    <definedName name="projectedYear">Model!$O$61</definedName>
    <definedName name="RD_InputTable" localSheetId="0">Model!$C$12:$P$58</definedName>
    <definedName name="RDVers">2.31</definedName>
    <definedName name="RiskDet">TRUE</definedName>
    <definedName name="SalesMult">Model!$O$57</definedName>
    <definedName name="SerfMktShare">Model!$O$52</definedName>
    <definedName name="small_apps">Model!$O$32</definedName>
    <definedName name="small_fee">Model!$O$33</definedName>
    <definedName name="small_fraction">Model!$O$34</definedName>
    <definedName name="small_hires">Model!$O$31</definedName>
    <definedName name="small_number">Model!$O$30</definedName>
    <definedName name="SmartOrgInputTable">Model!$O$13:$Q$67</definedName>
    <definedName name="sweetSpot_Intl">Model!$O$67</definedName>
    <definedName name="sweetSpot_Large">Model!$O$64</definedName>
    <definedName name="sweetSpot_Med">Model!$O$65</definedName>
    <definedName name="sweetSpot_Small">Model!$O$66</definedName>
    <definedName name="SweetspotTABLE">Model!$T$83:$X$95</definedName>
    <definedName name="SweetspotTAM">Model!$E$117</definedName>
    <definedName name="Tornado_ChosenTableRangeName">Tornado!$S$19</definedName>
    <definedName name="Tornado_Output1">Tornado!$U$2:$AG$1048576</definedName>
    <definedName name="Tornado_Output10">Tornado!$EQ$2:$FC$1048576</definedName>
    <definedName name="Tornado_Output2">Tornado!$AI$2:$AU$1048576</definedName>
    <definedName name="Tornado_Output3">Tornado!$AW$2:$BI$1048576</definedName>
    <definedName name="Tornado_Output4">Tornado!$BK$2:$BW$1048576</definedName>
    <definedName name="Tornado_Output5">Tornado!$BY$2:$CK$1048576</definedName>
    <definedName name="Tornado_Output6">Tornado!$CM$2:$CY$1048576</definedName>
    <definedName name="Tornado_Output7">Tornado!$DA$2:$DM$1048576</definedName>
    <definedName name="Tornado_Output8">Tornado!$DO$2:$EA$1048576</definedName>
    <definedName name="Tornado_Output9">Tornado!$EC$2:$EO$1048576</definedName>
    <definedName name="Tornado_OutputsList">Tornado!$S$2:$S$12</definedName>
    <definedName name="Tornado_SelectedOutputName">Tornado!$C$2</definedName>
    <definedName name="Tornado_TableIndex">Tornado!$R$19</definedName>
    <definedName name="TotalPWMOIC_SweetSpot_Given_CrossChasmSuccess">Model!$Q$94</definedName>
    <definedName name="TotalPWMOIC_SweetSpot_Given_MarketSuccess">Model!$Q$95</definedName>
    <definedName name="TotalTAM">Model!$E$119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125" i="1" l="1"/>
  <c r="Q124" i="1"/>
  <c r="Q123" i="1"/>
  <c r="Q122" i="1"/>
  <c r="Q121" i="1"/>
  <c r="Q120" i="1"/>
  <c r="B76" i="1" l="1"/>
  <c r="W88" i="1" l="1"/>
  <c r="W87" i="1"/>
  <c r="W86" i="1"/>
  <c r="W85" i="1"/>
  <c r="V105" i="1"/>
  <c r="V103" i="1"/>
  <c r="O8" i="5" l="1"/>
  <c r="O9" i="5"/>
  <c r="O10" i="5"/>
  <c r="O11" i="5"/>
  <c r="O12" i="5"/>
  <c r="O13" i="5"/>
  <c r="O14" i="5"/>
  <c r="O15" i="5"/>
  <c r="T16" i="5" s="1"/>
  <c r="O16" i="5"/>
  <c r="O17" i="5"/>
  <c r="O18" i="5"/>
  <c r="O19" i="5"/>
  <c r="O20" i="5"/>
  <c r="O21" i="5"/>
  <c r="O22" i="5"/>
  <c r="T23" i="5" s="1"/>
  <c r="O23" i="5"/>
  <c r="T24" i="5" s="1"/>
  <c r="O24" i="5"/>
  <c r="O25" i="5"/>
  <c r="O26" i="5"/>
  <c r="O27" i="5"/>
  <c r="O28" i="5"/>
  <c r="T29" i="5" s="1"/>
  <c r="O29" i="5"/>
  <c r="O30" i="5"/>
  <c r="T31" i="5" s="1"/>
  <c r="O31" i="5"/>
  <c r="O32" i="5"/>
  <c r="O33" i="5"/>
  <c r="O34" i="5"/>
  <c r="O35" i="5"/>
  <c r="O36" i="5"/>
  <c r="T37" i="5" s="1"/>
  <c r="O37" i="5"/>
  <c r="T38" i="5" s="1"/>
  <c r="O38" i="5"/>
  <c r="T39" i="5" s="1"/>
  <c r="O39" i="5"/>
  <c r="T40" i="5" s="1"/>
  <c r="O40" i="5"/>
  <c r="O41" i="5"/>
  <c r="O42" i="5"/>
  <c r="O43" i="5"/>
  <c r="O44" i="5"/>
  <c r="O45" i="5"/>
  <c r="T46" i="5" s="1"/>
  <c r="O46" i="5"/>
  <c r="T47" i="5" s="1"/>
  <c r="O47" i="5"/>
  <c r="T48" i="5" s="1"/>
  <c r="O48" i="5"/>
  <c r="O49" i="5"/>
  <c r="O50" i="5"/>
  <c r="O51" i="5"/>
  <c r="O52" i="5"/>
  <c r="O53" i="5"/>
  <c r="O54" i="5"/>
  <c r="T55" i="5" s="1"/>
  <c r="O55" i="5"/>
  <c r="T56" i="5" s="1"/>
  <c r="O56" i="5"/>
  <c r="O57" i="5"/>
  <c r="O58" i="5"/>
  <c r="O59" i="5"/>
  <c r="O60" i="5"/>
  <c r="O61" i="5"/>
  <c r="O62" i="5"/>
  <c r="T63" i="5" s="1"/>
  <c r="O63" i="5"/>
  <c r="T64" i="5" s="1"/>
  <c r="O64" i="5"/>
  <c r="O65" i="5"/>
  <c r="O66" i="5"/>
  <c r="O67" i="5"/>
  <c r="O68" i="5"/>
  <c r="T69" i="5" s="1"/>
  <c r="O69" i="5"/>
  <c r="T70" i="5" s="1"/>
  <c r="O70" i="5"/>
  <c r="T71" i="5" s="1"/>
  <c r="O71" i="5"/>
  <c r="T72" i="5" s="1"/>
  <c r="O72" i="5"/>
  <c r="O73" i="5"/>
  <c r="O74" i="5"/>
  <c r="O75" i="5"/>
  <c r="O76" i="5"/>
  <c r="T77" i="5" s="1"/>
  <c r="O77" i="5"/>
  <c r="T78" i="5" s="1"/>
  <c r="O78" i="5"/>
  <c r="T79" i="5" s="1"/>
  <c r="O79" i="5"/>
  <c r="T80" i="5" s="1"/>
  <c r="O80" i="5"/>
  <c r="O81" i="5"/>
  <c r="O82" i="5"/>
  <c r="O83" i="5"/>
  <c r="O84" i="5"/>
  <c r="O85" i="5"/>
  <c r="T86" i="5" s="1"/>
  <c r="O86" i="5"/>
  <c r="T87" i="5" s="1"/>
  <c r="O87" i="5"/>
  <c r="T88" i="5" s="1"/>
  <c r="O88" i="5"/>
  <c r="O89" i="5"/>
  <c r="O90" i="5"/>
  <c r="O91" i="5"/>
  <c r="O92" i="5"/>
  <c r="O93" i="5"/>
  <c r="O94" i="5"/>
  <c r="T95" i="5" s="1"/>
  <c r="O95" i="5"/>
  <c r="T96" i="5" s="1"/>
  <c r="O96" i="5"/>
  <c r="O97" i="5"/>
  <c r="O98" i="5"/>
  <c r="O99" i="5"/>
  <c r="O100" i="5"/>
  <c r="O101" i="5"/>
  <c r="O102" i="5"/>
  <c r="T103" i="5" s="1"/>
  <c r="O103" i="5"/>
  <c r="T104" i="5" s="1"/>
  <c r="O104" i="5"/>
  <c r="O105" i="5"/>
  <c r="O106" i="5"/>
  <c r="O107" i="5"/>
  <c r="O108" i="5"/>
  <c r="T109" i="5" s="1"/>
  <c r="O109" i="5"/>
  <c r="O110" i="5"/>
  <c r="T111" i="5" s="1"/>
  <c r="O111" i="5"/>
  <c r="T112" i="5" s="1"/>
  <c r="O112" i="5"/>
  <c r="O113" i="5"/>
  <c r="O114" i="5"/>
  <c r="O115" i="5"/>
  <c r="T116" i="5" s="1"/>
  <c r="O116" i="5"/>
  <c r="T117" i="5" s="1"/>
  <c r="O117" i="5"/>
  <c r="T118" i="5" s="1"/>
  <c r="O118" i="5"/>
  <c r="T119" i="5" s="1"/>
  <c r="O119" i="5"/>
  <c r="T120" i="5" s="1"/>
  <c r="O120" i="5"/>
  <c r="O121" i="5"/>
  <c r="O122" i="5"/>
  <c r="O123" i="5"/>
  <c r="O124" i="5"/>
  <c r="O125" i="5"/>
  <c r="O126" i="5"/>
  <c r="T127" i="5" s="1"/>
  <c r="O127" i="5"/>
  <c r="T128" i="5" s="1"/>
  <c r="O128" i="5"/>
  <c r="O129" i="5"/>
  <c r="O130" i="5"/>
  <c r="O131" i="5"/>
  <c r="O132" i="5"/>
  <c r="T133" i="5" s="1"/>
  <c r="O133" i="5"/>
  <c r="O134" i="5"/>
  <c r="T135" i="5" s="1"/>
  <c r="O135" i="5"/>
  <c r="T136" i="5" s="1"/>
  <c r="O136" i="5"/>
  <c r="O137" i="5"/>
  <c r="O138" i="5"/>
  <c r="O139" i="5"/>
  <c r="O140" i="5"/>
  <c r="O141" i="5"/>
  <c r="O142" i="5"/>
  <c r="T143" i="5" s="1"/>
  <c r="O143" i="5"/>
  <c r="T144" i="5" s="1"/>
  <c r="O144" i="5"/>
  <c r="O145" i="5"/>
  <c r="O146" i="5"/>
  <c r="O147" i="5"/>
  <c r="T148" i="5" s="1"/>
  <c r="O148" i="5"/>
  <c r="O149" i="5"/>
  <c r="O150" i="5"/>
  <c r="T151" i="5" s="1"/>
  <c r="O151" i="5"/>
  <c r="T152" i="5" s="1"/>
  <c r="O152" i="5"/>
  <c r="O153" i="5"/>
  <c r="O154" i="5"/>
  <c r="O155" i="5"/>
  <c r="O156" i="5"/>
  <c r="T157" i="5" s="1"/>
  <c r="O157" i="5"/>
  <c r="T158" i="5" s="1"/>
  <c r="O158" i="5"/>
  <c r="T159" i="5" s="1"/>
  <c r="O159" i="5"/>
  <c r="T160" i="5" s="1"/>
  <c r="O160" i="5"/>
  <c r="O161" i="5"/>
  <c r="O162" i="5"/>
  <c r="O163" i="5"/>
  <c r="T164" i="5" s="1"/>
  <c r="O164" i="5"/>
  <c r="O165" i="5"/>
  <c r="O166" i="5"/>
  <c r="T167" i="5" s="1"/>
  <c r="O167" i="5"/>
  <c r="T168" i="5" s="1"/>
  <c r="O168" i="5"/>
  <c r="O169" i="5"/>
  <c r="O170" i="5"/>
  <c r="O171" i="5"/>
  <c r="O172" i="5"/>
  <c r="O173" i="5"/>
  <c r="O174" i="5"/>
  <c r="T175" i="5" s="1"/>
  <c r="O175" i="5"/>
  <c r="T176" i="5" s="1"/>
  <c r="O176" i="5"/>
  <c r="O177" i="5"/>
  <c r="O178" i="5"/>
  <c r="O179" i="5"/>
  <c r="O180" i="5"/>
  <c r="O181" i="5"/>
  <c r="O182" i="5"/>
  <c r="T183" i="5" s="1"/>
  <c r="O183" i="5"/>
  <c r="T184" i="5" s="1"/>
  <c r="O184" i="5"/>
  <c r="O185" i="5"/>
  <c r="O186" i="5"/>
  <c r="O187" i="5"/>
  <c r="O188" i="5"/>
  <c r="T189" i="5" s="1"/>
  <c r="O189" i="5"/>
  <c r="O190" i="5"/>
  <c r="T191" i="5" s="1"/>
  <c r="O191" i="5"/>
  <c r="T192" i="5" s="1"/>
  <c r="O192" i="5"/>
  <c r="O193" i="5"/>
  <c r="O194" i="5"/>
  <c r="O195" i="5"/>
  <c r="O196" i="5"/>
  <c r="T197" i="5" s="1"/>
  <c r="O197" i="5"/>
  <c r="O198" i="5"/>
  <c r="T199" i="5" s="1"/>
  <c r="O199" i="5"/>
  <c r="T200" i="5" s="1"/>
  <c r="O200" i="5"/>
  <c r="O201" i="5"/>
  <c r="O202" i="5"/>
  <c r="O203" i="5"/>
  <c r="O204" i="5"/>
  <c r="T205" i="5" s="1"/>
  <c r="O205" i="5"/>
  <c r="T206" i="5" s="1"/>
  <c r="O206" i="5"/>
  <c r="T207" i="5" s="1"/>
  <c r="O207" i="5"/>
  <c r="T208" i="5" s="1"/>
  <c r="O208" i="5"/>
  <c r="O209" i="5"/>
  <c r="O210" i="5"/>
  <c r="O211" i="5"/>
  <c r="O212" i="5"/>
  <c r="O213" i="5"/>
  <c r="O214" i="5"/>
  <c r="T215" i="5" s="1"/>
  <c r="O215" i="5"/>
  <c r="T216" i="5" s="1"/>
  <c r="O216" i="5"/>
  <c r="O217" i="5"/>
  <c r="O218" i="5"/>
  <c r="T219" i="5" s="1"/>
  <c r="O219" i="5"/>
  <c r="O220" i="5"/>
  <c r="O221" i="5"/>
  <c r="O222" i="5"/>
  <c r="T223" i="5" s="1"/>
  <c r="O223" i="5"/>
  <c r="T224" i="5" s="1"/>
  <c r="O224" i="5"/>
  <c r="O225" i="5"/>
  <c r="O226" i="5"/>
  <c r="O227" i="5"/>
  <c r="T228" i="5" s="1"/>
  <c r="O228" i="5"/>
  <c r="T229" i="5" s="1"/>
  <c r="O229" i="5"/>
  <c r="O230" i="5"/>
  <c r="T231" i="5" s="1"/>
  <c r="O231" i="5"/>
  <c r="T232" i="5" s="1"/>
  <c r="O232" i="5"/>
  <c r="O233" i="5"/>
  <c r="O234" i="5"/>
  <c r="O235" i="5"/>
  <c r="O236" i="5"/>
  <c r="T237" i="5" s="1"/>
  <c r="O237" i="5"/>
  <c r="T238" i="5" s="1"/>
  <c r="O238" i="5"/>
  <c r="T239" i="5" s="1"/>
  <c r="O239" i="5"/>
  <c r="T240" i="5" s="1"/>
  <c r="O240" i="5"/>
  <c r="O241" i="5"/>
  <c r="O242" i="5"/>
  <c r="O243" i="5"/>
  <c r="O244" i="5"/>
  <c r="O245" i="5"/>
  <c r="T246" i="5" s="1"/>
  <c r="O246" i="5"/>
  <c r="T247" i="5" s="1"/>
  <c r="O247" i="5"/>
  <c r="T248" i="5" s="1"/>
  <c r="O248" i="5"/>
  <c r="O249" i="5"/>
  <c r="O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35" i="5"/>
  <c r="N136" i="5"/>
  <c r="N137" i="5"/>
  <c r="N138" i="5"/>
  <c r="N139" i="5"/>
  <c r="N140" i="5"/>
  <c r="N141" i="5"/>
  <c r="N142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7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0" i="5"/>
  <c r="N171" i="5"/>
  <c r="N172" i="5"/>
  <c r="N173" i="5"/>
  <c r="N174" i="5"/>
  <c r="N175" i="5"/>
  <c r="N176" i="5"/>
  <c r="N177" i="5"/>
  <c r="N178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71" i="5"/>
  <c r="M72" i="5"/>
  <c r="M73" i="5"/>
  <c r="M74" i="5"/>
  <c r="M75" i="5"/>
  <c r="M76" i="5"/>
  <c r="M77" i="5"/>
  <c r="M78" i="5"/>
  <c r="M79" i="5"/>
  <c r="M80" i="5"/>
  <c r="M81" i="5"/>
  <c r="M82" i="5"/>
  <c r="M83" i="5"/>
  <c r="M84" i="5"/>
  <c r="M85" i="5"/>
  <c r="M86" i="5"/>
  <c r="M87" i="5"/>
  <c r="M88" i="5"/>
  <c r="M89" i="5"/>
  <c r="M90" i="5"/>
  <c r="M91" i="5"/>
  <c r="M92" i="5"/>
  <c r="M93" i="5"/>
  <c r="M94" i="5"/>
  <c r="M95" i="5"/>
  <c r="M96" i="5"/>
  <c r="M97" i="5"/>
  <c r="M98" i="5"/>
  <c r="M99" i="5"/>
  <c r="M100" i="5"/>
  <c r="M101" i="5"/>
  <c r="M102" i="5"/>
  <c r="M103" i="5"/>
  <c r="M104" i="5"/>
  <c r="M105" i="5"/>
  <c r="M106" i="5"/>
  <c r="M107" i="5"/>
  <c r="M108" i="5"/>
  <c r="M109" i="5"/>
  <c r="M110" i="5"/>
  <c r="M111" i="5"/>
  <c r="M112" i="5"/>
  <c r="M113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M134" i="5"/>
  <c r="M135" i="5"/>
  <c r="M136" i="5"/>
  <c r="M137" i="5"/>
  <c r="M138" i="5"/>
  <c r="M139" i="5"/>
  <c r="M140" i="5"/>
  <c r="M141" i="5"/>
  <c r="M142" i="5"/>
  <c r="M143" i="5"/>
  <c r="M144" i="5"/>
  <c r="M145" i="5"/>
  <c r="M146" i="5"/>
  <c r="M147" i="5"/>
  <c r="M148" i="5"/>
  <c r="M149" i="5"/>
  <c r="M150" i="5"/>
  <c r="M151" i="5"/>
  <c r="M152" i="5"/>
  <c r="M153" i="5"/>
  <c r="M154" i="5"/>
  <c r="M155" i="5"/>
  <c r="M156" i="5"/>
  <c r="M157" i="5"/>
  <c r="M158" i="5"/>
  <c r="M159" i="5"/>
  <c r="M160" i="5"/>
  <c r="M161" i="5"/>
  <c r="M162" i="5"/>
  <c r="M163" i="5"/>
  <c r="M164" i="5"/>
  <c r="M165" i="5"/>
  <c r="M166" i="5"/>
  <c r="M167" i="5"/>
  <c r="M168" i="5"/>
  <c r="M169" i="5"/>
  <c r="M170" i="5"/>
  <c r="M171" i="5"/>
  <c r="M172" i="5"/>
  <c r="M173" i="5"/>
  <c r="M174" i="5"/>
  <c r="M175" i="5"/>
  <c r="M176" i="5"/>
  <c r="M177" i="5"/>
  <c r="M178" i="5"/>
  <c r="M179" i="5"/>
  <c r="M180" i="5"/>
  <c r="M181" i="5"/>
  <c r="M182" i="5"/>
  <c r="M183" i="5"/>
  <c r="M184" i="5"/>
  <c r="M185" i="5"/>
  <c r="M186" i="5"/>
  <c r="M187" i="5"/>
  <c r="M188" i="5"/>
  <c r="M189" i="5"/>
  <c r="M190" i="5"/>
  <c r="M191" i="5"/>
  <c r="M192" i="5"/>
  <c r="M193" i="5"/>
  <c r="M194" i="5"/>
  <c r="M195" i="5"/>
  <c r="M196" i="5"/>
  <c r="M197" i="5"/>
  <c r="M198" i="5"/>
  <c r="M199" i="5"/>
  <c r="M200" i="5"/>
  <c r="M201" i="5"/>
  <c r="M202" i="5"/>
  <c r="M203" i="5"/>
  <c r="M204" i="5"/>
  <c r="M205" i="5"/>
  <c r="M206" i="5"/>
  <c r="M207" i="5"/>
  <c r="M208" i="5"/>
  <c r="M209" i="5"/>
  <c r="M210" i="5"/>
  <c r="M211" i="5"/>
  <c r="M212" i="5"/>
  <c r="M213" i="5"/>
  <c r="M214" i="5"/>
  <c r="M215" i="5"/>
  <c r="M216" i="5"/>
  <c r="M217" i="5"/>
  <c r="M218" i="5"/>
  <c r="M219" i="5"/>
  <c r="M220" i="5"/>
  <c r="M221" i="5"/>
  <c r="M222" i="5"/>
  <c r="M223" i="5"/>
  <c r="M224" i="5"/>
  <c r="M225" i="5"/>
  <c r="M226" i="5"/>
  <c r="M227" i="5"/>
  <c r="M228" i="5"/>
  <c r="M229" i="5"/>
  <c r="M230" i="5"/>
  <c r="M231" i="5"/>
  <c r="M232" i="5"/>
  <c r="M233" i="5"/>
  <c r="M234" i="5"/>
  <c r="M235" i="5"/>
  <c r="M236" i="5"/>
  <c r="M237" i="5"/>
  <c r="M238" i="5"/>
  <c r="M239" i="5"/>
  <c r="M240" i="5"/>
  <c r="M241" i="5"/>
  <c r="M242" i="5"/>
  <c r="M243" i="5"/>
  <c r="M244" i="5"/>
  <c r="M245" i="5"/>
  <c r="M246" i="5"/>
  <c r="M247" i="5"/>
  <c r="M248" i="5"/>
  <c r="M249" i="5"/>
  <c r="M7" i="5"/>
  <c r="T250" i="5"/>
  <c r="T249" i="5"/>
  <c r="T245" i="5"/>
  <c r="T244" i="5"/>
  <c r="T242" i="5"/>
  <c r="T243" i="5"/>
  <c r="T241" i="5"/>
  <c r="T236" i="5"/>
  <c r="T234" i="5"/>
  <c r="T235" i="5"/>
  <c r="T233" i="5"/>
  <c r="T230" i="5"/>
  <c r="T226" i="5"/>
  <c r="T227" i="5"/>
  <c r="T225" i="5"/>
  <c r="T222" i="5"/>
  <c r="T221" i="5"/>
  <c r="T220" i="5"/>
  <c r="T218" i="5"/>
  <c r="T217" i="5"/>
  <c r="T214" i="5"/>
  <c r="T213" i="5"/>
  <c r="T212" i="5"/>
  <c r="T210" i="5"/>
  <c r="T211" i="5"/>
  <c r="T209" i="5"/>
  <c r="T204" i="5"/>
  <c r="T203" i="5"/>
  <c r="T202" i="5"/>
  <c r="T201" i="5"/>
  <c r="T198" i="5"/>
  <c r="T196" i="5"/>
  <c r="T194" i="5"/>
  <c r="T195" i="5"/>
  <c r="T193" i="5"/>
  <c r="T190" i="5"/>
  <c r="T188" i="5"/>
  <c r="T186" i="5"/>
  <c r="T187" i="5"/>
  <c r="T185" i="5"/>
  <c r="T182" i="5"/>
  <c r="T181" i="5"/>
  <c r="T180" i="5"/>
  <c r="T179" i="5"/>
  <c r="T178" i="5"/>
  <c r="T177" i="5"/>
  <c r="T174" i="5"/>
  <c r="T173" i="5"/>
  <c r="T172" i="5"/>
  <c r="T170" i="5"/>
  <c r="T171" i="5"/>
  <c r="T169" i="5"/>
  <c r="T166" i="5"/>
  <c r="T165" i="5"/>
  <c r="T162" i="5"/>
  <c r="T163" i="5"/>
  <c r="T161" i="5"/>
  <c r="T156" i="5"/>
  <c r="T155" i="5"/>
  <c r="T154" i="5"/>
  <c r="T153" i="5"/>
  <c r="T149" i="5"/>
  <c r="T150" i="5"/>
  <c r="T146" i="5"/>
  <c r="T147" i="5"/>
  <c r="T145" i="5"/>
  <c r="T142" i="5"/>
  <c r="T141" i="5"/>
  <c r="T140" i="5"/>
  <c r="T138" i="5"/>
  <c r="T139" i="5"/>
  <c r="T137" i="5"/>
  <c r="T134" i="5"/>
  <c r="T132" i="5"/>
  <c r="T130" i="5"/>
  <c r="T131" i="5"/>
  <c r="T129" i="5"/>
  <c r="T125" i="5"/>
  <c r="T126" i="5"/>
  <c r="T124" i="5"/>
  <c r="T122" i="5"/>
  <c r="T123" i="5"/>
  <c r="T121" i="5"/>
  <c r="T115" i="5"/>
  <c r="T114" i="5"/>
  <c r="T113" i="5"/>
  <c r="T110" i="5"/>
  <c r="T108" i="5"/>
  <c r="T106" i="5"/>
  <c r="T107" i="5"/>
  <c r="T105" i="5"/>
  <c r="T102" i="5"/>
  <c r="T101" i="5"/>
  <c r="T100" i="5"/>
  <c r="T98" i="5"/>
  <c r="T99" i="5"/>
  <c r="T97" i="5"/>
  <c r="T93" i="5"/>
  <c r="T94" i="5"/>
  <c r="T92" i="5"/>
  <c r="T90" i="5"/>
  <c r="T91" i="5"/>
  <c r="T89" i="5"/>
  <c r="T85" i="5"/>
  <c r="T84" i="5"/>
  <c r="T83" i="5"/>
  <c r="T82" i="5"/>
  <c r="T81" i="5"/>
  <c r="T75" i="5"/>
  <c r="T76" i="5"/>
  <c r="T74" i="5"/>
  <c r="T73" i="5"/>
  <c r="T67" i="5"/>
  <c r="T68" i="5"/>
  <c r="T65" i="5"/>
  <c r="T66" i="5"/>
  <c r="T62" i="5"/>
  <c r="T61" i="5"/>
  <c r="T59" i="5"/>
  <c r="T60" i="5"/>
  <c r="T57" i="5"/>
  <c r="T58" i="5"/>
  <c r="T54" i="5"/>
  <c r="T53" i="5"/>
  <c r="T51" i="5"/>
  <c r="T52" i="5"/>
  <c r="T49" i="5"/>
  <c r="T50" i="5"/>
  <c r="T45" i="5"/>
  <c r="T43" i="5"/>
  <c r="T44" i="5"/>
  <c r="T41" i="5"/>
  <c r="T42" i="5"/>
  <c r="T35" i="5"/>
  <c r="T36" i="5"/>
  <c r="T33" i="5"/>
  <c r="T34" i="5"/>
  <c r="T32" i="5"/>
  <c r="T30" i="5"/>
  <c r="T27" i="5"/>
  <c r="T28" i="5"/>
  <c r="T25" i="5"/>
  <c r="T26" i="5"/>
  <c r="T22" i="5"/>
  <c r="T21" i="5"/>
  <c r="T19" i="5"/>
  <c r="T20" i="5"/>
  <c r="T18" i="5"/>
  <c r="T17" i="5"/>
  <c r="T15" i="5"/>
  <c r="T14" i="5"/>
  <c r="T13" i="5"/>
  <c r="T11" i="5"/>
  <c r="T12" i="5"/>
  <c r="T10" i="5"/>
  <c r="T8" i="5"/>
  <c r="T9" i="5"/>
  <c r="D111" i="1" l="1"/>
  <c r="E82" i="1"/>
  <c r="E84" i="1"/>
  <c r="E86" i="1"/>
  <c r="E80" i="1"/>
  <c r="E90" i="1"/>
  <c r="E93" i="1"/>
  <c r="E95" i="1"/>
  <c r="E97" i="1"/>
  <c r="E91" i="1"/>
  <c r="E101" i="1"/>
  <c r="E104" i="1"/>
  <c r="E106" i="1"/>
  <c r="E108" i="1"/>
  <c r="E102" i="1"/>
  <c r="E112" i="1"/>
  <c r="E92" i="1" l="1"/>
  <c r="E94" i="1" s="1"/>
  <c r="E96" i="1" s="1"/>
  <c r="E98" i="1" s="1"/>
  <c r="V86" i="1" s="1"/>
  <c r="E103" i="1"/>
  <c r="E105" i="1" s="1"/>
  <c r="E107" i="1" s="1"/>
  <c r="E109" i="1" s="1"/>
  <c r="V87" i="1" s="1"/>
  <c r="E111" i="1" l="1"/>
  <c r="E113" i="1" s="1"/>
  <c r="V88" i="1" s="1"/>
  <c r="R19" i="4" l="1"/>
  <c r="S19" i="4" s="1"/>
  <c r="S12" i="4"/>
  <c r="S11" i="4"/>
  <c r="S10" i="4"/>
  <c r="S9" i="4"/>
  <c r="S7" i="4"/>
  <c r="S8" i="4"/>
  <c r="E79" i="1" l="1"/>
  <c r="E81" i="1" s="1"/>
  <c r="E83" i="1" s="1"/>
  <c r="E85" i="1" s="1"/>
  <c r="E87" i="1" s="1"/>
  <c r="V85" i="1" s="1"/>
  <c r="E122" i="1"/>
  <c r="E123" i="1"/>
  <c r="E124" i="1"/>
  <c r="G4" i="2"/>
  <c r="F4" i="2"/>
  <c r="E4" i="2"/>
  <c r="D4" i="2"/>
  <c r="G3" i="2"/>
  <c r="F3" i="2"/>
  <c r="E3" i="2"/>
  <c r="D3" i="2"/>
  <c r="G2" i="2"/>
  <c r="F2" i="2"/>
  <c r="E2" i="2"/>
  <c r="D2" i="2"/>
  <c r="L81" i="1"/>
  <c r="H73" i="1"/>
  <c r="K109" i="1" s="1"/>
  <c r="H72" i="1"/>
  <c r="J85" i="1" s="1"/>
  <c r="H71" i="1"/>
  <c r="E128" i="1"/>
  <c r="L109" i="1"/>
  <c r="W93" i="1" l="1"/>
  <c r="E119" i="1" s="1"/>
  <c r="W91" i="1"/>
  <c r="E117" i="1" s="1"/>
  <c r="I113" i="1"/>
  <c r="V106" i="1"/>
  <c r="Q99" i="1" s="1"/>
  <c r="V104" i="1"/>
  <c r="Q98" i="1" s="1"/>
  <c r="H2" i="2"/>
  <c r="J115" i="1"/>
  <c r="M114" i="1" s="1"/>
  <c r="Q114" i="1" s="1"/>
  <c r="J89" i="1"/>
  <c r="L107" i="1"/>
  <c r="K83" i="1"/>
  <c r="J111" i="1"/>
  <c r="M108" i="1" s="1"/>
  <c r="K87" i="1"/>
  <c r="H4" i="2"/>
  <c r="K113" i="1"/>
  <c r="H3" i="2"/>
  <c r="E125" i="1"/>
  <c r="E127" i="1" s="1"/>
  <c r="E130" i="1" s="1"/>
  <c r="P112" i="1" s="1"/>
  <c r="L83" i="1"/>
  <c r="L85" i="1" s="1"/>
  <c r="I92" i="1"/>
  <c r="M91" i="1" s="1"/>
  <c r="Q91" i="1" s="1"/>
  <c r="I87" i="1"/>
  <c r="I118" i="1"/>
  <c r="M117" i="1" s="1"/>
  <c r="Q117" i="1" s="1"/>
  <c r="M80" i="1" l="1"/>
  <c r="M112" i="1"/>
  <c r="Q112" i="1" s="1"/>
  <c r="M106" i="1"/>
  <c r="L111" i="1"/>
  <c r="M110" i="1" s="1"/>
  <c r="E129" i="1"/>
  <c r="M84" i="1"/>
  <c r="M82" i="1"/>
  <c r="M86" i="1"/>
  <c r="M88" i="1"/>
  <c r="Q88" i="1" s="1"/>
  <c r="Q97" i="1" l="1"/>
  <c r="Q96" i="1"/>
  <c r="M119" i="1"/>
  <c r="S76" i="1"/>
  <c r="M93" i="1"/>
  <c r="P244" i="5" l="1"/>
  <c r="P227" i="5"/>
  <c r="P218" i="5"/>
  <c r="P208" i="5"/>
  <c r="P203" i="5"/>
  <c r="P187" i="5"/>
  <c r="P174" i="5"/>
  <c r="P164" i="5"/>
  <c r="S165" i="5" s="1"/>
  <c r="P154" i="5"/>
  <c r="P148" i="5"/>
  <c r="P138" i="5"/>
  <c r="P124" i="5"/>
  <c r="P114" i="5"/>
  <c r="P108" i="5"/>
  <c r="P104" i="5"/>
  <c r="P93" i="5"/>
  <c r="S94" i="5" s="1"/>
  <c r="P89" i="5"/>
  <c r="P69" i="5"/>
  <c r="P59" i="5"/>
  <c r="P53" i="5"/>
  <c r="P43" i="5"/>
  <c r="P38" i="5"/>
  <c r="P24" i="5"/>
  <c r="P13" i="5"/>
  <c r="S14" i="5" s="1"/>
  <c r="P9" i="5"/>
  <c r="P145" i="5"/>
  <c r="P50" i="5"/>
  <c r="P209" i="5"/>
  <c r="P144" i="5"/>
  <c r="P75" i="5"/>
  <c r="P19" i="5"/>
  <c r="P243" i="5"/>
  <c r="S244" i="5" s="1"/>
  <c r="P237" i="5"/>
  <c r="P233" i="5"/>
  <c r="P222" i="5"/>
  <c r="P212" i="5"/>
  <c r="P207" i="5"/>
  <c r="P197" i="5"/>
  <c r="P193" i="5"/>
  <c r="P182" i="5"/>
  <c r="S183" i="5" s="1"/>
  <c r="P178" i="5"/>
  <c r="P163" i="5"/>
  <c r="P147" i="5"/>
  <c r="P133" i="5"/>
  <c r="P129" i="5"/>
  <c r="P123" i="5"/>
  <c r="P107" i="5"/>
  <c r="P98" i="5"/>
  <c r="S99" i="5" s="1"/>
  <c r="P88" i="5"/>
  <c r="P83" i="5"/>
  <c r="P74" i="5"/>
  <c r="P68" i="5"/>
  <c r="P64" i="5"/>
  <c r="P58" i="5"/>
  <c r="P49" i="5"/>
  <c r="P37" i="5"/>
  <c r="S38" i="5" s="1"/>
  <c r="P18" i="5"/>
  <c r="P27" i="5"/>
  <c r="P12" i="5"/>
  <c r="P8" i="5"/>
  <c r="P130" i="5"/>
  <c r="P10" i="5"/>
  <c r="P160" i="5"/>
  <c r="P109" i="5"/>
  <c r="S110" i="5" s="1"/>
  <c r="P54" i="5"/>
  <c r="P232" i="5"/>
  <c r="P226" i="5"/>
  <c r="P211" i="5"/>
  <c r="P202" i="5"/>
  <c r="P192" i="5"/>
  <c r="P186" i="5"/>
  <c r="P173" i="5"/>
  <c r="S174" i="5" s="1"/>
  <c r="P169" i="5"/>
  <c r="P157" i="5"/>
  <c r="P153" i="5"/>
  <c r="P128" i="5"/>
  <c r="P117" i="5"/>
  <c r="P113" i="5"/>
  <c r="P102" i="5"/>
  <c r="P92" i="5"/>
  <c r="S93" i="5" s="1"/>
  <c r="P78" i="5"/>
  <c r="P73" i="5"/>
  <c r="P52" i="5"/>
  <c r="P48" i="5"/>
  <c r="P42" i="5"/>
  <c r="P36" i="5"/>
  <c r="P33" i="5"/>
  <c r="P99" i="5"/>
  <c r="S100" i="5" s="1"/>
  <c r="P80" i="5"/>
  <c r="P40" i="5"/>
  <c r="P170" i="5"/>
  <c r="P84" i="5"/>
  <c r="P28" i="5"/>
  <c r="P248" i="5"/>
  <c r="P236" i="5"/>
  <c r="P221" i="5"/>
  <c r="S222" i="5" s="1"/>
  <c r="P217" i="5"/>
  <c r="P196" i="5"/>
  <c r="P181" i="5"/>
  <c r="P177" i="5"/>
  <c r="P168" i="5"/>
  <c r="P162" i="5"/>
  <c r="P152" i="5"/>
  <c r="P146" i="5"/>
  <c r="S147" i="5" s="1"/>
  <c r="P141" i="5"/>
  <c r="P137" i="5"/>
  <c r="P132" i="5"/>
  <c r="P127" i="5"/>
  <c r="P122" i="5"/>
  <c r="P112" i="5"/>
  <c r="P91" i="5"/>
  <c r="P82" i="5"/>
  <c r="S83" i="5" s="1"/>
  <c r="P67" i="5"/>
  <c r="P61" i="5"/>
  <c r="P21" i="5"/>
  <c r="P17" i="5"/>
  <c r="P20" i="5"/>
  <c r="P16" i="5"/>
  <c r="S7" i="5"/>
  <c r="P125" i="5"/>
  <c r="S126" i="5" s="1"/>
  <c r="P7" i="5"/>
  <c r="P120" i="5"/>
  <c r="P105" i="5"/>
  <c r="P65" i="5"/>
  <c r="P25" i="5"/>
  <c r="P235" i="5"/>
  <c r="P230" i="5"/>
  <c r="P216" i="5"/>
  <c r="S217" i="5" s="1"/>
  <c r="P210" i="5"/>
  <c r="P205" i="5"/>
  <c r="P201" i="5"/>
  <c r="P195" i="5"/>
  <c r="P176" i="5"/>
  <c r="P172" i="5"/>
  <c r="P156" i="5"/>
  <c r="P136" i="5"/>
  <c r="S137" i="5" s="1"/>
  <c r="P131" i="5"/>
  <c r="P116" i="5"/>
  <c r="P101" i="5"/>
  <c r="P97" i="5"/>
  <c r="P81" i="5"/>
  <c r="P77" i="5"/>
  <c r="P57" i="5"/>
  <c r="P45" i="5"/>
  <c r="S46" i="5" s="1"/>
  <c r="P32" i="5"/>
  <c r="P26" i="5"/>
  <c r="P213" i="5"/>
  <c r="P241" i="5"/>
  <c r="P229" i="5"/>
  <c r="P225" i="5"/>
  <c r="P220" i="5"/>
  <c r="P200" i="5"/>
  <c r="S201" i="5" s="1"/>
  <c r="P189" i="5"/>
  <c r="P185" i="5"/>
  <c r="P180" i="5"/>
  <c r="P171" i="5"/>
  <c r="P140" i="5"/>
  <c r="P110" i="5"/>
  <c r="P106" i="5"/>
  <c r="P100" i="5"/>
  <c r="S101" i="5" s="1"/>
  <c r="P96" i="5"/>
  <c r="P90" i="5"/>
  <c r="P85" i="5"/>
  <c r="P76" i="5"/>
  <c r="P72" i="5"/>
  <c r="P66" i="5"/>
  <c r="P60" i="5"/>
  <c r="P56" i="5"/>
  <c r="S57" i="5" s="1"/>
  <c r="P51" i="5"/>
  <c r="P44" i="5"/>
  <c r="P41" i="5"/>
  <c r="P35" i="5"/>
  <c r="P11" i="5"/>
  <c r="P121" i="5"/>
  <c r="P179" i="5"/>
  <c r="S180" i="5" s="1"/>
  <c r="P245" i="5"/>
  <c r="S246" i="5" s="1"/>
  <c r="P240" i="5"/>
  <c r="P234" i="5"/>
  <c r="P224" i="5"/>
  <c r="P219" i="5"/>
  <c r="P204" i="5"/>
  <c r="P199" i="5"/>
  <c r="P194" i="5"/>
  <c r="S195" i="5" s="1"/>
  <c r="P184" i="5"/>
  <c r="S185" i="5" s="1"/>
  <c r="P165" i="5"/>
  <c r="P161" i="5"/>
  <c r="P155" i="5"/>
  <c r="P149" i="5"/>
  <c r="P139" i="5"/>
  <c r="P115" i="5"/>
  <c r="P29" i="5"/>
  <c r="S30" i="5" s="1"/>
  <c r="P228" i="5"/>
  <c r="S229" i="5" s="1"/>
  <c r="P188" i="5"/>
  <c r="P34" i="5"/>
  <c r="P242" i="5"/>
  <c r="P183" i="5"/>
  <c r="P111" i="5"/>
  <c r="P47" i="5"/>
  <c r="P206" i="5"/>
  <c r="S207" i="5" s="1"/>
  <c r="P126" i="5"/>
  <c r="S127" i="5" s="1"/>
  <c r="P22" i="5"/>
  <c r="P159" i="5"/>
  <c r="P23" i="5"/>
  <c r="P86" i="5"/>
  <c r="P151" i="5"/>
  <c r="P158" i="5"/>
  <c r="P223" i="5"/>
  <c r="S224" i="5" s="1"/>
  <c r="P62" i="5"/>
  <c r="S63" i="5" s="1"/>
  <c r="P135" i="5"/>
  <c r="P249" i="5"/>
  <c r="P175" i="5"/>
  <c r="P103" i="5"/>
  <c r="P39" i="5"/>
  <c r="P198" i="5"/>
  <c r="P118" i="5"/>
  <c r="S119" i="5" s="1"/>
  <c r="P14" i="5"/>
  <c r="S15" i="5" s="1"/>
  <c r="P239" i="5"/>
  <c r="P166" i="5"/>
  <c r="P231" i="5"/>
  <c r="P70" i="5"/>
  <c r="P143" i="5"/>
  <c r="P150" i="5"/>
  <c r="P215" i="5"/>
  <c r="S216" i="5" s="1"/>
  <c r="P247" i="5"/>
  <c r="S248" i="5" s="1"/>
  <c r="P167" i="5"/>
  <c r="P95" i="5"/>
  <c r="P31" i="5"/>
  <c r="P190" i="5"/>
  <c r="P94" i="5"/>
  <c r="P87" i="5"/>
  <c r="P79" i="5"/>
  <c r="S80" i="5" s="1"/>
  <c r="P15" i="5"/>
  <c r="S16" i="5" s="1"/>
  <c r="P71" i="5"/>
  <c r="P246" i="5"/>
  <c r="P63" i="5"/>
  <c r="P46" i="5"/>
  <c r="P142" i="5"/>
  <c r="P238" i="5"/>
  <c r="P191" i="5"/>
  <c r="S192" i="5" s="1"/>
  <c r="P55" i="5"/>
  <c r="S56" i="5" s="1"/>
  <c r="P214" i="5"/>
  <c r="P134" i="5"/>
  <c r="P30" i="5"/>
  <c r="P119" i="5"/>
  <c r="N108" i="1"/>
  <c r="O108" i="1" s="1"/>
  <c r="P108" i="1" s="1"/>
  <c r="Q108" i="1" s="1"/>
  <c r="N106" i="1"/>
  <c r="O106" i="1" s="1"/>
  <c r="P106" i="1" s="1"/>
  <c r="F7" i="1"/>
  <c r="N110" i="1"/>
  <c r="O110" i="1" s="1"/>
  <c r="P110" i="1" s="1"/>
  <c r="Q110" i="1" s="1"/>
  <c r="E132" i="1"/>
  <c r="N86" i="1"/>
  <c r="O86" i="1" s="1"/>
  <c r="P86" i="1" s="1"/>
  <c r="Q86" i="1" s="1"/>
  <c r="N112" i="1"/>
  <c r="O112" i="1" s="1"/>
  <c r="N82" i="1"/>
  <c r="O82" i="1" s="1"/>
  <c r="P82" i="1" s="1"/>
  <c r="Q82" i="1" s="1"/>
  <c r="N84" i="1"/>
  <c r="O84" i="1" s="1"/>
  <c r="P84" i="1" s="1"/>
  <c r="Q84" i="1" s="1"/>
  <c r="N80" i="1"/>
  <c r="O80" i="1" s="1"/>
  <c r="P80" i="1" s="1"/>
  <c r="R127" i="5" l="1"/>
  <c r="R101" i="5"/>
  <c r="R100" i="5"/>
  <c r="R15" i="5"/>
  <c r="R217" i="5"/>
  <c r="S61" i="5"/>
  <c r="S221" i="5"/>
  <c r="R222" i="5" s="1"/>
  <c r="S239" i="5"/>
  <c r="S88" i="5"/>
  <c r="S231" i="5"/>
  <c r="S120" i="5"/>
  <c r="R120" i="5" s="1"/>
  <c r="S150" i="5"/>
  <c r="S107" i="5"/>
  <c r="S47" i="5"/>
  <c r="R47" i="5" s="1"/>
  <c r="S184" i="5"/>
  <c r="R185" i="5" s="1"/>
  <c r="S58" i="5"/>
  <c r="S71" i="5"/>
  <c r="S104" i="5"/>
  <c r="S157" i="5"/>
  <c r="S191" i="5"/>
  <c r="R192" i="5" s="1"/>
  <c r="S87" i="5"/>
  <c r="R16" i="5"/>
  <c r="R58" i="5"/>
  <c r="S213" i="5"/>
  <c r="R7" i="5"/>
  <c r="S92" i="5"/>
  <c r="S153" i="5"/>
  <c r="S237" i="5"/>
  <c r="S34" i="5"/>
  <c r="S103" i="5"/>
  <c r="S187" i="5"/>
  <c r="S161" i="5"/>
  <c r="S50" i="5"/>
  <c r="S108" i="5"/>
  <c r="S194" i="5"/>
  <c r="S20" i="5"/>
  <c r="S25" i="5"/>
  <c r="S105" i="5"/>
  <c r="S175" i="5"/>
  <c r="R175" i="5" s="1"/>
  <c r="S151" i="5"/>
  <c r="S199" i="5"/>
  <c r="S159" i="5"/>
  <c r="S48" i="5"/>
  <c r="S116" i="5"/>
  <c r="S200" i="5"/>
  <c r="S122" i="5"/>
  <c r="S67" i="5"/>
  <c r="S111" i="5"/>
  <c r="R111" i="5" s="1"/>
  <c r="S226" i="5"/>
  <c r="S78" i="5"/>
  <c r="S173" i="5"/>
  <c r="R174" i="5" s="1"/>
  <c r="S236" i="5"/>
  <c r="S17" i="5"/>
  <c r="R17" i="5" s="1"/>
  <c r="S113" i="5"/>
  <c r="S163" i="5"/>
  <c r="S249" i="5"/>
  <c r="R249" i="5" s="1"/>
  <c r="S37" i="5"/>
  <c r="R38" i="5" s="1"/>
  <c r="S114" i="5"/>
  <c r="S193" i="5"/>
  <c r="R193" i="5" s="1"/>
  <c r="S11" i="5"/>
  <c r="S59" i="5"/>
  <c r="S124" i="5"/>
  <c r="S198" i="5"/>
  <c r="S76" i="5"/>
  <c r="S39" i="5"/>
  <c r="R39" i="5" s="1"/>
  <c r="S109" i="5"/>
  <c r="S188" i="5"/>
  <c r="S143" i="5"/>
  <c r="S95" i="5"/>
  <c r="R95" i="5" s="1"/>
  <c r="S144" i="5"/>
  <c r="S40" i="5"/>
  <c r="S152" i="5"/>
  <c r="R152" i="5" s="1"/>
  <c r="S112" i="5"/>
  <c r="S140" i="5"/>
  <c r="S205" i="5"/>
  <c r="S12" i="5"/>
  <c r="S73" i="5"/>
  <c r="S141" i="5"/>
  <c r="S230" i="5"/>
  <c r="R230" i="5" s="1"/>
  <c r="S82" i="5"/>
  <c r="S177" i="5"/>
  <c r="S26" i="5"/>
  <c r="S21" i="5"/>
  <c r="S123" i="5"/>
  <c r="S169" i="5"/>
  <c r="S29" i="5"/>
  <c r="R30" i="5" s="1"/>
  <c r="S43" i="5"/>
  <c r="S118" i="5"/>
  <c r="S203" i="5"/>
  <c r="S131" i="5"/>
  <c r="S65" i="5"/>
  <c r="S130" i="5"/>
  <c r="S208" i="5"/>
  <c r="R208" i="5" s="1"/>
  <c r="S145" i="5"/>
  <c r="R145" i="5" s="1"/>
  <c r="S44" i="5"/>
  <c r="S115" i="5"/>
  <c r="S204" i="5"/>
  <c r="S220" i="5"/>
  <c r="S36" i="5"/>
  <c r="S77" i="5"/>
  <c r="S172" i="5"/>
  <c r="S242" i="5"/>
  <c r="S98" i="5"/>
  <c r="R99" i="5" s="1"/>
  <c r="S196" i="5"/>
  <c r="R196" i="5" s="1"/>
  <c r="S66" i="5"/>
  <c r="S18" i="5"/>
  <c r="S128" i="5"/>
  <c r="R128" i="5" s="1"/>
  <c r="S178" i="5"/>
  <c r="S85" i="5"/>
  <c r="S49" i="5"/>
  <c r="S129" i="5"/>
  <c r="S212" i="5"/>
  <c r="S9" i="5"/>
  <c r="S69" i="5"/>
  <c r="S134" i="5"/>
  <c r="S210" i="5"/>
  <c r="S54" i="5"/>
  <c r="S125" i="5"/>
  <c r="S209" i="5"/>
  <c r="R94" i="5"/>
  <c r="S64" i="5"/>
  <c r="R64" i="5" s="1"/>
  <c r="S176" i="5"/>
  <c r="S243" i="5"/>
  <c r="S225" i="5"/>
  <c r="R225" i="5" s="1"/>
  <c r="S86" i="5"/>
  <c r="S181" i="5"/>
  <c r="R181" i="5" s="1"/>
  <c r="S214" i="5"/>
  <c r="S102" i="5"/>
  <c r="R102" i="5" s="1"/>
  <c r="S202" i="5"/>
  <c r="R202" i="5" s="1"/>
  <c r="S106" i="5"/>
  <c r="S22" i="5"/>
  <c r="S133" i="5"/>
  <c r="S182" i="5"/>
  <c r="R183" i="5" s="1"/>
  <c r="S171" i="5"/>
  <c r="S53" i="5"/>
  <c r="S154" i="5"/>
  <c r="S227" i="5"/>
  <c r="S13" i="5"/>
  <c r="R14" i="5" s="1"/>
  <c r="S75" i="5"/>
  <c r="S148" i="5"/>
  <c r="R148" i="5" s="1"/>
  <c r="S223" i="5"/>
  <c r="R223" i="5" s="1"/>
  <c r="S51" i="5"/>
  <c r="S60" i="5"/>
  <c r="R60" i="5" s="1"/>
  <c r="S139" i="5"/>
  <c r="S219" i="5"/>
  <c r="S31" i="5"/>
  <c r="R31" i="5" s="1"/>
  <c r="S232" i="5"/>
  <c r="S247" i="5"/>
  <c r="R247" i="5" s="1"/>
  <c r="S96" i="5"/>
  <c r="S167" i="5"/>
  <c r="S250" i="5"/>
  <c r="S160" i="5"/>
  <c r="S35" i="5"/>
  <c r="S162" i="5"/>
  <c r="S235" i="5"/>
  <c r="S45" i="5"/>
  <c r="R46" i="5" s="1"/>
  <c r="S91" i="5"/>
  <c r="S186" i="5"/>
  <c r="R186" i="5" s="1"/>
  <c r="S27" i="5"/>
  <c r="S117" i="5"/>
  <c r="S206" i="5"/>
  <c r="R207" i="5" s="1"/>
  <c r="S121" i="5"/>
  <c r="S62" i="5"/>
  <c r="S138" i="5"/>
  <c r="S197" i="5"/>
  <c r="S41" i="5"/>
  <c r="S74" i="5"/>
  <c r="S158" i="5"/>
  <c r="S233" i="5"/>
  <c r="S28" i="5"/>
  <c r="S84" i="5"/>
  <c r="R84" i="5" s="1"/>
  <c r="S164" i="5"/>
  <c r="S234" i="5"/>
  <c r="S146" i="5"/>
  <c r="S70" i="5"/>
  <c r="R71" i="5" s="1"/>
  <c r="S149" i="5"/>
  <c r="S228" i="5"/>
  <c r="R228" i="5" s="1"/>
  <c r="R57" i="5"/>
  <c r="S32" i="5"/>
  <c r="S24" i="5"/>
  <c r="S156" i="5"/>
  <c r="S42" i="5"/>
  <c r="S135" i="5"/>
  <c r="S215" i="5"/>
  <c r="R216" i="5" s="1"/>
  <c r="S72" i="5"/>
  <c r="S168" i="5"/>
  <c r="S240" i="5"/>
  <c r="S136" i="5"/>
  <c r="R137" i="5" s="1"/>
  <c r="S23" i="5"/>
  <c r="S189" i="5"/>
  <c r="S166" i="5"/>
  <c r="R166" i="5" s="1"/>
  <c r="S241" i="5"/>
  <c r="S52" i="5"/>
  <c r="S97" i="5"/>
  <c r="S190" i="5"/>
  <c r="S33" i="5"/>
  <c r="S132" i="5"/>
  <c r="S211" i="5"/>
  <c r="S8" i="5"/>
  <c r="R8" i="5" s="1"/>
  <c r="S68" i="5"/>
  <c r="S142" i="5"/>
  <c r="S218" i="5"/>
  <c r="R218" i="5" s="1"/>
  <c r="S81" i="5"/>
  <c r="R81" i="5" s="1"/>
  <c r="S79" i="5"/>
  <c r="R80" i="5" s="1"/>
  <c r="S170" i="5"/>
  <c r="S55" i="5"/>
  <c r="R55" i="5" s="1"/>
  <c r="S19" i="5"/>
  <c r="S89" i="5"/>
  <c r="S179" i="5"/>
  <c r="R180" i="5" s="1"/>
  <c r="S238" i="5"/>
  <c r="S10" i="5"/>
  <c r="S90" i="5"/>
  <c r="S155" i="5"/>
  <c r="S245" i="5"/>
  <c r="R245" i="5" s="1"/>
  <c r="Q80" i="1"/>
  <c r="Q93" i="1" a="1"/>
  <c r="Q93" i="1" s="1"/>
  <c r="Q94" i="1" s="1"/>
  <c r="Q106" i="1"/>
  <c r="Q119" i="1" a="1"/>
  <c r="Q119" i="1" s="1"/>
  <c r="R214" i="5" l="1"/>
  <c r="R184" i="5"/>
  <c r="R86" i="5"/>
  <c r="R62" i="5"/>
  <c r="R18" i="5"/>
  <c r="R104" i="5"/>
  <c r="R204" i="5"/>
  <c r="R112" i="5"/>
  <c r="R162" i="5"/>
  <c r="R121" i="5"/>
  <c r="R92" i="5"/>
  <c r="R59" i="5"/>
  <c r="R87" i="5"/>
  <c r="R107" i="5"/>
  <c r="R177" i="5"/>
  <c r="R53" i="5"/>
  <c r="R203" i="5"/>
  <c r="R97" i="5"/>
  <c r="R168" i="5"/>
  <c r="R232" i="5"/>
  <c r="R35" i="5"/>
  <c r="R160" i="5"/>
  <c r="R108" i="5"/>
  <c r="R41" i="5"/>
  <c r="R113" i="5"/>
  <c r="R122" i="5"/>
  <c r="R50" i="5"/>
  <c r="R190" i="5"/>
  <c r="R32" i="5"/>
  <c r="R154" i="5"/>
  <c r="R69" i="5"/>
  <c r="R220" i="5"/>
  <c r="R200" i="5"/>
  <c r="R157" i="5"/>
  <c r="R238" i="5"/>
  <c r="R164" i="5"/>
  <c r="R21" i="5"/>
  <c r="R88" i="5"/>
  <c r="R115" i="5"/>
  <c r="R142" i="5"/>
  <c r="R235" i="5"/>
  <c r="R56" i="5"/>
  <c r="R212" i="5"/>
  <c r="R173" i="5"/>
  <c r="R48" i="5"/>
  <c r="R248" i="5"/>
  <c r="R10" i="5"/>
  <c r="R51" i="5"/>
  <c r="R206" i="5"/>
  <c r="R158" i="5"/>
  <c r="R74" i="5"/>
  <c r="R250" i="5"/>
  <c r="R22" i="5"/>
  <c r="R243" i="5"/>
  <c r="R124" i="5"/>
  <c r="R171" i="5"/>
  <c r="R131" i="5"/>
  <c r="R52" i="5"/>
  <c r="R133" i="5"/>
  <c r="R118" i="5"/>
  <c r="R188" i="5"/>
  <c r="R105" i="5"/>
  <c r="R165" i="5"/>
  <c r="R13" i="5"/>
  <c r="R106" i="5"/>
  <c r="R176" i="5"/>
  <c r="R178" i="5"/>
  <c r="R77" i="5"/>
  <c r="R144" i="5"/>
  <c r="R199" i="5"/>
  <c r="R201" i="5"/>
  <c r="R72" i="5"/>
  <c r="R189" i="5"/>
  <c r="R134" i="5"/>
  <c r="R36" i="5"/>
  <c r="R151" i="5"/>
  <c r="R194" i="5"/>
  <c r="R153" i="5"/>
  <c r="R241" i="5"/>
  <c r="R240" i="5"/>
  <c r="R119" i="5"/>
  <c r="R90" i="5"/>
  <c r="R89" i="5"/>
  <c r="R215" i="5"/>
  <c r="R150" i="5"/>
  <c r="R149" i="5"/>
  <c r="R117" i="5"/>
  <c r="R182" i="5"/>
  <c r="R246" i="5"/>
  <c r="R9" i="5"/>
  <c r="R67" i="5"/>
  <c r="R66" i="5"/>
  <c r="R45" i="5"/>
  <c r="R44" i="5"/>
  <c r="R40" i="5"/>
  <c r="R161" i="5"/>
  <c r="R213" i="5"/>
  <c r="R233" i="5"/>
  <c r="R116" i="5"/>
  <c r="R19" i="5"/>
  <c r="R70" i="5"/>
  <c r="R29" i="5"/>
  <c r="R141" i="5"/>
  <c r="R109" i="5"/>
  <c r="R114" i="5"/>
  <c r="R78" i="5"/>
  <c r="R159" i="5"/>
  <c r="R187" i="5"/>
  <c r="R231" i="5"/>
  <c r="R110" i="5"/>
  <c r="R12" i="5"/>
  <c r="R11" i="5"/>
  <c r="R130" i="5"/>
  <c r="R129" i="5"/>
  <c r="R224" i="5"/>
  <c r="R37" i="5"/>
  <c r="R226" i="5"/>
  <c r="R103" i="5"/>
  <c r="R93" i="5"/>
  <c r="R179" i="5"/>
  <c r="R83" i="5"/>
  <c r="R82" i="5"/>
  <c r="R211" i="5"/>
  <c r="R146" i="5"/>
  <c r="R167" i="5"/>
  <c r="R98" i="5"/>
  <c r="R73" i="5"/>
  <c r="R170" i="5"/>
  <c r="R132" i="5"/>
  <c r="R23" i="5"/>
  <c r="R156" i="5"/>
  <c r="R147" i="5"/>
  <c r="R234" i="5"/>
  <c r="R197" i="5"/>
  <c r="R91" i="5"/>
  <c r="R96" i="5"/>
  <c r="R229" i="5"/>
  <c r="R126" i="5"/>
  <c r="R125" i="5"/>
  <c r="R49" i="5"/>
  <c r="R242" i="5"/>
  <c r="R244" i="5"/>
  <c r="R123" i="5"/>
  <c r="R143" i="5"/>
  <c r="R76" i="5"/>
  <c r="R26" i="5"/>
  <c r="R25" i="5"/>
  <c r="R140" i="5"/>
  <c r="R195" i="5"/>
  <c r="R236" i="5"/>
  <c r="R136" i="5"/>
  <c r="R135" i="5"/>
  <c r="R28" i="5"/>
  <c r="R27" i="5"/>
  <c r="R191" i="5"/>
  <c r="R43" i="5"/>
  <c r="R42" i="5"/>
  <c r="R75" i="5"/>
  <c r="R210" i="5"/>
  <c r="R209" i="5"/>
  <c r="R169" i="5"/>
  <c r="R155" i="5"/>
  <c r="R79" i="5"/>
  <c r="R34" i="5"/>
  <c r="R33" i="5"/>
  <c r="R24" i="5"/>
  <c r="R139" i="5"/>
  <c r="R138" i="5"/>
  <c r="R219" i="5"/>
  <c r="R227" i="5"/>
  <c r="R54" i="5"/>
  <c r="R85" i="5"/>
  <c r="R172" i="5"/>
  <c r="R63" i="5"/>
  <c r="R65" i="5"/>
  <c r="R205" i="5"/>
  <c r="R61" i="5"/>
  <c r="R198" i="5"/>
  <c r="R163" i="5"/>
  <c r="R68" i="5"/>
  <c r="R239" i="5"/>
  <c r="R20" i="5"/>
  <c r="R237" i="5"/>
  <c r="R221" i="5"/>
  <c r="S79" i="1"/>
  <c r="Q95" i="1"/>
  <c r="F5" i="1"/>
  <c r="F8" i="1"/>
  <c r="F6" i="1"/>
  <c r="D2" i="5" l="1"/>
</calcChain>
</file>

<file path=xl/sharedStrings.xml><?xml version="1.0" encoding="utf-8"?>
<sst xmlns="http://schemas.openxmlformats.org/spreadsheetml/2006/main" count="847" uniqueCount="283">
  <si>
    <t>Cross Chasm</t>
  </si>
  <si>
    <t>Investment</t>
  </si>
  <si>
    <t>dec</t>
  </si>
  <si>
    <t>No</t>
  </si>
  <si>
    <t>Early Stage</t>
  </si>
  <si>
    <t>Niche Only</t>
  </si>
  <si>
    <t>Mass Mkt</t>
  </si>
  <si>
    <t>TAM</t>
    <phoneticPr fontId="0" type="noConversion"/>
  </si>
  <si>
    <t>Description</t>
  </si>
  <si>
    <t>Value</t>
  </si>
  <si>
    <t>Unit</t>
  </si>
  <si>
    <t>Name</t>
  </si>
  <si>
    <t>Current</t>
  </si>
  <si>
    <t>Index</t>
  </si>
  <si>
    <t>Low</t>
  </si>
  <si>
    <t>Base</t>
  </si>
  <si>
    <t>High</t>
  </si>
  <si>
    <t>Calculations</t>
  </si>
  <si>
    <t>$mm</t>
  </si>
  <si>
    <t>%</t>
  </si>
  <si>
    <t>skip</t>
  </si>
  <si>
    <t>PreMoneyValue</t>
  </si>
  <si>
    <t>InitialRoundSize</t>
  </si>
  <si>
    <t>v1</t>
    <phoneticPr fontId="0" type="noConversion"/>
  </si>
  <si>
    <t>CrossChasm</t>
  </si>
  <si>
    <t>Dilution</t>
  </si>
  <si>
    <t>Chance of Commercial Success</t>
  </si>
  <si>
    <t>Exit Valuation</t>
  </si>
  <si>
    <t>Input Table</t>
  </si>
  <si>
    <t>Ownership %</t>
  </si>
  <si>
    <t>Initial Investment</t>
  </si>
  <si>
    <t>Initial round size</t>
  </si>
  <si>
    <t>Post-money valuation</t>
  </si>
  <si>
    <t>Initial Ownership</t>
  </si>
  <si>
    <t>Override</t>
  </si>
  <si>
    <t>Source / Notes</t>
  </si>
  <si>
    <t>Financing Terms</t>
  </si>
  <si>
    <t>Pre-money valuation</t>
  </si>
  <si>
    <t>Additional dilution</t>
  </si>
  <si>
    <t>Ownership at exit</t>
  </si>
  <si>
    <t>EarlySuccess</t>
  </si>
  <si>
    <t>MainstreamSuccess</t>
  </si>
  <si>
    <t>Output Table</t>
  </si>
  <si>
    <t>King</t>
  </si>
  <si>
    <t>Prince</t>
  </si>
  <si>
    <t>Niche Size</t>
    <phoneticPr fontId="0" type="noConversion"/>
  </si>
  <si>
    <t>$M</t>
    <phoneticPr fontId="0" type="noConversion"/>
  </si>
  <si>
    <t>Niche Dilution</t>
  </si>
  <si>
    <t>NicheDilution</t>
  </si>
  <si>
    <t>Niche Ownership at Exit</t>
  </si>
  <si>
    <t>NicheMultDisc</t>
    <phoneticPr fontId="0" type="noConversion"/>
  </si>
  <si>
    <t>Serf</t>
  </si>
  <si>
    <t>PW</t>
  </si>
  <si>
    <t>Niche Exit Mult Disc</t>
  </si>
  <si>
    <t>No cross</t>
  </si>
  <si>
    <t>Revenue</t>
  </si>
  <si>
    <t>Prob</t>
  </si>
  <si>
    <t>Exit</t>
  </si>
  <si>
    <t>dec</t>
    <phoneticPr fontId="0" type="noConversion"/>
  </si>
  <si>
    <t>Exit Multiple (Sales)</t>
  </si>
  <si>
    <t>SalesMult</t>
  </si>
  <si>
    <t>Initial Assessments</t>
  </si>
  <si>
    <t>Market</t>
  </si>
  <si>
    <t>Product</t>
  </si>
  <si>
    <t>Team</t>
  </si>
  <si>
    <t>Financial</t>
  </si>
  <si>
    <t>LifeStage Success Probabilities</t>
  </si>
  <si>
    <t>Total</t>
  </si>
  <si>
    <t>Mass Market</t>
  </si>
  <si>
    <t>King / Gorrilla Chance</t>
  </si>
  <si>
    <t>KingChance</t>
  </si>
  <si>
    <t>Prince / Monkey Chance</t>
  </si>
  <si>
    <t>PrinceChance</t>
  </si>
  <si>
    <t>Market Share</t>
  </si>
  <si>
    <t>King Market Share</t>
  </si>
  <si>
    <t>KingMktShare</t>
  </si>
  <si>
    <t>Prince Market Share</t>
  </si>
  <si>
    <t>PrinceMktShare</t>
  </si>
  <si>
    <t>Serf Market Share</t>
  </si>
  <si>
    <t>SerfMktShare</t>
  </si>
  <si>
    <t>MOIC</t>
  </si>
  <si>
    <t>Invesment Amount</t>
  </si>
  <si>
    <t>Pre-money Valuation</t>
  </si>
  <si>
    <t>Investment size</t>
  </si>
  <si>
    <t>$m/yr</t>
  </si>
  <si>
    <t>Total TAM</t>
  </si>
  <si>
    <t>$</t>
  </si>
  <si>
    <t>$m</t>
  </si>
  <si>
    <t>Only able to launch initial system. Limited by capacity.</t>
  </si>
  <si>
    <t>Values as of EOY 2024</t>
  </si>
  <si>
    <t>Total Market</t>
  </si>
  <si>
    <t>SweetspotTAM</t>
  </si>
  <si>
    <t>TotalTAM</t>
  </si>
  <si>
    <t>NicheSize</t>
  </si>
  <si>
    <t>Niche Market Share</t>
  </si>
  <si>
    <t>NicheMarketShare</t>
  </si>
  <si>
    <t>Niche Size - of sweetspot TAM</t>
  </si>
  <si>
    <t>m</t>
  </si>
  <si>
    <t>International TAM</t>
  </si>
  <si>
    <t>Standard seed</t>
  </si>
  <si>
    <t>20 major players, 1 King</t>
  </si>
  <si>
    <t>4 princes</t>
  </si>
  <si>
    <t>1 king = 20%</t>
  </si>
  <si>
    <t>4 princes * 10% = 40%</t>
  </si>
  <si>
    <t>15 serfs * 2% = 30%</t>
  </si>
  <si>
    <t>lower than average due to size of mkt</t>
  </si>
  <si>
    <t>50% sw @5x, 50% insurance @2x</t>
  </si>
  <si>
    <t>Check insurance multiples</t>
  </si>
  <si>
    <t>Target Market TAM</t>
  </si>
  <si>
    <t>Target Market</t>
  </si>
  <si>
    <t>Target Mkt: PWMOIC</t>
  </si>
  <si>
    <t>Total Mkt: PWMOIC</t>
  </si>
  <si>
    <t>Total Market TAM</t>
  </si>
  <si>
    <t>P(Mkt Success)</t>
  </si>
  <si>
    <t>PWMOIC|Mkt Success</t>
  </si>
  <si>
    <t>Mean</t>
  </si>
  <si>
    <t>INPUT</t>
  </si>
  <si>
    <t>VALUE</t>
  </si>
  <si>
    <t>Factor</t>
  </si>
  <si>
    <t>Units</t>
  </si>
  <si>
    <t>Med</t>
  </si>
  <si>
    <t>Swing</t>
  </si>
  <si>
    <t>Swing^2</t>
  </si>
  <si>
    <t>Ten</t>
  </si>
  <si>
    <t>Fifty</t>
  </si>
  <si>
    <t>Ninety</t>
  </si>
  <si>
    <t>Combined Uncertainty</t>
  </si>
  <si>
    <t>Probability</t>
  </si>
  <si>
    <t>Cume Probability</t>
  </si>
  <si>
    <t>DISTRIBUTION</t>
  </si>
  <si>
    <t>Outputs</t>
  </si>
  <si>
    <t>Output 5</t>
  </si>
  <si>
    <t>Output 6</t>
  </si>
  <si>
    <t>Output 7</t>
  </si>
  <si>
    <t>Output 8</t>
  </si>
  <si>
    <t>Output 9</t>
  </si>
  <si>
    <t>Output 10</t>
  </si>
  <si>
    <t>Select Output</t>
  </si>
  <si>
    <t>Combined Unc</t>
  </si>
  <si>
    <t>Output: Target Mkt: PWMOIC</t>
  </si>
  <si>
    <t>Output: Total Mkt: PWMOIC</t>
  </si>
  <si>
    <t>Output: Total Market TAM</t>
  </si>
  <si>
    <t>Range Name</t>
  </si>
  <si>
    <t>Big Enterprises</t>
  </si>
  <si>
    <t xml:space="preserve"># of companies - Big US </t>
  </si>
  <si>
    <t xml:space="preserve"># of new hires/year - Big US </t>
  </si>
  <si>
    <t xml:space="preserve">Avg # of applications/hire - Big US </t>
  </si>
  <si>
    <t xml:space="preserve">Ethical Code Gen Fee/app - Big US </t>
  </si>
  <si>
    <t xml:space="preserve">Addressable Fraction - Big US </t>
  </si>
  <si>
    <t>number</t>
  </si>
  <si>
    <t>dollars</t>
  </si>
  <si>
    <t>fraction</t>
  </si>
  <si>
    <t>Medium-sized Enterprises</t>
  </si>
  <si>
    <t>Small Companies</t>
  </si>
  <si>
    <t>International Multiplier</t>
  </si>
  <si>
    <t>multiple</t>
  </si>
  <si>
    <t>big_number</t>
  </si>
  <si>
    <t>big_hires</t>
  </si>
  <si>
    <t>big_apps</t>
  </si>
  <si>
    <t>big_fee</t>
  </si>
  <si>
    <t>big_fraction</t>
  </si>
  <si>
    <t>medium_number</t>
  </si>
  <si>
    <t>medium_hires</t>
  </si>
  <si>
    <t>medium_apps</t>
  </si>
  <si>
    <t>medium_fee</t>
  </si>
  <si>
    <t>medium_fraction</t>
  </si>
  <si>
    <t>small_number</t>
  </si>
  <si>
    <t>small_hires</t>
  </si>
  <si>
    <t>small_apps</t>
  </si>
  <si>
    <t>small_fee</t>
  </si>
  <si>
    <t>small_fraction</t>
  </si>
  <si>
    <t>international_multiplier</t>
  </si>
  <si>
    <t>Large Enterprises</t>
  </si>
  <si>
    <t># of companies</t>
  </si>
  <si>
    <t>Fraction Addressable</t>
  </si>
  <si>
    <t>Addressable companies</t>
  </si>
  <si>
    <t># of hires / year</t>
  </si>
  <si>
    <t>hires</t>
  </si>
  <si>
    <t>Total hires / year</t>
  </si>
  <si>
    <t># of applications / hire</t>
  </si>
  <si>
    <t>apps</t>
  </si>
  <si>
    <t>Total applications / year</t>
  </si>
  <si>
    <t>Ethical Code Gen Fee / application</t>
  </si>
  <si>
    <t>$M</t>
  </si>
  <si>
    <t>Total US TAM</t>
  </si>
  <si>
    <t>multiplier</t>
  </si>
  <si>
    <t>Honest Joe</t>
  </si>
  <si>
    <t>Truthy: Series Seed</t>
  </si>
  <si>
    <t>Paying customers who really use the product</t>
  </si>
  <si>
    <t>Clear compelling reasons to buy, but probably not a proven value proposition.</t>
  </si>
  <si>
    <t>Typically these are visionary customers who are willing to take risks, be contrarian, avoid the heard, make intuitive decisions, and seek revolutionary advances.</t>
  </si>
  <si>
    <t>Our thinking on Truthy</t>
  </si>
  <si>
    <t>Already have paying customers</t>
  </si>
  <si>
    <t>Working product</t>
  </si>
  <si>
    <t>Technical capabilities to build the product</t>
  </si>
  <si>
    <t>Already have basic working product</t>
  </si>
  <si>
    <t>Savvy enough to find early adopter customers and make initial sales</t>
  </si>
  <si>
    <t>Able to identify and hire additional needed talent</t>
  </si>
  <si>
    <t>Able to manage at the level of a large project</t>
  </si>
  <si>
    <t>Disciplined / tenacious in execution</t>
  </si>
  <si>
    <t>Great team</t>
  </si>
  <si>
    <t>Do not run out of money</t>
  </si>
  <si>
    <t>Plausible business model</t>
  </si>
  <si>
    <t>Have completed this stage</t>
  </si>
  <si>
    <t xml:space="preserve">Critical mass in niche (focused on Software companies initially) </t>
  </si>
  <si>
    <t>Sold to mainstream customers</t>
  </si>
  <si>
    <t xml:space="preserve">Develop the Whole Product, which includes whatever customers need in order to achieve their compelling reason to buy. </t>
  </si>
  <si>
    <t>The whole product varies meaningfully by customer segment. Only the whole product for the mass market niche used to cross the chasm is required.</t>
  </si>
  <si>
    <t>Product scales without breaking.</t>
  </si>
  <si>
    <t>Able to fill key senior positions with high quality people</t>
  </si>
  <si>
    <t>Founders willing to take directions from people with more experience</t>
  </si>
  <si>
    <t>Healthy company culture</t>
  </si>
  <si>
    <t>Strong gross margins - the core unit economics in the business are proven</t>
  </si>
  <si>
    <t>Able to raise sufficient capital to cross chasm - most likely both a Series A &amp; Series B</t>
  </si>
  <si>
    <t>Able to transition from one niche to multiple niches</t>
  </si>
  <si>
    <t>Marquee customers required to make transition</t>
  </si>
  <si>
    <t>ARR &gt; $50m</t>
  </si>
  <si>
    <t>Able to scale to 1000s of customers and maintain high levels of customer service</t>
  </si>
  <si>
    <t>Able to continue to innovate and stay ahead of the competition</t>
  </si>
  <si>
    <t xml:space="preserve">Able to manage a large team </t>
  </si>
  <si>
    <t>Or, bring on people who can manage a large team</t>
  </si>
  <si>
    <t>Strong board</t>
  </si>
  <si>
    <t>No blow ups</t>
  </si>
  <si>
    <t>Able to raise adequate growth capital</t>
  </si>
  <si>
    <t>Profitability</t>
  </si>
  <si>
    <t xml:space="preserve">    ARR &gt;= $20M </t>
  </si>
  <si>
    <t>Gone from early adopter customers to mainstream customers</t>
  </si>
  <si>
    <t>Timely topic</t>
  </si>
  <si>
    <t>Really easy to identify companies feeling the pain based on public scandals on ethics</t>
  </si>
  <si>
    <t>Proof Points</t>
  </si>
  <si>
    <t>There is a question on how effective this product will be in the wild. It is a difficult product to build and achieve at scale.</t>
  </si>
  <si>
    <t>Founding team has substantial management experience</t>
  </si>
  <si>
    <t>Companies that overemphasize idealism can sometimes overlook burnout as tolerance for individual pain is very high to make an inspiring mission succeed</t>
  </si>
  <si>
    <t>Really compelling story, compelling entrepreneurs, gone through a platinum accelerator program</t>
  </si>
  <si>
    <t>Can raise money easily, everyone gets inspired by this goal</t>
  </si>
  <si>
    <t>Truthy may face regulatory challenges once this really takes off as a hiring practice</t>
  </si>
  <si>
    <t>This is a hot area with potential regulatory changes that might have significant product implications</t>
  </si>
  <si>
    <t>But, the biggest risk factors seem to have been figured out in crossing the chasm</t>
  </si>
  <si>
    <t>The founders are more mature than the average with strong relevant experience for a growth company</t>
  </si>
  <si>
    <t>Strong mission can be great for motivation, but can also attract people with strong, differing points of view which make alignment challenging</t>
  </si>
  <si>
    <t>If market, product and team success has been achieved, this is such a big idea that the team shouldn't have any trouble raising funds</t>
  </si>
  <si>
    <t xml:space="preserve">PWMOIC given cross chasm success --&gt; </t>
  </si>
  <si>
    <t>Target Mkt: PWMOIC given Cross Chasm Success</t>
  </si>
  <si>
    <t>Output: Target Mkt: PWMOIC given Cross Chasm Success</t>
  </si>
  <si>
    <t xml:space="preserve"># of companies - Med US </t>
  </si>
  <si>
    <t xml:space="preserve"># of new hires/year - Med US </t>
  </si>
  <si>
    <t xml:space="preserve">Avg # of applications/hire - Med US </t>
  </si>
  <si>
    <t xml:space="preserve">Ethical Code Gen Fee/app - Med US </t>
  </si>
  <si>
    <t xml:space="preserve">Addressable Fraction - Med US </t>
  </si>
  <si>
    <t xml:space="preserve"># of companies - Small US </t>
  </si>
  <si>
    <t xml:space="preserve"># of new hires/year - Small US </t>
  </si>
  <si>
    <t xml:space="preserve">Avg # of applications/hire - Small US </t>
  </si>
  <si>
    <t xml:space="preserve">Ethical Code Gen Fee/app - Small US </t>
  </si>
  <si>
    <t xml:space="preserve">Addressable Fraction - Small US </t>
  </si>
  <si>
    <t>Mean PWMOIC</t>
  </si>
  <si>
    <t>Adjusted Cume</t>
  </si>
  <si>
    <t>PWMOIC given market success --&gt;</t>
  </si>
  <si>
    <t>Probability of Cross Chasm Success --&gt;</t>
  </si>
  <si>
    <t>Probability of Mass Market Success --&gt;</t>
  </si>
  <si>
    <t>Probability of failing to cross the chasm --&gt;</t>
  </si>
  <si>
    <t>Probability of failing at early stage --&gt;</t>
  </si>
  <si>
    <t>Segment</t>
  </si>
  <si>
    <t>Annual Revenue</t>
  </si>
  <si>
    <t>In Sweet Spot</t>
  </si>
  <si>
    <t>International</t>
  </si>
  <si>
    <t>Sweet Spot TAM</t>
  </si>
  <si>
    <t>Cume Cost of Crossing Chasm</t>
  </si>
  <si>
    <t>Probability of failing to cross chasm</t>
  </si>
  <si>
    <t>Cume Cost of Early Stage Failure</t>
  </si>
  <si>
    <t>Probability of failing at early stage</t>
  </si>
  <si>
    <t>Misc</t>
  </si>
  <si>
    <t>Projected Year</t>
  </si>
  <si>
    <t>year</t>
  </si>
  <si>
    <t>Sweet Spot</t>
  </si>
  <si>
    <t>0/1</t>
  </si>
  <si>
    <t>projectedYear</t>
  </si>
  <si>
    <t>sweetSpot_Intl</t>
  </si>
  <si>
    <t>Large Companies</t>
  </si>
  <si>
    <t>Medium-sized Companies</t>
  </si>
  <si>
    <t>sweetSpot_Large</t>
  </si>
  <si>
    <t>sweetSpot_Med</t>
  </si>
  <si>
    <t>sweetSpot_Small</t>
  </si>
  <si>
    <t>Medium-Sized Companies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</si>
</sst>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$&quot;#,##0_);[Red]\(&quot;$&quot;#,##0\)"/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  <numFmt numFmtId="166" formatCode="0.0"/>
    <numFmt numFmtId="167" formatCode="0.0%"/>
    <numFmt numFmtId="168" formatCode="&quot;$&quot;#,##0"/>
  </numFmts>
  <fonts count="43" x14ac:knownFonts="1">
    <font>
      <sz val="10"/>
      <name val="Geneva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Geneva"/>
      <family val="2"/>
    </font>
    <font>
      <i/>
      <sz val="10"/>
      <name val="Geneva"/>
      <family val="2"/>
    </font>
    <font>
      <sz val="10"/>
      <name val="Geneva"/>
      <family val="2"/>
    </font>
    <font>
      <b/>
      <sz val="12"/>
      <name val="Geneva"/>
      <family val="2"/>
    </font>
    <font>
      <sz val="12"/>
      <name val="Geneva"/>
      <family val="2"/>
    </font>
    <font>
      <b/>
      <u/>
      <sz val="10"/>
      <name val="Geneva"/>
      <family val="2"/>
    </font>
    <font>
      <b/>
      <u/>
      <sz val="12"/>
      <name val="Geneva"/>
      <family val="2"/>
    </font>
    <font>
      <u/>
      <sz val="12"/>
      <name val="Geneva"/>
      <family val="2"/>
    </font>
    <font>
      <u/>
      <sz val="10"/>
      <name val="Arial"/>
      <family val="2"/>
    </font>
    <font>
      <sz val="10"/>
      <name val="Geneva"/>
      <family val="2"/>
    </font>
    <font>
      <u/>
      <sz val="10"/>
      <name val="Genev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10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10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8"/>
      <name val="Helvetica"/>
      <family val="2"/>
    </font>
    <font>
      <u/>
      <sz val="10"/>
      <color theme="10"/>
      <name val="Geneva"/>
      <family val="2"/>
    </font>
    <font>
      <u/>
      <sz val="10"/>
      <color theme="11"/>
      <name val="Geneva"/>
      <family val="2"/>
    </font>
    <font>
      <sz val="11"/>
      <color rgb="FF000000"/>
      <name val="Arial"/>
      <family val="2"/>
    </font>
    <font>
      <sz val="11"/>
      <color indexed="8"/>
      <name val="Calibri"/>
      <family val="2"/>
      <scheme val="minor"/>
    </font>
    <font>
      <sz val="14"/>
      <name val="Geneva"/>
      <family val="2"/>
    </font>
    <font>
      <b/>
      <i/>
      <sz val="10"/>
      <name val="Geneva"/>
      <family val="2"/>
    </font>
    <font>
      <b/>
      <sz val="20"/>
      <color rgb="FF000000"/>
      <name val="Apple Chancery"/>
      <family val="4"/>
    </font>
    <font>
      <sz val="16"/>
      <color rgb="FF000000"/>
      <name val="Apple Chancery"/>
      <family val="4"/>
    </font>
    <font>
      <sz val="10.5"/>
      <color rgb="FF333333"/>
      <name val="Arial"/>
      <family val="2"/>
    </font>
    <font>
      <i/>
      <sz val="11"/>
      <color rgb="FF000000"/>
      <name val="Arial"/>
      <family val="2"/>
    </font>
    <font>
      <b/>
      <sz val="14"/>
      <name val="Geneva"/>
      <family val="2"/>
    </font>
  </fonts>
  <fills count="23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rgb="FF00FFFF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FF"/>
        <bgColor rgb="FF000000"/>
      </patternFill>
    </fill>
  </fills>
  <borders count="51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212">
    <xf numFmtId="0" fontId="0" fillId="0" borderId="0"/>
    <xf numFmtId="0" fontId="14" fillId="3" borderId="0" applyNumberFormat="0" applyBorder="0" applyAlignment="0" applyProtection="0"/>
    <xf numFmtId="0" fontId="14" fillId="4" borderId="0" applyNumberFormat="0" applyBorder="0" applyAlignment="0" applyProtection="0"/>
    <xf numFmtId="0" fontId="14" fillId="5" borderId="0" applyNumberFormat="0" applyBorder="0" applyAlignment="0" applyProtection="0"/>
    <xf numFmtId="0" fontId="14" fillId="6" borderId="0" applyNumberFormat="0" applyBorder="0" applyAlignment="0" applyProtection="0"/>
    <xf numFmtId="0" fontId="14" fillId="7" borderId="0" applyNumberFormat="0" applyBorder="0" applyAlignment="0" applyProtection="0"/>
    <xf numFmtId="0" fontId="14" fillId="5" borderId="0" applyNumberFormat="0" applyBorder="0" applyAlignment="0" applyProtection="0"/>
    <xf numFmtId="0" fontId="14" fillId="7" borderId="0" applyNumberFormat="0" applyBorder="0" applyAlignment="0" applyProtection="0"/>
    <xf numFmtId="0" fontId="14" fillId="4" borderId="0" applyNumberFormat="0" applyBorder="0" applyAlignment="0" applyProtection="0"/>
    <xf numFmtId="0" fontId="14" fillId="8" borderId="0" applyNumberFormat="0" applyBorder="0" applyAlignment="0" applyProtection="0"/>
    <xf numFmtId="0" fontId="14" fillId="9" borderId="0" applyNumberFormat="0" applyBorder="0" applyAlignment="0" applyProtection="0"/>
    <xf numFmtId="0" fontId="14" fillId="7" borderId="0" applyNumberFormat="0" applyBorder="0" applyAlignment="0" applyProtection="0"/>
    <xf numFmtId="0" fontId="14" fillId="5" borderId="0" applyNumberFormat="0" applyBorder="0" applyAlignment="0" applyProtection="0"/>
    <xf numFmtId="0" fontId="15" fillId="7" borderId="0" applyNumberFormat="0" applyBorder="0" applyAlignment="0" applyProtection="0"/>
    <xf numFmtId="0" fontId="15" fillId="10" borderId="0" applyNumberFormat="0" applyBorder="0" applyAlignment="0" applyProtection="0"/>
    <xf numFmtId="0" fontId="15" fillId="11" borderId="0" applyNumberFormat="0" applyBorder="0" applyAlignment="0" applyProtection="0"/>
    <xf numFmtId="0" fontId="15" fillId="9" borderId="0" applyNumberFormat="0" applyBorder="0" applyAlignment="0" applyProtection="0"/>
    <xf numFmtId="0" fontId="15" fillId="7" borderId="0" applyNumberFormat="0" applyBorder="0" applyAlignment="0" applyProtection="0"/>
    <xf numFmtId="0" fontId="15" fillId="4" borderId="0" applyNumberFormat="0" applyBorder="0" applyAlignment="0" applyProtection="0"/>
    <xf numFmtId="0" fontId="15" fillId="12" borderId="0" applyNumberFormat="0" applyBorder="0" applyAlignment="0" applyProtection="0"/>
    <xf numFmtId="0" fontId="15" fillId="10" borderId="0" applyNumberFormat="0" applyBorder="0" applyAlignment="0" applyProtection="0"/>
    <xf numFmtId="0" fontId="15" fillId="11" borderId="0" applyNumberFormat="0" applyBorder="0" applyAlignment="0" applyProtection="0"/>
    <xf numFmtId="0" fontId="15" fillId="13" borderId="0" applyNumberFormat="0" applyBorder="0" applyAlignment="0" applyProtection="0"/>
    <xf numFmtId="0" fontId="15" fillId="14" borderId="0" applyNumberFormat="0" applyBorder="0" applyAlignment="0" applyProtection="0"/>
    <xf numFmtId="0" fontId="15" fillId="15" borderId="0" applyNumberFormat="0" applyBorder="0" applyAlignment="0" applyProtection="0"/>
    <xf numFmtId="0" fontId="16" fillId="16" borderId="0" applyNumberFormat="0" applyBorder="0" applyAlignment="0" applyProtection="0"/>
    <xf numFmtId="0" fontId="17" fillId="17" borderId="12" applyNumberFormat="0" applyAlignment="0" applyProtection="0"/>
    <xf numFmtId="0" fontId="18" fillId="18" borderId="13" applyNumberFormat="0" applyAlignment="0" applyProtection="0"/>
    <xf numFmtId="43" fontId="5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7" borderId="0" applyNumberFormat="0" applyBorder="0" applyAlignment="0" applyProtection="0"/>
    <xf numFmtId="0" fontId="21" fillId="0" borderId="14" applyNumberFormat="0" applyFill="0" applyAlignment="0" applyProtection="0"/>
    <xf numFmtId="0" fontId="22" fillId="0" borderId="15" applyNumberFormat="0" applyFill="0" applyAlignment="0" applyProtection="0"/>
    <xf numFmtId="0" fontId="23" fillId="0" borderId="16" applyNumberFormat="0" applyFill="0" applyAlignment="0" applyProtection="0"/>
    <xf numFmtId="0" fontId="23" fillId="0" borderId="0" applyNumberFormat="0" applyFill="0" applyBorder="0" applyAlignment="0" applyProtection="0"/>
    <xf numFmtId="0" fontId="24" fillId="8" borderId="12" applyNumberFormat="0" applyAlignment="0" applyProtection="0"/>
    <xf numFmtId="0" fontId="25" fillId="0" borderId="17" applyNumberFormat="0" applyFill="0" applyAlignment="0" applyProtection="0"/>
    <xf numFmtId="0" fontId="26" fillId="8" borderId="0" applyNumberFormat="0" applyBorder="0" applyAlignment="0" applyProtection="0"/>
    <xf numFmtId="0" fontId="5" fillId="5" borderId="18" applyNumberFormat="0" applyFont="0" applyAlignment="0" applyProtection="0"/>
    <xf numFmtId="0" fontId="27" fillId="17" borderId="19" applyNumberFormat="0" applyAlignment="0" applyProtection="0"/>
    <xf numFmtId="9" fontId="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20" applyNumberFormat="0" applyFill="0" applyAlignment="0" applyProtection="0"/>
    <xf numFmtId="0" fontId="30" fillId="0" borderId="0" applyNumberFormat="0" applyFill="0" applyBorder="0" applyAlignment="0" applyProtection="0"/>
    <xf numFmtId="0" fontId="2" fillId="0" borderId="0"/>
    <xf numFmtId="0" fontId="1" fillId="0" borderId="0"/>
    <xf numFmtId="0" fontId="31" fillId="0" borderId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5" fillId="0" borderId="0"/>
    <xf numFmtId="43" fontId="35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5" fillId="0" borderId="0"/>
  </cellStyleXfs>
  <cellXfs count="352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3" fillId="0" borderId="0" xfId="0" applyFont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/>
    <xf numFmtId="0" fontId="6" fillId="2" borderId="0" xfId="0" applyFont="1" applyFill="1" applyBorder="1"/>
    <xf numFmtId="0" fontId="7" fillId="2" borderId="0" xfId="0" applyFont="1" applyFill="1" applyBorder="1"/>
    <xf numFmtId="0" fontId="7" fillId="2" borderId="0" xfId="0" applyFont="1" applyFill="1" applyBorder="1" applyAlignment="1">
      <alignment horizontal="center"/>
    </xf>
    <xf numFmtId="0" fontId="8" fillId="0" borderId="0" xfId="0" applyFont="1"/>
    <xf numFmtId="0" fontId="0" fillId="0" borderId="3" xfId="0" applyBorder="1"/>
    <xf numFmtId="0" fontId="0" fillId="0" borderId="7" xfId="0" applyBorder="1"/>
    <xf numFmtId="0" fontId="3" fillId="0" borderId="0" xfId="0" applyFont="1" applyAlignment="1">
      <alignment horizontal="center"/>
    </xf>
    <xf numFmtId="0" fontId="4" fillId="0" borderId="0" xfId="0" applyFont="1" applyBorder="1"/>
    <xf numFmtId="0" fontId="9" fillId="0" borderId="0" xfId="0" applyFont="1"/>
    <xf numFmtId="0" fontId="10" fillId="0" borderId="0" xfId="0" applyFont="1"/>
    <xf numFmtId="0" fontId="0" fillId="0" borderId="0" xfId="0" applyFill="1" applyBorder="1"/>
    <xf numFmtId="0" fontId="0" fillId="0" borderId="0" xfId="0" applyBorder="1" applyAlignment="1">
      <alignment horizontal="left"/>
    </xf>
    <xf numFmtId="0" fontId="5" fillId="0" borderId="0" xfId="0" applyFont="1" applyBorder="1" applyAlignment="1">
      <alignment horizontal="center"/>
    </xf>
    <xf numFmtId="165" fontId="0" fillId="0" borderId="0" xfId="28" applyNumberFormat="1" applyFont="1"/>
    <xf numFmtId="3" fontId="0" fillId="0" borderId="0" xfId="0" applyNumberFormat="1" applyFill="1" applyBorder="1" applyAlignment="1">
      <alignment horizontal="right"/>
    </xf>
    <xf numFmtId="0" fontId="11" fillId="0" borderId="0" xfId="0" applyFont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/>
    <xf numFmtId="0" fontId="7" fillId="0" borderId="0" xfId="0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3" xfId="0" applyNumberFormat="1" applyFill="1" applyBorder="1" applyAlignment="1">
      <alignment horizontal="center"/>
    </xf>
    <xf numFmtId="1" fontId="0" fillId="0" borderId="4" xfId="0" applyNumberFormat="1" applyFill="1" applyBorder="1" applyAlignment="1">
      <alignment horizontal="center"/>
    </xf>
    <xf numFmtId="1" fontId="5" fillId="0" borderId="0" xfId="0" applyNumberFormat="1" applyFont="1" applyFill="1" applyBorder="1" applyAlignment="1">
      <alignment horizontal="center"/>
    </xf>
    <xf numFmtId="0" fontId="3" fillId="0" borderId="0" xfId="0" applyFont="1" applyFill="1"/>
    <xf numFmtId="0" fontId="12" fillId="0" borderId="0" xfId="0" applyFont="1"/>
    <xf numFmtId="0" fontId="8" fillId="0" borderId="0" xfId="0" applyFont="1" applyFill="1"/>
    <xf numFmtId="0" fontId="3" fillId="0" borderId="1" xfId="0" applyFont="1" applyFill="1" applyBorder="1"/>
    <xf numFmtId="0" fontId="0" fillId="0" borderId="1" xfId="0" applyFill="1" applyBorder="1"/>
    <xf numFmtId="0" fontId="0" fillId="0" borderId="5" xfId="0" applyFill="1" applyBorder="1"/>
    <xf numFmtId="0" fontId="3" fillId="0" borderId="0" xfId="0" applyFont="1" applyBorder="1"/>
    <xf numFmtId="0" fontId="5" fillId="0" borderId="0" xfId="0" applyFont="1" applyFill="1"/>
    <xf numFmtId="165" fontId="0" fillId="0" borderId="0" xfId="28" applyNumberFormat="1" applyFont="1" applyBorder="1" applyAlignment="1">
      <alignment horizontal="right"/>
    </xf>
    <xf numFmtId="165" fontId="5" fillId="0" borderId="10" xfId="28" applyNumberFormat="1" applyFont="1" applyBorder="1" applyAlignment="1">
      <alignment horizontal="right"/>
    </xf>
    <xf numFmtId="0" fontId="9" fillId="0" borderId="0" xfId="0" applyFont="1" applyFill="1"/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9" fillId="0" borderId="0" xfId="0" applyFont="1" applyFill="1" applyAlignment="1">
      <alignment horizontal="left"/>
    </xf>
    <xf numFmtId="0" fontId="3" fillId="0" borderId="0" xfId="0" applyFont="1" applyFill="1" applyBorder="1"/>
    <xf numFmtId="0" fontId="0" fillId="0" borderId="2" xfId="0" applyFill="1" applyBorder="1"/>
    <xf numFmtId="0" fontId="0" fillId="0" borderId="4" xfId="0" applyFill="1" applyBorder="1"/>
    <xf numFmtId="38" fontId="0" fillId="0" borderId="0" xfId="0" applyNumberFormat="1" applyFill="1" applyBorder="1" applyAlignment="1">
      <alignment horizontal="right"/>
    </xf>
    <xf numFmtId="0" fontId="0" fillId="0" borderId="6" xfId="0" applyFill="1" applyBorder="1"/>
    <xf numFmtId="0" fontId="0" fillId="0" borderId="8" xfId="0" applyFill="1" applyBorder="1"/>
    <xf numFmtId="0" fontId="0" fillId="0" borderId="0" xfId="0" applyFill="1" applyBorder="1" applyAlignment="1">
      <alignment horizontal="right"/>
    </xf>
    <xf numFmtId="0" fontId="6" fillId="0" borderId="0" xfId="0" applyFont="1" applyFill="1"/>
    <xf numFmtId="0" fontId="7" fillId="0" borderId="0" xfId="0" applyFont="1" applyFill="1"/>
    <xf numFmtId="0" fontId="3" fillId="0" borderId="0" xfId="0" applyFont="1" applyFill="1" applyAlignment="1">
      <alignment horizontal="left"/>
    </xf>
    <xf numFmtId="0" fontId="3" fillId="0" borderId="2" xfId="0" applyFont="1" applyFill="1" applyBorder="1"/>
    <xf numFmtId="0" fontId="0" fillId="0" borderId="3" xfId="0" applyFill="1" applyBorder="1"/>
    <xf numFmtId="0" fontId="0" fillId="0" borderId="2" xfId="0" applyFill="1" applyBorder="1" applyAlignment="1">
      <alignment horizontal="center"/>
    </xf>
    <xf numFmtId="0" fontId="3" fillId="0" borderId="6" xfId="0" applyFont="1" applyFill="1" applyBorder="1"/>
    <xf numFmtId="0" fontId="0" fillId="0" borderId="7" xfId="0" applyFill="1" applyBorder="1"/>
    <xf numFmtId="0" fontId="0" fillId="0" borderId="3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5" fillId="0" borderId="10" xfId="0" applyFont="1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1" fontId="0" fillId="0" borderId="7" xfId="0" applyNumberFormat="1" applyFill="1" applyBorder="1" applyAlignment="1">
      <alignment horizontal="center"/>
    </xf>
    <xf numFmtId="1" fontId="0" fillId="0" borderId="8" xfId="0" applyNumberFormat="1" applyFill="1" applyBorder="1" applyAlignment="1">
      <alignment horizontal="center"/>
    </xf>
    <xf numFmtId="1" fontId="5" fillId="0" borderId="11" xfId="0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7" fillId="0" borderId="0" xfId="0" applyFont="1" applyFill="1" applyBorder="1"/>
    <xf numFmtId="38" fontId="0" fillId="0" borderId="0" xfId="0" applyNumberFormat="1" applyFill="1" applyBorder="1" applyAlignment="1"/>
    <xf numFmtId="0" fontId="5" fillId="0" borderId="9" xfId="0" applyFont="1" applyBorder="1" applyAlignment="1">
      <alignment horizontal="center"/>
    </xf>
    <xf numFmtId="164" fontId="5" fillId="0" borderId="10" xfId="28" applyNumberFormat="1" applyFont="1" applyBorder="1" applyAlignment="1">
      <alignment horizontal="right"/>
    </xf>
    <xf numFmtId="0" fontId="9" fillId="2" borderId="1" xfId="0" applyFont="1" applyFill="1" applyBorder="1"/>
    <xf numFmtId="0" fontId="3" fillId="0" borderId="1" xfId="0" applyFont="1" applyBorder="1"/>
    <xf numFmtId="6" fontId="0" fillId="0" borderId="0" xfId="0" applyNumberFormat="1" applyBorder="1" applyAlignment="1">
      <alignment horizontal="center"/>
    </xf>
    <xf numFmtId="0" fontId="0" fillId="0" borderId="5" xfId="0" applyBorder="1" applyAlignment="1">
      <alignment horizontal="center"/>
    </xf>
    <xf numFmtId="9" fontId="0" fillId="0" borderId="0" xfId="40" applyFont="1" applyBorder="1" applyAlignment="1">
      <alignment horizontal="center"/>
    </xf>
    <xf numFmtId="9" fontId="0" fillId="0" borderId="5" xfId="4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0" borderId="0" xfId="0" applyFont="1" applyFill="1" applyBorder="1" applyAlignment="1">
      <alignment horizontal="left"/>
    </xf>
    <xf numFmtId="0" fontId="0" fillId="0" borderId="10" xfId="0" applyFill="1" applyBorder="1" applyAlignment="1">
      <alignment horizontal="center"/>
    </xf>
    <xf numFmtId="1" fontId="0" fillId="0" borderId="5" xfId="0" applyNumberFormat="1" applyFill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0" fillId="0" borderId="0" xfId="0" applyFont="1"/>
    <xf numFmtId="37" fontId="0" fillId="0" borderId="0" xfId="0" applyNumberFormat="1" applyFont="1"/>
    <xf numFmtId="37" fontId="0" fillId="0" borderId="0" xfId="0" applyNumberFormat="1" applyFont="1" applyAlignment="1">
      <alignment horizontal="center"/>
    </xf>
    <xf numFmtId="37" fontId="0" fillId="0" borderId="0" xfId="0" applyNumberFormat="1" applyFont="1" applyFill="1" applyAlignment="1">
      <alignment horizontal="center"/>
    </xf>
    <xf numFmtId="165" fontId="3" fillId="0" borderId="0" xfId="0" applyNumberFormat="1" applyFont="1"/>
    <xf numFmtId="9" fontId="5" fillId="0" borderId="10" xfId="40" applyFont="1" applyBorder="1" applyAlignment="1">
      <alignment horizontal="right"/>
    </xf>
    <xf numFmtId="0" fontId="0" fillId="0" borderId="2" xfId="0" applyFill="1" applyBorder="1" applyAlignment="1">
      <alignment horizontal="left"/>
    </xf>
    <xf numFmtId="0" fontId="0" fillId="0" borderId="0" xfId="0" applyAlignment="1">
      <alignment horizontal="right"/>
    </xf>
    <xf numFmtId="0" fontId="0" fillId="0" borderId="1" xfId="0" applyBorder="1"/>
    <xf numFmtId="0" fontId="0" fillId="0" borderId="0" xfId="0" applyFont="1" applyAlignment="1">
      <alignment horizontal="right"/>
    </xf>
    <xf numFmtId="39" fontId="0" fillId="0" borderId="0" xfId="0" applyNumberFormat="1" applyFont="1" applyAlignment="1">
      <alignment horizontal="center"/>
    </xf>
    <xf numFmtId="39" fontId="0" fillId="0" borderId="1" xfId="0" applyNumberFormat="1" applyFont="1" applyBorder="1" applyAlignment="1">
      <alignment horizontal="center"/>
    </xf>
    <xf numFmtId="37" fontId="0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37" fontId="0" fillId="0" borderId="7" xfId="0" applyNumberFormat="1" applyBorder="1" applyAlignment="1">
      <alignment horizontal="center"/>
    </xf>
    <xf numFmtId="37" fontId="0" fillId="0" borderId="6" xfId="0" applyNumberFormat="1" applyBorder="1" applyAlignment="1">
      <alignment horizontal="center"/>
    </xf>
    <xf numFmtId="39" fontId="0" fillId="0" borderId="0" xfId="0" applyNumberFormat="1" applyFont="1" applyFill="1" applyAlignment="1">
      <alignment horizontal="center"/>
    </xf>
    <xf numFmtId="39" fontId="0" fillId="0" borderId="1" xfId="0" applyNumberFormat="1" applyFont="1" applyFill="1" applyBorder="1" applyAlignment="1">
      <alignment horizontal="center"/>
    </xf>
    <xf numFmtId="37" fontId="0" fillId="0" borderId="1" xfId="0" applyNumberFormat="1" applyFont="1" applyFill="1" applyBorder="1" applyAlignment="1">
      <alignment horizontal="center"/>
    </xf>
    <xf numFmtId="37" fontId="0" fillId="0" borderId="7" xfId="0" applyNumberFormat="1" applyFill="1" applyBorder="1" applyAlignment="1">
      <alignment horizontal="center"/>
    </xf>
    <xf numFmtId="37" fontId="0" fillId="0" borderId="6" xfId="0" applyNumberFormat="1" applyFill="1" applyBorder="1" applyAlignment="1">
      <alignment horizontal="center"/>
    </xf>
    <xf numFmtId="37" fontId="0" fillId="0" borderId="7" xfId="0" applyNumberFormat="1" applyBorder="1"/>
    <xf numFmtId="37" fontId="0" fillId="0" borderId="6" xfId="0" applyNumberFormat="1" applyBorder="1"/>
    <xf numFmtId="37" fontId="0" fillId="0" borderId="7" xfId="0" applyNumberFormat="1" applyFont="1" applyBorder="1"/>
    <xf numFmtId="37" fontId="0" fillId="0" borderId="7" xfId="0" applyNumberFormat="1" applyFont="1" applyFill="1" applyBorder="1" applyAlignment="1">
      <alignment horizontal="center"/>
    </xf>
    <xf numFmtId="37" fontId="0" fillId="0" borderId="8" xfId="0" applyNumberFormat="1" applyBorder="1" applyAlignment="1">
      <alignment horizontal="center"/>
    </xf>
    <xf numFmtId="37" fontId="0" fillId="0" borderId="1" xfId="0" applyNumberFormat="1" applyBorder="1" applyAlignment="1">
      <alignment horizontal="center"/>
    </xf>
    <xf numFmtId="39" fontId="0" fillId="0" borderId="2" xfId="0" applyNumberFormat="1" applyFont="1" applyBorder="1" applyAlignment="1">
      <alignment horizontal="center"/>
    </xf>
    <xf numFmtId="9" fontId="0" fillId="0" borderId="0" xfId="40" applyFont="1"/>
    <xf numFmtId="37" fontId="0" fillId="0" borderId="0" xfId="0" applyNumberFormat="1" applyFont="1" applyAlignment="1">
      <alignment horizontal="right"/>
    </xf>
    <xf numFmtId="37" fontId="0" fillId="0" borderId="0" xfId="0" applyNumberFormat="1" applyAlignment="1">
      <alignment horizontal="right"/>
    </xf>
    <xf numFmtId="0" fontId="4" fillId="0" borderId="2" xfId="0" applyFont="1" applyBorder="1"/>
    <xf numFmtId="0" fontId="5" fillId="0" borderId="4" xfId="0" applyFont="1" applyBorder="1"/>
    <xf numFmtId="0" fontId="4" fillId="0" borderId="1" xfId="0" applyFont="1" applyBorder="1"/>
    <xf numFmtId="0" fontId="5" fillId="0" borderId="5" xfId="0" applyFont="1" applyBorder="1"/>
    <xf numFmtId="0" fontId="4" fillId="0" borderId="6" xfId="0" applyFont="1" applyBorder="1"/>
    <xf numFmtId="0" fontId="5" fillId="0" borderId="8" xfId="0" applyFont="1" applyBorder="1"/>
    <xf numFmtId="43" fontId="5" fillId="0" borderId="10" xfId="28" applyNumberFormat="1" applyFont="1" applyBorder="1" applyAlignment="1">
      <alignment horizontal="right"/>
    </xf>
    <xf numFmtId="166" fontId="0" fillId="0" borderId="0" xfId="0" applyNumberFormat="1"/>
    <xf numFmtId="37" fontId="0" fillId="0" borderId="0" xfId="0" applyNumberFormat="1" applyFont="1" applyBorder="1" applyAlignment="1">
      <alignment horizontal="center"/>
    </xf>
    <xf numFmtId="37" fontId="0" fillId="0" borderId="0" xfId="0" applyNumberFormat="1" applyFont="1" applyFill="1" applyBorder="1" applyAlignment="1">
      <alignment horizontal="center"/>
    </xf>
    <xf numFmtId="37" fontId="0" fillId="0" borderId="0" xfId="0" applyNumberFormat="1" applyFont="1" applyBorder="1"/>
    <xf numFmtId="0" fontId="0" fillId="0" borderId="0" xfId="0" applyFont="1" applyAlignment="1"/>
    <xf numFmtId="1" fontId="0" fillId="0" borderId="0" xfId="0" applyNumberFormat="1" applyFont="1" applyAlignment="1"/>
    <xf numFmtId="0" fontId="0" fillId="0" borderId="1" xfId="0" applyBorder="1" applyAlignment="1">
      <alignment horizontal="left"/>
    </xf>
    <xf numFmtId="37" fontId="3" fillId="0" borderId="0" xfId="0" applyNumberFormat="1" applyFont="1" applyAlignment="1">
      <alignment horizontal="left"/>
    </xf>
    <xf numFmtId="165" fontId="0" fillId="0" borderId="0" xfId="0" applyNumberFormat="1" applyAlignment="1">
      <alignment horizontal="right"/>
    </xf>
    <xf numFmtId="0" fontId="0" fillId="0" borderId="0" xfId="0" applyFont="1" applyFill="1" applyBorder="1"/>
    <xf numFmtId="38" fontId="13" fillId="0" borderId="0" xfId="0" applyNumberFormat="1" applyFont="1" applyFill="1" applyBorder="1" applyAlignment="1"/>
    <xf numFmtId="165" fontId="0" fillId="0" borderId="0" xfId="28" applyNumberFormat="1" applyFont="1" applyBorder="1"/>
    <xf numFmtId="165" fontId="0" fillId="0" borderId="0" xfId="28" applyNumberFormat="1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2" xfId="0" applyBorder="1"/>
    <xf numFmtId="9" fontId="5" fillId="0" borderId="3" xfId="40" applyFont="1" applyBorder="1" applyAlignment="1">
      <alignment horizontal="center"/>
    </xf>
    <xf numFmtId="9" fontId="5" fillId="0" borderId="2" xfId="40" applyFont="1" applyFill="1" applyBorder="1" applyAlignment="1">
      <alignment horizontal="center"/>
    </xf>
    <xf numFmtId="0" fontId="4" fillId="0" borderId="3" xfId="0" applyFont="1" applyBorder="1"/>
    <xf numFmtId="9" fontId="4" fillId="0" borderId="0" xfId="40" applyFont="1" applyBorder="1" applyAlignment="1">
      <alignment horizontal="center"/>
    </xf>
    <xf numFmtId="9" fontId="5" fillId="0" borderId="1" xfId="40" applyFont="1" applyFill="1" applyBorder="1" applyAlignment="1">
      <alignment horizontal="center"/>
    </xf>
    <xf numFmtId="0" fontId="0" fillId="0" borderId="6" xfId="0" applyBorder="1"/>
    <xf numFmtId="9" fontId="0" fillId="0" borderId="7" xfId="40" applyFont="1" applyBorder="1" applyAlignment="1">
      <alignment horizontal="center"/>
    </xf>
    <xf numFmtId="9" fontId="4" fillId="0" borderId="7" xfId="40" applyFont="1" applyBorder="1" applyAlignment="1">
      <alignment horizontal="center"/>
    </xf>
    <xf numFmtId="9" fontId="5" fillId="0" borderId="6" xfId="40" applyFont="1" applyFill="1" applyBorder="1" applyAlignment="1">
      <alignment horizontal="center"/>
    </xf>
    <xf numFmtId="0" fontId="4" fillId="0" borderId="7" xfId="0" applyFont="1" applyBorder="1"/>
    <xf numFmtId="3" fontId="0" fillId="0" borderId="0" xfId="28" applyNumberFormat="1" applyFont="1" applyBorder="1" applyAlignment="1">
      <alignment horizontal="right"/>
    </xf>
    <xf numFmtId="2" fontId="0" fillId="0" borderId="0" xfId="0" applyNumberFormat="1" applyFill="1" applyBorder="1"/>
    <xf numFmtId="0" fontId="13" fillId="0" borderId="0" xfId="0" applyFont="1" applyFill="1" applyBorder="1"/>
    <xf numFmtId="3" fontId="0" fillId="0" borderId="0" xfId="0" applyNumberFormat="1" applyFont="1" applyBorder="1" applyAlignment="1">
      <alignment horizontal="right"/>
    </xf>
    <xf numFmtId="167" fontId="0" fillId="0" borderId="0" xfId="40" applyNumberFormat="1" applyFont="1"/>
    <xf numFmtId="0" fontId="0" fillId="0" borderId="7" xfId="0" applyBorder="1" applyAlignment="1">
      <alignment horizontal="right"/>
    </xf>
    <xf numFmtId="37" fontId="5" fillId="0" borderId="0" xfId="0" applyNumberFormat="1" applyFont="1" applyAlignment="1">
      <alignment horizontal="right"/>
    </xf>
    <xf numFmtId="167" fontId="0" fillId="0" borderId="0" xfId="40" applyNumberFormat="1" applyFont="1" applyAlignment="1">
      <alignment horizontal="right"/>
    </xf>
    <xf numFmtId="9" fontId="0" fillId="0" borderId="7" xfId="40" applyNumberFormat="1" applyFont="1" applyBorder="1" applyAlignment="1">
      <alignment horizontal="right"/>
    </xf>
    <xf numFmtId="10" fontId="5" fillId="0" borderId="0" xfId="40" applyNumberFormat="1" applyFont="1" applyAlignment="1">
      <alignment horizontal="right"/>
    </xf>
    <xf numFmtId="0" fontId="5" fillId="0" borderId="0" xfId="0" applyFont="1" applyAlignment="1">
      <alignment horizontal="right"/>
    </xf>
    <xf numFmtId="9" fontId="0" fillId="0" borderId="0" xfId="40" applyFont="1" applyBorder="1" applyAlignment="1">
      <alignment horizontal="right"/>
    </xf>
    <xf numFmtId="165" fontId="0" fillId="0" borderId="0" xfId="28" applyNumberFormat="1" applyFont="1" applyBorder="1" applyAlignment="1"/>
    <xf numFmtId="0" fontId="0" fillId="0" borderId="1" xfId="0" applyFont="1" applyFill="1" applyBorder="1" applyAlignment="1">
      <alignment horizontal="left"/>
    </xf>
    <xf numFmtId="165" fontId="5" fillId="0" borderId="0" xfId="28" applyNumberFormat="1" applyFont="1" applyFill="1" applyBorder="1" applyAlignment="1"/>
    <xf numFmtId="2" fontId="5" fillId="0" borderId="0" xfId="0" applyNumberFormat="1" applyFont="1" applyFill="1" applyBorder="1" applyAlignment="1">
      <alignment horizontal="center"/>
    </xf>
    <xf numFmtId="0" fontId="3" fillId="0" borderId="0" xfId="0" applyFont="1" applyBorder="1" applyAlignment="1">
      <alignment horizontal="center"/>
    </xf>
    <xf numFmtId="165" fontId="5" fillId="0" borderId="0" xfId="28" applyNumberFormat="1" applyFont="1" applyBorder="1" applyAlignment="1"/>
    <xf numFmtId="6" fontId="0" fillId="0" borderId="0" xfId="0" applyNumberFormat="1" applyFill="1" applyBorder="1" applyAlignment="1">
      <alignment horizontal="right"/>
    </xf>
    <xf numFmtId="0" fontId="4" fillId="0" borderId="0" xfId="0" applyFont="1" applyBorder="1" applyAlignment="1">
      <alignment horizontal="center"/>
    </xf>
    <xf numFmtId="3" fontId="0" fillId="0" borderId="21" xfId="0" applyNumberFormat="1" applyBorder="1" applyAlignment="1">
      <alignment horizontal="right"/>
    </xf>
    <xf numFmtId="3" fontId="0" fillId="0" borderId="21" xfId="28" applyNumberFormat="1" applyFont="1" applyBorder="1" applyAlignment="1">
      <alignment horizontal="right"/>
    </xf>
    <xf numFmtId="0" fontId="4" fillId="0" borderId="0" xfId="0" applyFont="1"/>
    <xf numFmtId="37" fontId="4" fillId="0" borderId="0" xfId="0" applyNumberFormat="1" applyFont="1"/>
    <xf numFmtId="0" fontId="0" fillId="0" borderId="0" xfId="0" applyFont="1" applyBorder="1"/>
    <xf numFmtId="9" fontId="3" fillId="0" borderId="5" xfId="40" applyFont="1" applyBorder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5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5" xfId="0" applyBorder="1"/>
    <xf numFmtId="9" fontId="3" fillId="0" borderId="0" xfId="40" applyFont="1" applyBorder="1" applyAlignment="1">
      <alignment horizontal="center"/>
    </xf>
    <xf numFmtId="167" fontId="0" fillId="0" borderId="0" xfId="0" applyNumberFormat="1"/>
    <xf numFmtId="1" fontId="0" fillId="0" borderId="0" xfId="0" applyNumberFormat="1"/>
    <xf numFmtId="0" fontId="5" fillId="0" borderId="0" xfId="0" applyFont="1" applyFill="1" applyBorder="1"/>
    <xf numFmtId="0" fontId="0" fillId="20" borderId="0" xfId="0" applyFill="1"/>
    <xf numFmtId="0" fontId="0" fillId="20" borderId="1" xfId="0" applyFill="1" applyBorder="1"/>
    <xf numFmtId="0" fontId="0" fillId="20" borderId="0" xfId="0" applyFill="1" applyBorder="1"/>
    <xf numFmtId="0" fontId="0" fillId="20" borderId="5" xfId="0" applyFill="1" applyBorder="1"/>
    <xf numFmtId="166" fontId="0" fillId="0" borderId="3" xfId="40" applyNumberFormat="1" applyFont="1" applyFill="1" applyBorder="1" applyAlignment="1">
      <alignment horizontal="right"/>
    </xf>
    <xf numFmtId="166" fontId="0" fillId="0" borderId="0" xfId="40" applyNumberFormat="1" applyFont="1" applyFill="1" applyBorder="1" applyAlignment="1">
      <alignment horizontal="right"/>
    </xf>
    <xf numFmtId="165" fontId="0" fillId="0" borderId="0" xfId="28" applyNumberFormat="1" applyFont="1" applyFill="1" applyBorder="1" applyAlignment="1">
      <alignment horizontal="right"/>
    </xf>
    <xf numFmtId="0" fontId="3" fillId="0" borderId="0" xfId="0" applyFont="1" applyFill="1" applyBorder="1" applyAlignment="1">
      <alignment horizontal="right"/>
    </xf>
    <xf numFmtId="0" fontId="5" fillId="0" borderId="0" xfId="0" applyFont="1" applyFill="1" applyBorder="1" applyAlignment="1">
      <alignment horizontal="right"/>
    </xf>
    <xf numFmtId="0" fontId="5" fillId="0" borderId="0" xfId="0" applyFont="1" applyBorder="1" applyAlignment="1">
      <alignment horizontal="right"/>
    </xf>
    <xf numFmtId="165" fontId="5" fillId="0" borderId="0" xfId="28" applyNumberFormat="1" applyFont="1" applyBorder="1" applyAlignment="1">
      <alignment horizontal="right"/>
    </xf>
    <xf numFmtId="165" fontId="5" fillId="0" borderId="29" xfId="28" applyNumberFormat="1" applyFont="1" applyFill="1" applyBorder="1" applyAlignment="1">
      <alignment horizontal="right"/>
    </xf>
    <xf numFmtId="165" fontId="0" fillId="0" borderId="28" xfId="28" applyNumberFormat="1" applyFont="1" applyBorder="1" applyAlignment="1">
      <alignment horizontal="right"/>
    </xf>
    <xf numFmtId="166" fontId="5" fillId="0" borderId="26" xfId="0" applyNumberFormat="1" applyFont="1" applyFill="1" applyBorder="1" applyAlignment="1">
      <alignment horizontal="right"/>
    </xf>
    <xf numFmtId="166" fontId="5" fillId="0" borderId="26" xfId="0" applyNumberFormat="1" applyFont="1" applyBorder="1" applyAlignment="1">
      <alignment horizontal="right"/>
    </xf>
    <xf numFmtId="166" fontId="5" fillId="0" borderId="27" xfId="28" applyNumberFormat="1" applyFont="1" applyFill="1" applyBorder="1" applyAlignment="1">
      <alignment horizontal="right"/>
    </xf>
    <xf numFmtId="166" fontId="5" fillId="0" borderId="0" xfId="0" applyNumberFormat="1" applyFont="1" applyFill="1" applyBorder="1" applyAlignment="1">
      <alignment horizontal="right"/>
    </xf>
    <xf numFmtId="166" fontId="5" fillId="0" borderId="0" xfId="0" applyNumberFormat="1" applyFont="1" applyBorder="1" applyAlignment="1">
      <alignment horizontal="right"/>
    </xf>
    <xf numFmtId="166" fontId="5" fillId="0" borderId="29" xfId="28" applyNumberFormat="1" applyFont="1" applyFill="1" applyBorder="1" applyAlignment="1">
      <alignment horizontal="right"/>
    </xf>
    <xf numFmtId="166" fontId="0" fillId="0" borderId="25" xfId="0" applyNumberFormat="1" applyBorder="1" applyAlignment="1">
      <alignment horizontal="right"/>
    </xf>
    <xf numFmtId="166" fontId="0" fillId="0" borderId="28" xfId="0" applyNumberFormat="1" applyBorder="1" applyAlignment="1">
      <alignment horizontal="right"/>
    </xf>
    <xf numFmtId="165" fontId="5" fillId="0" borderId="0" xfId="28" applyNumberFormat="1" applyFont="1" applyFill="1" applyBorder="1" applyAlignment="1">
      <alignment horizontal="right"/>
    </xf>
    <xf numFmtId="0" fontId="5" fillId="20" borderId="0" xfId="0" applyFont="1" applyFill="1"/>
    <xf numFmtId="0" fontId="3" fillId="20" borderId="6" xfId="0" applyFont="1" applyFill="1" applyBorder="1" applyAlignment="1">
      <alignment horizontal="right"/>
    </xf>
    <xf numFmtId="0" fontId="3" fillId="20" borderId="7" xfId="0" applyFont="1" applyFill="1" applyBorder="1" applyAlignment="1">
      <alignment horizontal="right"/>
    </xf>
    <xf numFmtId="0" fontId="3" fillId="20" borderId="8" xfId="0" applyFont="1" applyFill="1" applyBorder="1" applyAlignment="1">
      <alignment horizontal="right"/>
    </xf>
    <xf numFmtId="0" fontId="0" fillId="20" borderId="8" xfId="0" applyFill="1" applyBorder="1"/>
    <xf numFmtId="0" fontId="0" fillId="20" borderId="6" xfId="0" applyFill="1" applyBorder="1"/>
    <xf numFmtId="0" fontId="3" fillId="20" borderId="11" xfId="0" applyFont="1" applyFill="1" applyBorder="1" applyAlignment="1">
      <alignment horizontal="right"/>
    </xf>
    <xf numFmtId="0" fontId="0" fillId="20" borderId="2" xfId="0" applyFill="1" applyBorder="1"/>
    <xf numFmtId="0" fontId="0" fillId="20" borderId="3" xfId="0" applyFill="1" applyBorder="1"/>
    <xf numFmtId="0" fontId="0" fillId="20" borderId="4" xfId="0" applyFill="1" applyBorder="1"/>
    <xf numFmtId="0" fontId="5" fillId="20" borderId="0" xfId="0" applyFont="1" applyFill="1" applyBorder="1" applyAlignment="1">
      <alignment horizontal="center"/>
    </xf>
    <xf numFmtId="0" fontId="5" fillId="20" borderId="1" xfId="0" applyFont="1" applyFill="1" applyBorder="1"/>
    <xf numFmtId="0" fontId="5" fillId="20" borderId="21" xfId="0" applyFont="1" applyFill="1" applyBorder="1" applyAlignment="1">
      <alignment horizontal="center"/>
    </xf>
    <xf numFmtId="0" fontId="5" fillId="20" borderId="34" xfId="0" applyFont="1" applyFill="1" applyBorder="1" applyAlignment="1">
      <alignment horizontal="center"/>
    </xf>
    <xf numFmtId="0" fontId="5" fillId="20" borderId="35" xfId="0" applyFont="1" applyFill="1" applyBorder="1" applyAlignment="1">
      <alignment horizontal="center"/>
    </xf>
    <xf numFmtId="0" fontId="5" fillId="20" borderId="33" xfId="0" applyFont="1" applyFill="1" applyBorder="1" applyAlignment="1">
      <alignment horizontal="center"/>
    </xf>
    <xf numFmtId="0" fontId="37" fillId="20" borderId="36" xfId="0" applyFont="1" applyFill="1" applyBorder="1"/>
    <xf numFmtId="0" fontId="0" fillId="21" borderId="37" xfId="0" applyFill="1" applyBorder="1"/>
    <xf numFmtId="2" fontId="0" fillId="20" borderId="0" xfId="0" applyNumberFormat="1" applyFill="1" applyBorder="1"/>
    <xf numFmtId="2" fontId="0" fillId="20" borderId="5" xfId="0" applyNumberFormat="1" applyFill="1" applyBorder="1"/>
    <xf numFmtId="0" fontId="4" fillId="20" borderId="0" xfId="0" applyFont="1" applyFill="1"/>
    <xf numFmtId="0" fontId="37" fillId="20" borderId="0" xfId="0" applyFont="1" applyFill="1" applyBorder="1" applyAlignment="1">
      <alignment horizontal="right"/>
    </xf>
    <xf numFmtId="0" fontId="4" fillId="20" borderId="38" xfId="0" applyFont="1" applyFill="1" applyBorder="1" applyAlignment="1">
      <alignment horizontal="right"/>
    </xf>
    <xf numFmtId="0" fontId="37" fillId="20" borderId="39" xfId="0" applyFont="1" applyFill="1" applyBorder="1" applyAlignment="1">
      <alignment horizontal="right"/>
    </xf>
    <xf numFmtId="0" fontId="5" fillId="20" borderId="40" xfId="0" applyFont="1" applyFill="1" applyBorder="1"/>
    <xf numFmtId="0" fontId="0" fillId="20" borderId="41" xfId="0" applyFill="1" applyBorder="1"/>
    <xf numFmtId="0" fontId="5" fillId="0" borderId="0" xfId="0" applyFont="1" applyFill="1" applyBorder="1" applyAlignment="1">
      <alignment horizontal="center"/>
    </xf>
    <xf numFmtId="1" fontId="0" fillId="0" borderId="0" xfId="40" applyNumberFormat="1" applyFont="1" applyBorder="1" applyAlignment="1">
      <alignment horizontal="center"/>
    </xf>
    <xf numFmtId="1" fontId="0" fillId="0" borderId="5" xfId="40" applyNumberFormat="1" applyFont="1" applyBorder="1" applyAlignment="1">
      <alignment horizontal="center"/>
    </xf>
    <xf numFmtId="9" fontId="0" fillId="0" borderId="0" xfId="0" applyNumberFormat="1" applyBorder="1" applyAlignment="1">
      <alignment horizontal="center"/>
    </xf>
    <xf numFmtId="1" fontId="3" fillId="19" borderId="0" xfId="0" applyNumberFormat="1" applyFont="1" applyFill="1" applyAlignment="1">
      <alignment horizontal="center"/>
    </xf>
    <xf numFmtId="1" fontId="0" fillId="0" borderId="5" xfId="0" applyNumberFormat="1" applyBorder="1" applyAlignment="1">
      <alignment horizontal="center"/>
    </xf>
    <xf numFmtId="0" fontId="4" fillId="20" borderId="0" xfId="0" applyFont="1" applyFill="1" applyBorder="1"/>
    <xf numFmtId="0" fontId="5" fillId="0" borderId="0" xfId="0" applyFont="1" applyFill="1" applyBorder="1" applyAlignment="1">
      <alignment horizontal="left"/>
    </xf>
    <xf numFmtId="17" fontId="0" fillId="0" borderId="0" xfId="0" applyNumberFormat="1"/>
    <xf numFmtId="0" fontId="0" fillId="20" borderId="0" xfId="0" applyFill="1" applyBorder="1" applyAlignment="1">
      <alignment wrapText="1"/>
    </xf>
    <xf numFmtId="0" fontId="0" fillId="20" borderId="0" xfId="0" applyFill="1" applyBorder="1" applyAlignment="1">
      <alignment horizontal="center"/>
    </xf>
    <xf numFmtId="0" fontId="0" fillId="20" borderId="0" xfId="0" applyFont="1" applyFill="1" applyBorder="1" applyAlignment="1">
      <alignment horizontal="center"/>
    </xf>
    <xf numFmtId="1" fontId="0" fillId="20" borderId="0" xfId="0" applyNumberFormat="1" applyFill="1" applyBorder="1" applyAlignment="1">
      <alignment horizontal="center"/>
    </xf>
    <xf numFmtId="0" fontId="0" fillId="20" borderId="2" xfId="0" applyFill="1" applyBorder="1" applyAlignment="1">
      <alignment wrapText="1"/>
    </xf>
    <xf numFmtId="9" fontId="5" fillId="20" borderId="3" xfId="40" applyFont="1" applyFill="1" applyBorder="1" applyAlignment="1">
      <alignment horizontal="center"/>
    </xf>
    <xf numFmtId="9" fontId="5" fillId="20" borderId="2" xfId="40" applyFont="1" applyFill="1" applyBorder="1" applyAlignment="1">
      <alignment horizontal="center"/>
    </xf>
    <xf numFmtId="0" fontId="4" fillId="20" borderId="3" xfId="0" applyFont="1" applyFill="1" applyBorder="1"/>
    <xf numFmtId="1" fontId="0" fillId="20" borderId="4" xfId="0" applyNumberFormat="1" applyFill="1" applyBorder="1" applyAlignment="1">
      <alignment horizontal="center"/>
    </xf>
    <xf numFmtId="0" fontId="0" fillId="20" borderId="1" xfId="0" applyFill="1" applyBorder="1" applyAlignment="1">
      <alignment wrapText="1"/>
    </xf>
    <xf numFmtId="9" fontId="0" fillId="20" borderId="0" xfId="40" applyFont="1" applyFill="1" applyBorder="1" applyAlignment="1">
      <alignment horizontal="center"/>
    </xf>
    <xf numFmtId="9" fontId="4" fillId="20" borderId="0" xfId="40" applyFont="1" applyFill="1" applyBorder="1" applyAlignment="1">
      <alignment horizontal="center"/>
    </xf>
    <xf numFmtId="9" fontId="5" fillId="20" borderId="1" xfId="40" applyFont="1" applyFill="1" applyBorder="1" applyAlignment="1">
      <alignment horizontal="center"/>
    </xf>
    <xf numFmtId="1" fontId="0" fillId="20" borderId="5" xfId="0" applyNumberFormat="1" applyFill="1" applyBorder="1" applyAlignment="1">
      <alignment horizontal="center"/>
    </xf>
    <xf numFmtId="0" fontId="0" fillId="20" borderId="6" xfId="0" applyFill="1" applyBorder="1" applyAlignment="1">
      <alignment wrapText="1"/>
    </xf>
    <xf numFmtId="9" fontId="0" fillId="20" borderId="7" xfId="40" applyFont="1" applyFill="1" applyBorder="1" applyAlignment="1">
      <alignment horizontal="center"/>
    </xf>
    <xf numFmtId="9" fontId="4" fillId="20" borderId="7" xfId="40" applyFont="1" applyFill="1" applyBorder="1" applyAlignment="1">
      <alignment horizontal="center"/>
    </xf>
    <xf numFmtId="9" fontId="5" fillId="20" borderId="6" xfId="40" applyFont="1" applyFill="1" applyBorder="1" applyAlignment="1">
      <alignment horizontal="center"/>
    </xf>
    <xf numFmtId="0" fontId="4" fillId="20" borderId="7" xfId="0" applyFont="1" applyFill="1" applyBorder="1"/>
    <xf numFmtId="1" fontId="0" fillId="20" borderId="8" xfId="0" applyNumberFormat="1" applyFill="1" applyBorder="1" applyAlignment="1">
      <alignment horizontal="center"/>
    </xf>
    <xf numFmtId="0" fontId="0" fillId="20" borderId="0" xfId="0" applyFill="1" applyAlignment="1">
      <alignment wrapText="1"/>
    </xf>
    <xf numFmtId="9" fontId="0" fillId="20" borderId="0" xfId="40" applyFont="1" applyFill="1"/>
    <xf numFmtId="0" fontId="40" fillId="20" borderId="0" xfId="0" applyFont="1" applyFill="1" applyAlignment="1">
      <alignment wrapText="1"/>
    </xf>
    <xf numFmtId="0" fontId="34" fillId="20" borderId="0" xfId="0" applyFont="1" applyFill="1" applyAlignment="1">
      <alignment horizontal="left" vertical="center" wrapText="1" readingOrder="1"/>
    </xf>
    <xf numFmtId="9" fontId="0" fillId="20" borderId="0" xfId="40" applyFont="1" applyFill="1" applyBorder="1"/>
    <xf numFmtId="0" fontId="40" fillId="20" borderId="0" xfId="0" applyFont="1" applyFill="1" applyBorder="1" applyAlignment="1">
      <alignment wrapText="1"/>
    </xf>
    <xf numFmtId="0" fontId="34" fillId="20" borderId="0" xfId="0" applyFont="1" applyFill="1" applyAlignment="1">
      <alignment wrapText="1"/>
    </xf>
    <xf numFmtId="0" fontId="34" fillId="20" borderId="0" xfId="0" applyFont="1" applyFill="1" applyBorder="1" applyAlignment="1">
      <alignment wrapText="1"/>
    </xf>
    <xf numFmtId="0" fontId="41" fillId="20" borderId="0" xfId="0" applyFont="1" applyFill="1" applyAlignment="1">
      <alignment wrapText="1"/>
    </xf>
    <xf numFmtId="165" fontId="0" fillId="20" borderId="0" xfId="28" applyNumberFormat="1" applyFont="1" applyFill="1" applyBorder="1" applyAlignment="1">
      <alignment horizontal="center" wrapText="1"/>
    </xf>
    <xf numFmtId="9" fontId="5" fillId="20" borderId="3" xfId="40" applyFont="1" applyFill="1" applyBorder="1" applyAlignment="1">
      <alignment horizontal="center" wrapText="1"/>
    </xf>
    <xf numFmtId="9" fontId="0" fillId="20" borderId="0" xfId="40" applyFont="1" applyFill="1" applyBorder="1" applyAlignment="1">
      <alignment horizontal="center" wrapText="1"/>
    </xf>
    <xf numFmtId="9" fontId="0" fillId="20" borderId="7" xfId="40" applyFont="1" applyFill="1" applyBorder="1" applyAlignment="1">
      <alignment horizontal="center" wrapText="1"/>
    </xf>
    <xf numFmtId="0" fontId="5" fillId="20" borderId="0" xfId="0" applyFont="1" applyFill="1" applyAlignment="1">
      <alignment wrapText="1"/>
    </xf>
    <xf numFmtId="0" fontId="3" fillId="20" borderId="0" xfId="0" applyFont="1" applyFill="1"/>
    <xf numFmtId="0" fontId="3" fillId="20" borderId="7" xfId="0" applyFont="1" applyFill="1" applyBorder="1"/>
    <xf numFmtId="0" fontId="3" fillId="20" borderId="7" xfId="0" applyFont="1" applyFill="1" applyBorder="1" applyAlignment="1">
      <alignment wrapText="1"/>
    </xf>
    <xf numFmtId="9" fontId="3" fillId="20" borderId="7" xfId="40" applyFont="1" applyFill="1" applyBorder="1"/>
    <xf numFmtId="9" fontId="0" fillId="0" borderId="43" xfId="40" applyFont="1" applyBorder="1"/>
    <xf numFmtId="0" fontId="0" fillId="0" borderId="43" xfId="0" applyFont="1" applyBorder="1"/>
    <xf numFmtId="0" fontId="0" fillId="0" borderId="43" xfId="0" applyBorder="1"/>
    <xf numFmtId="166" fontId="5" fillId="0" borderId="43" xfId="0" applyNumberFormat="1" applyFont="1" applyBorder="1"/>
    <xf numFmtId="0" fontId="5" fillId="0" borderId="6" xfId="0" applyFont="1" applyFill="1" applyBorder="1" applyAlignment="1">
      <alignment horizontal="left"/>
    </xf>
    <xf numFmtId="0" fontId="5" fillId="0" borderId="7" xfId="0" applyFont="1" applyFill="1" applyBorder="1" applyAlignment="1">
      <alignment horizontal="center"/>
    </xf>
    <xf numFmtId="166" fontId="0" fillId="0" borderId="7" xfId="0" applyNumberFormat="1" applyFill="1" applyBorder="1" applyAlignment="1">
      <alignment horizontal="right"/>
    </xf>
    <xf numFmtId="166" fontId="0" fillId="0" borderId="30" xfId="0" applyNumberFormat="1" applyBorder="1" applyAlignment="1">
      <alignment horizontal="right"/>
    </xf>
    <xf numFmtId="166" fontId="0" fillId="0" borderId="31" xfId="0" applyNumberFormat="1" applyFont="1" applyFill="1" applyBorder="1" applyAlignment="1">
      <alignment horizontal="right"/>
    </xf>
    <xf numFmtId="166" fontId="5" fillId="0" borderId="31" xfId="0" applyNumberFormat="1" applyFont="1" applyBorder="1" applyAlignment="1">
      <alignment horizontal="right"/>
    </xf>
    <xf numFmtId="166" fontId="5" fillId="0" borderId="32" xfId="28" applyNumberFormat="1" applyFont="1" applyFill="1" applyBorder="1" applyAlignment="1">
      <alignment horizontal="right"/>
    </xf>
    <xf numFmtId="0" fontId="5" fillId="0" borderId="1" xfId="0" applyFont="1" applyFill="1" applyBorder="1" applyAlignment="1">
      <alignment horizontal="left"/>
    </xf>
    <xf numFmtId="0" fontId="42" fillId="20" borderId="22" xfId="211" applyFont="1" applyFill="1" applyBorder="1"/>
    <xf numFmtId="2" fontId="42" fillId="20" borderId="24" xfId="211" applyNumberFormat="1" applyFont="1" applyFill="1" applyBorder="1"/>
    <xf numFmtId="0" fontId="5" fillId="20" borderId="0" xfId="211" applyFill="1"/>
    <xf numFmtId="0" fontId="5" fillId="20" borderId="0" xfId="211" applyFont="1" applyFill="1" applyBorder="1" applyAlignment="1">
      <alignment horizontal="left"/>
    </xf>
    <xf numFmtId="0" fontId="5" fillId="20" borderId="46" xfId="211" applyFill="1" applyBorder="1"/>
    <xf numFmtId="0" fontId="5" fillId="20" borderId="0" xfId="211" applyFont="1" applyFill="1"/>
    <xf numFmtId="0" fontId="5" fillId="20" borderId="44" xfId="211" applyFont="1" applyFill="1" applyBorder="1"/>
    <xf numFmtId="0" fontId="5" fillId="20" borderId="45" xfId="211" applyFont="1" applyFill="1" applyBorder="1" applyAlignment="1">
      <alignment horizontal="right"/>
    </xf>
    <xf numFmtId="0" fontId="3" fillId="20" borderId="10" xfId="211" applyFont="1" applyFill="1" applyBorder="1" applyAlignment="1">
      <alignment horizontal="right"/>
    </xf>
    <xf numFmtId="0" fontId="3" fillId="20" borderId="5" xfId="211" applyFont="1" applyFill="1" applyBorder="1" applyAlignment="1">
      <alignment horizontal="right"/>
    </xf>
    <xf numFmtId="0" fontId="3" fillId="20" borderId="5" xfId="211" applyFont="1" applyFill="1" applyBorder="1" applyAlignment="1">
      <alignment horizontal="center"/>
    </xf>
    <xf numFmtId="0" fontId="5" fillId="20" borderId="11" xfId="211" applyFont="1" applyFill="1" applyBorder="1"/>
    <xf numFmtId="0" fontId="5" fillId="20" borderId="1" xfId="211" applyFont="1" applyFill="1" applyBorder="1"/>
    <xf numFmtId="0" fontId="5" fillId="20" borderId="5" xfId="211" applyFont="1" applyFill="1" applyBorder="1" applyAlignment="1">
      <alignment horizontal="right"/>
    </xf>
    <xf numFmtId="0" fontId="5" fillId="20" borderId="44" xfId="211" applyFill="1" applyBorder="1"/>
    <xf numFmtId="0" fontId="5" fillId="20" borderId="43" xfId="211" applyFill="1" applyBorder="1"/>
    <xf numFmtId="0" fontId="5" fillId="20" borderId="45" xfId="211" applyFill="1" applyBorder="1"/>
    <xf numFmtId="0" fontId="5" fillId="20" borderId="5" xfId="211" applyFill="1" applyBorder="1"/>
    <xf numFmtId="0" fontId="5" fillId="20" borderId="1" xfId="211" applyFill="1" applyBorder="1"/>
    <xf numFmtId="0" fontId="5" fillId="20" borderId="0" xfId="211" applyFill="1" applyBorder="1"/>
    <xf numFmtId="0" fontId="5" fillId="20" borderId="6" xfId="211" applyFill="1" applyBorder="1"/>
    <xf numFmtId="0" fontId="5" fillId="20" borderId="7" xfId="211" applyFill="1" applyBorder="1"/>
    <xf numFmtId="0" fontId="5" fillId="20" borderId="8" xfId="211" applyFill="1" applyBorder="1"/>
    <xf numFmtId="166" fontId="5" fillId="0" borderId="0" xfId="0" applyNumberFormat="1" applyFont="1"/>
    <xf numFmtId="0" fontId="0" fillId="20" borderId="0" xfId="0" applyFont="1" applyFill="1"/>
    <xf numFmtId="167" fontId="0" fillId="20" borderId="0" xfId="0" applyNumberFormat="1" applyFill="1"/>
    <xf numFmtId="167" fontId="5" fillId="0" borderId="0" xfId="0" applyNumberFormat="1" applyFont="1"/>
    <xf numFmtId="9" fontId="5" fillId="0" borderId="0" xfId="0" applyNumberFormat="1" applyFont="1"/>
    <xf numFmtId="0" fontId="5" fillId="0" borderId="0" xfId="0" applyFont="1" applyBorder="1"/>
    <xf numFmtId="0" fontId="3" fillId="0" borderId="36" xfId="0" applyFont="1" applyBorder="1"/>
    <xf numFmtId="0" fontId="3" fillId="0" borderId="47" xfId="0" applyFont="1" applyBorder="1" applyAlignment="1">
      <alignment horizontal="center"/>
    </xf>
    <xf numFmtId="0" fontId="3" fillId="0" borderId="37" xfId="0" applyFont="1" applyBorder="1" applyAlignment="1">
      <alignment horizontal="center"/>
    </xf>
    <xf numFmtId="0" fontId="5" fillId="0" borderId="48" xfId="0" applyFont="1" applyBorder="1"/>
    <xf numFmtId="168" fontId="0" fillId="0" borderId="0" xfId="0" applyNumberFormat="1" applyBorder="1" applyAlignment="1">
      <alignment horizontal="center"/>
    </xf>
    <xf numFmtId="0" fontId="0" fillId="0" borderId="49" xfId="0" applyBorder="1" applyAlignment="1">
      <alignment horizontal="center"/>
    </xf>
    <xf numFmtId="0" fontId="5" fillId="0" borderId="40" xfId="0" applyFont="1" applyBorder="1"/>
    <xf numFmtId="168" fontId="0" fillId="0" borderId="50" xfId="0" applyNumberFormat="1" applyBorder="1" applyAlignment="1">
      <alignment horizontal="center"/>
    </xf>
    <xf numFmtId="0" fontId="0" fillId="0" borderId="41" xfId="0" applyBorder="1" applyAlignment="1">
      <alignment horizontal="center"/>
    </xf>
    <xf numFmtId="168" fontId="0" fillId="0" borderId="0" xfId="0" applyNumberFormat="1" applyBorder="1"/>
    <xf numFmtId="0" fontId="5" fillId="0" borderId="44" xfId="0" applyFont="1" applyBorder="1"/>
    <xf numFmtId="166" fontId="5" fillId="0" borderId="45" xfId="0" applyNumberFormat="1" applyFont="1" applyBorder="1"/>
    <xf numFmtId="0" fontId="5" fillId="0" borderId="1" xfId="0" applyFont="1" applyBorder="1"/>
    <xf numFmtId="9" fontId="5" fillId="0" borderId="5" xfId="40" applyFont="1" applyBorder="1"/>
    <xf numFmtId="166" fontId="5" fillId="0" borderId="5" xfId="0" applyNumberFormat="1" applyFont="1" applyBorder="1"/>
    <xf numFmtId="0" fontId="5" fillId="0" borderId="6" xfId="0" applyFont="1" applyBorder="1"/>
    <xf numFmtId="9" fontId="5" fillId="0" borderId="8" xfId="40" applyFont="1" applyBorder="1"/>
    <xf numFmtId="0" fontId="5" fillId="0" borderId="7" xfId="0" applyFont="1" applyFill="1" applyBorder="1"/>
    <xf numFmtId="1" fontId="5" fillId="0" borderId="10" xfId="28" applyNumberFormat="1" applyFont="1" applyBorder="1" applyAlignment="1">
      <alignment horizontal="right"/>
    </xf>
    <xf numFmtId="1" fontId="5" fillId="0" borderId="11" xfId="28" applyNumberFormat="1" applyFont="1" applyBorder="1" applyAlignment="1">
      <alignment horizontal="right"/>
    </xf>
    <xf numFmtId="0" fontId="5" fillId="20" borderId="2" xfId="0" applyFont="1" applyFill="1" applyBorder="1" applyAlignment="1">
      <alignment horizontal="center"/>
    </xf>
    <xf numFmtId="0" fontId="0" fillId="20" borderId="3" xfId="0" applyFill="1" applyBorder="1" applyAlignment="1">
      <alignment horizontal="center"/>
    </xf>
    <xf numFmtId="0" fontId="0" fillId="20" borderId="4" xfId="0" applyFill="1" applyBorder="1" applyAlignment="1">
      <alignment horizontal="center"/>
    </xf>
    <xf numFmtId="0" fontId="36" fillId="20" borderId="22" xfId="0" applyFont="1" applyFill="1" applyBorder="1" applyAlignment="1">
      <alignment horizontal="center"/>
    </xf>
    <xf numFmtId="0" fontId="36" fillId="20" borderId="23" xfId="0" applyFont="1" applyFill="1" applyBorder="1" applyAlignment="1">
      <alignment horizontal="center"/>
    </xf>
    <xf numFmtId="0" fontId="36" fillId="20" borderId="24" xfId="0" applyFont="1" applyFill="1" applyBorder="1" applyAlignment="1">
      <alignment horizontal="center"/>
    </xf>
    <xf numFmtId="0" fontId="36" fillId="22" borderId="22" xfId="0" applyFont="1" applyFill="1" applyBorder="1" applyAlignment="1">
      <alignment horizontal="center"/>
    </xf>
    <xf numFmtId="0" fontId="36" fillId="22" borderId="23" xfId="0" applyFont="1" applyFill="1" applyBorder="1" applyAlignment="1">
      <alignment horizontal="center"/>
    </xf>
    <xf numFmtId="0" fontId="36" fillId="22" borderId="42" xfId="0" applyFont="1" applyFill="1" applyBorder="1" applyAlignment="1">
      <alignment horizontal="center"/>
    </xf>
    <xf numFmtId="0" fontId="5" fillId="20" borderId="44" xfId="211" applyFont="1" applyFill="1" applyBorder="1" applyAlignment="1">
      <alignment horizontal="center"/>
    </xf>
    <xf numFmtId="0" fontId="5" fillId="20" borderId="43" xfId="211" applyFill="1" applyBorder="1" applyAlignment="1">
      <alignment horizontal="center"/>
    </xf>
    <xf numFmtId="0" fontId="5" fillId="20" borderId="45" xfId="211" applyFill="1" applyBorder="1" applyAlignment="1">
      <alignment horizontal="center"/>
    </xf>
  </cellXfs>
  <cellStyles count="212">
    <cellStyle name="20% - Accent1" xfId="1" xr:uid="{00000000-0005-0000-0000-000000000000}"/>
    <cellStyle name="20% - Accent2" xfId="2" xr:uid="{00000000-0005-0000-0000-000001000000}"/>
    <cellStyle name="20% - Accent3" xfId="3" xr:uid="{00000000-0005-0000-0000-000002000000}"/>
    <cellStyle name="20% - Accent4" xfId="4" xr:uid="{00000000-0005-0000-0000-000003000000}"/>
    <cellStyle name="20% - Accent5" xfId="5" xr:uid="{00000000-0005-0000-0000-000004000000}"/>
    <cellStyle name="20% - Accent6" xfId="6" xr:uid="{00000000-0005-0000-0000-000005000000}"/>
    <cellStyle name="40% - Accent1" xfId="7" xr:uid="{00000000-0005-0000-0000-000006000000}"/>
    <cellStyle name="40% - Accent2" xfId="8" xr:uid="{00000000-0005-0000-0000-000007000000}"/>
    <cellStyle name="40% - Accent3" xfId="9" xr:uid="{00000000-0005-0000-0000-000008000000}"/>
    <cellStyle name="40% - Accent4" xfId="10" xr:uid="{00000000-0005-0000-0000-000009000000}"/>
    <cellStyle name="40% - Accent5" xfId="11" xr:uid="{00000000-0005-0000-0000-00000A000000}"/>
    <cellStyle name="40% - Accent6" xfId="12" xr:uid="{00000000-0005-0000-0000-00000B000000}"/>
    <cellStyle name="60% - Accent1" xfId="13" xr:uid="{00000000-0005-0000-0000-00000C000000}"/>
    <cellStyle name="60% - Accent2" xfId="14" xr:uid="{00000000-0005-0000-0000-00000D000000}"/>
    <cellStyle name="60% - Accent3" xfId="15" xr:uid="{00000000-0005-0000-0000-00000E000000}"/>
    <cellStyle name="60% - Accent4" xfId="16" xr:uid="{00000000-0005-0000-0000-00000F000000}"/>
    <cellStyle name="60% - Accent5" xfId="17" xr:uid="{00000000-0005-0000-0000-000010000000}"/>
    <cellStyle name="60% - Accent6" xfId="18" xr:uid="{00000000-0005-0000-0000-000011000000}"/>
    <cellStyle name="Accent1" xfId="19" xr:uid="{00000000-0005-0000-0000-000012000000}"/>
    <cellStyle name="Accent2" xfId="20" xr:uid="{00000000-0005-0000-0000-000013000000}"/>
    <cellStyle name="Accent3" xfId="21" xr:uid="{00000000-0005-0000-0000-000014000000}"/>
    <cellStyle name="Accent4" xfId="22" xr:uid="{00000000-0005-0000-0000-000015000000}"/>
    <cellStyle name="Accent5" xfId="23" xr:uid="{00000000-0005-0000-0000-000016000000}"/>
    <cellStyle name="Accent6" xfId="24" xr:uid="{00000000-0005-0000-0000-000017000000}"/>
    <cellStyle name="Bad" xfId="25" xr:uid="{00000000-0005-0000-0000-000018000000}"/>
    <cellStyle name="Calculation" xfId="26" xr:uid="{00000000-0005-0000-0000-000019000000}"/>
    <cellStyle name="Check Cell" xfId="27" xr:uid="{00000000-0005-0000-0000-00001A000000}"/>
    <cellStyle name="Comma" xfId="28" builtinId="3"/>
    <cellStyle name="Comma 2" xfId="196" xr:uid="{00000000-0005-0000-0000-00001C000000}"/>
    <cellStyle name="Explanatory Text" xfId="29" xr:uid="{00000000-0005-0000-0000-00001D000000}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Good" xfId="30" xr:uid="{00000000-0005-0000-0000-00006F000000}"/>
    <cellStyle name="Heading 1" xfId="31" xr:uid="{00000000-0005-0000-0000-000070000000}"/>
    <cellStyle name="Heading 2" xfId="32" xr:uid="{00000000-0005-0000-0000-000071000000}"/>
    <cellStyle name="Heading 3" xfId="33" xr:uid="{00000000-0005-0000-0000-000072000000}"/>
    <cellStyle name="Heading 4" xfId="34" xr:uid="{00000000-0005-0000-0000-000073000000}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Input" xfId="35" xr:uid="{00000000-0005-0000-0000-0000C5000000}"/>
    <cellStyle name="Linked Cell" xfId="36" xr:uid="{00000000-0005-0000-0000-0000C6000000}"/>
    <cellStyle name="Neutral" xfId="37" xr:uid="{00000000-0005-0000-0000-0000C7000000}"/>
    <cellStyle name="Normal" xfId="0" builtinId="0"/>
    <cellStyle name="Normal 2" xfId="44" xr:uid="{00000000-0005-0000-0000-0000C9000000}"/>
    <cellStyle name="Normal 3" xfId="45" xr:uid="{00000000-0005-0000-0000-0000CA000000}"/>
    <cellStyle name="Normal 4" xfId="46" xr:uid="{00000000-0005-0000-0000-0000CB000000}"/>
    <cellStyle name="Normal 5" xfId="195" xr:uid="{00000000-0005-0000-0000-0000CC000000}"/>
    <cellStyle name="Normal 6" xfId="211" xr:uid="{3EFAB044-DF85-514A-885C-AED9F7380330}"/>
    <cellStyle name="Note" xfId="38" xr:uid="{00000000-0005-0000-0000-0000CD000000}"/>
    <cellStyle name="Output" xfId="39" xr:uid="{00000000-0005-0000-0000-0000CE000000}"/>
    <cellStyle name="Percent" xfId="40" builtinId="5"/>
    <cellStyle name="Title" xfId="41" xr:uid="{00000000-0005-0000-0000-0000D0000000}"/>
    <cellStyle name="Total" xfId="42" xr:uid="{00000000-0005-0000-0000-0000D1000000}"/>
    <cellStyle name="Warning Text" xfId="43" xr:uid="{00000000-0005-0000-0000-0000D2000000}"/>
  </cellStyles>
  <dxfs count="61"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Tornado for Target Mkt: PWMOIC given Cross Chasm Success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Low</c:v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C35-B44D-BED3-FD2662CF8EF4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35-B44D-BED3-FD2662CF8EF4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10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AC35-B44D-BED3-FD2662CF8EF4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10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C35-B44D-BED3-FD2662CF8EF4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2000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C35-B44D-BED3-FD2662CF8EF4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C35-B44D-BED3-FD2662CF8EF4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0.3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C35-B44D-BED3-FD2662CF8EF4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C35-B44D-BED3-FD2662CF8EF4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0.15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C35-B44D-BED3-FD2662CF8EF4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0.5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C35-B44D-BED3-FD2662CF8EF4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0.01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C35-B44D-BED3-FD2662CF8EF4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C35-B44D-BED3-FD2662CF8EF4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0.3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C35-B44D-BED3-FD2662CF8EF4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0.01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C35-B44D-BED3-FD2662CF8EF4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0.06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C35-B44D-BED3-FD2662CF8EF4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0.5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C35-B44D-BED3-FD2662CF8EF4}"/>
                </c:ext>
              </c:extLst>
            </c:dLbl>
            <c:dLbl>
              <c:idx val="1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2500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AC35-B44D-BED3-FD2662CF8EF4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0.1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AC35-B44D-BED3-FD2662CF8EF4}"/>
                </c:ext>
              </c:extLst>
            </c:dLbl>
            <c:dLbl>
              <c:idx val="1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0.4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AC35-B44D-BED3-FD2662CF8EF4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500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AC35-B44D-BED3-FD2662CF8EF4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0.2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AC35-B44D-BED3-FD2662CF8EF4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AC35-B44D-BED3-FD2662CF8EF4}"/>
                </c:ext>
              </c:extLst>
            </c:dLbl>
            <c:dLbl>
              <c:idx val="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AC35-B44D-BED3-FD2662CF8EF4}"/>
                </c:ext>
              </c:extLst>
            </c:dLbl>
            <c:dLbl>
              <c:idx val="2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0.08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AC35-B44D-BED3-FD2662CF8EF4}"/>
                </c:ext>
              </c:extLst>
            </c:dLbl>
            <c:dLbl>
              <c:idx val="2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200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AC35-B44D-BED3-FD2662CF8EF4}"/>
                </c:ext>
              </c:extLst>
            </c:dLbl>
            <c:dLbl>
              <c:idx val="2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AC35-B44D-BED3-FD2662CF8EF4}"/>
                </c:ext>
              </c:extLst>
            </c:dLbl>
            <c:dLbl>
              <c:idx val="2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AC35-B44D-BED3-FD2662CF8EF4}"/>
                </c:ext>
              </c:extLst>
            </c:dLbl>
            <c:dLbl>
              <c:idx val="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500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AC35-B44D-BED3-FD2662CF8EF4}"/>
                </c:ext>
              </c:extLst>
            </c:dLbl>
            <c:dLbl>
              <c:idx val="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AC35-B44D-BED3-FD2662CF8EF4}"/>
                </c:ext>
              </c:extLst>
            </c:dLbl>
            <c:dLbl>
              <c:idx val="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0.5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AC35-B44D-BED3-FD2662CF8EF4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AC35-B44D-BED3-FD2662CF8EF4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AC35-B44D-BED3-FD2662CF8EF4}"/>
                </c:ext>
              </c:extLst>
            </c:dLbl>
            <c:dLbl>
              <c:idx val="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AC35-B44D-BED3-FD2662CF8EF4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AC35-B44D-BED3-FD2662CF8EF4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AC35-B44D-BED3-FD2662CF8EF4}"/>
                </c:ext>
              </c:extLst>
            </c:dLbl>
            <c:dLbl>
              <c:idx val="3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AC35-B44D-BED3-FD2662CF8EF4}"/>
                </c:ext>
              </c:extLst>
            </c:dLbl>
            <c:dLbl>
              <c:idx val="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AC35-B44D-BED3-FD2662CF8EF4}"/>
                </c:ext>
              </c:extLst>
            </c:dLbl>
            <c:dLbl>
              <c:idx val="3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AC35-B44D-BED3-FD2662CF8EF4}"/>
                </c:ext>
              </c:extLst>
            </c:dLbl>
            <c:dLbl>
              <c:idx val="3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AC35-B44D-BED3-FD2662CF8EF4}"/>
                </c:ext>
              </c:extLst>
            </c:dLbl>
            <c:dLbl>
              <c:idx val="3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AC35-B44D-BED3-FD2662CF8EF4}"/>
                </c:ext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AC35-B44D-BED3-FD2662CF8EF4}"/>
                </c:ext>
              </c:extLst>
            </c:dLbl>
            <c:dLbl>
              <c:idx val="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AC35-B44D-BED3-FD2662CF8EF4}"/>
                </c:ext>
              </c:extLst>
            </c:dLbl>
            <c:dLbl>
              <c:idx val="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AC35-B44D-BED3-FD2662CF8EF4}"/>
                </c:ext>
              </c:extLst>
            </c:dLbl>
            <c:dLbl>
              <c:idx val="4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AC35-B44D-BED3-FD2662CF8EF4}"/>
                </c:ext>
              </c:extLst>
            </c:dLbl>
            <c:dLbl>
              <c:idx val="4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AC35-B44D-BED3-FD2662CF8EF4}"/>
                </c:ext>
              </c:extLst>
            </c:dLbl>
            <c:dLbl>
              <c:idx val="4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A-AC35-B44D-BED3-FD2662CF8EF4}"/>
                </c:ext>
              </c:extLst>
            </c:dLbl>
            <c:dLbl>
              <c:idx val="4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C-AC35-B44D-BED3-FD2662CF8EF4}"/>
                </c:ext>
              </c:extLst>
            </c:dLbl>
            <c:dLbl>
              <c:idx val="4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AC35-B44D-BED3-FD2662CF8EF4}"/>
                </c:ext>
              </c:extLst>
            </c:dLbl>
            <c:dLbl>
              <c:idx val="4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0-AC35-B44D-BED3-FD2662CF8EF4}"/>
                </c:ext>
              </c:extLst>
            </c:dLbl>
            <c:dLbl>
              <c:idx val="4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2-AC35-B44D-BED3-FD2662CF8EF4}"/>
                </c:ext>
              </c:extLst>
            </c:dLbl>
            <c:dLbl>
              <c:idx val="4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4-AC35-B44D-BED3-FD2662CF8EF4}"/>
                </c:ext>
              </c:extLst>
            </c:dLbl>
            <c:dLbl>
              <c:idx val="5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6-AC35-B44D-BED3-FD2662CF8EF4}"/>
                </c:ext>
              </c:extLst>
            </c:dLbl>
            <c:dLbl>
              <c:idx val="5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8-AC35-B44D-BED3-FD2662CF8EF4}"/>
                </c:ext>
              </c:extLst>
            </c:dLbl>
            <c:dLbl>
              <c:idx val="5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A-AC35-B44D-BED3-FD2662CF8EF4}"/>
                </c:ext>
              </c:extLst>
            </c:dLbl>
            <c:dLbl>
              <c:idx val="5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C-AC35-B44D-BED3-FD2662CF8EF4}"/>
                </c:ext>
              </c:extLst>
            </c:dLbl>
            <c:dLbl>
              <c:idx val="5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E-AC35-B44D-BED3-FD2662CF8EF4}"/>
                </c:ext>
              </c:extLst>
            </c:dLbl>
            <c:dLbl>
              <c:idx val="5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0-AC35-B44D-BED3-FD2662CF8EF4}"/>
                </c:ext>
              </c:extLst>
            </c:dLbl>
            <c:dLbl>
              <c:idx val="5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2-AC35-B44D-BED3-FD2662CF8EF4}"/>
                </c:ext>
              </c:extLst>
            </c:dLbl>
            <c:dLbl>
              <c:idx val="5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4-AC35-B44D-BED3-FD2662CF8EF4}"/>
                </c:ext>
              </c:extLst>
            </c:dLbl>
            <c:dLbl>
              <c:idx val="5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6-AC35-B44D-BED3-FD2662CF8EF4}"/>
                </c:ext>
              </c:extLst>
            </c:dLbl>
            <c:dLbl>
              <c:idx val="5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8-AC35-B44D-BED3-FD2662CF8EF4}"/>
                </c:ext>
              </c:extLst>
            </c:dLbl>
            <c:dLbl>
              <c:idx val="6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A-AC35-B44D-BED3-FD2662CF8EF4}"/>
                </c:ext>
              </c:extLst>
            </c:dLbl>
            <c:dLbl>
              <c:idx val="6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C-AC35-B44D-BED3-FD2662CF8EF4}"/>
                </c:ext>
              </c:extLst>
            </c:dLbl>
            <c:dLbl>
              <c:idx val="6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E-AC35-B44D-BED3-FD2662CF8EF4}"/>
                </c:ext>
              </c:extLst>
            </c:dLbl>
            <c:dLbl>
              <c:idx val="6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0-AC35-B44D-BED3-FD2662CF8EF4}"/>
                </c:ext>
              </c:extLst>
            </c:dLbl>
            <c:dLbl>
              <c:idx val="6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2-AC35-B44D-BED3-FD2662CF8EF4}"/>
                </c:ext>
              </c:extLst>
            </c:dLbl>
            <c:dLbl>
              <c:idx val="6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4-AC35-B44D-BED3-FD2662CF8EF4}"/>
                </c:ext>
              </c:extLst>
            </c:dLbl>
            <c:dLbl>
              <c:idx val="6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6-AC35-B44D-BED3-FD2662CF8EF4}"/>
                </c:ext>
              </c:extLst>
            </c:dLbl>
            <c:dLbl>
              <c:idx val="6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8-AC35-B44D-BED3-FD2662CF8EF4}"/>
                </c:ext>
              </c:extLst>
            </c:dLbl>
            <c:dLbl>
              <c:idx val="6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A-AC35-B44D-BED3-FD2662CF8EF4}"/>
                </c:ext>
              </c:extLst>
            </c:dLbl>
            <c:dLbl>
              <c:idx val="6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C-AC35-B44D-BED3-FD2662CF8EF4}"/>
                </c:ext>
              </c:extLst>
            </c:dLbl>
            <c:dLbl>
              <c:idx val="7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E-AC35-B44D-BED3-FD2662CF8EF4}"/>
                </c:ext>
              </c:extLst>
            </c:dLbl>
            <c:dLbl>
              <c:idx val="7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0-AC35-B44D-BED3-FD2662CF8EF4}"/>
                </c:ext>
              </c:extLst>
            </c:dLbl>
            <c:dLbl>
              <c:idx val="7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2-AC35-B44D-BED3-FD2662CF8EF4}"/>
                </c:ext>
              </c:extLst>
            </c:dLbl>
            <c:dLbl>
              <c:idx val="7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4-AC35-B44D-BED3-FD2662CF8EF4}"/>
                </c:ext>
              </c:extLst>
            </c:dLbl>
            <c:dLbl>
              <c:idx val="7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6-AC35-B44D-BED3-FD2662CF8EF4}"/>
                </c:ext>
              </c:extLst>
            </c:dLbl>
            <c:dLbl>
              <c:idx val="7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8-AC35-B44D-BED3-FD2662CF8EF4}"/>
                </c:ext>
              </c:extLst>
            </c:dLbl>
            <c:dLbl>
              <c:idx val="7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A-AC35-B44D-BED3-FD2662CF8EF4}"/>
                </c:ext>
              </c:extLst>
            </c:dLbl>
            <c:dLbl>
              <c:idx val="7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C-AC35-B44D-BED3-FD2662CF8EF4}"/>
                </c:ext>
              </c:extLst>
            </c:dLbl>
            <c:dLbl>
              <c:idx val="7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E-AC35-B44D-BED3-FD2662CF8EF4}"/>
                </c:ext>
              </c:extLst>
            </c:dLbl>
            <c:dLbl>
              <c:idx val="7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0-AC35-B44D-BED3-FD2662CF8EF4}"/>
                </c:ext>
              </c:extLst>
            </c:dLbl>
            <c:dLbl>
              <c:idx val="8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2-AC35-B44D-BED3-FD2662CF8EF4}"/>
                </c:ext>
              </c:extLst>
            </c:dLbl>
            <c:dLbl>
              <c:idx val="8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4-AC35-B44D-BED3-FD2662CF8EF4}"/>
                </c:ext>
              </c:extLst>
            </c:dLbl>
            <c:dLbl>
              <c:idx val="8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6-AC35-B44D-BED3-FD2662CF8EF4}"/>
                </c:ext>
              </c:extLst>
            </c:dLbl>
            <c:dLbl>
              <c:idx val="8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8-AC35-B44D-BED3-FD2662CF8EF4}"/>
                </c:ext>
              </c:extLst>
            </c:dLbl>
            <c:dLbl>
              <c:idx val="8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A-AC35-B44D-BED3-FD2662CF8EF4}"/>
                </c:ext>
              </c:extLst>
            </c:dLbl>
            <c:dLbl>
              <c:idx val="8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C-AC35-B44D-BED3-FD2662CF8EF4}"/>
                </c:ext>
              </c:extLst>
            </c:dLbl>
            <c:dLbl>
              <c:idx val="8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E-AC35-B44D-BED3-FD2662CF8EF4}"/>
                </c:ext>
              </c:extLst>
            </c:dLbl>
            <c:dLbl>
              <c:idx val="8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0-AC35-B44D-BED3-FD2662CF8EF4}"/>
                </c:ext>
              </c:extLst>
            </c:dLbl>
            <c:dLbl>
              <c:idx val="8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2-AC35-B44D-BED3-FD2662CF8EF4}"/>
                </c:ext>
              </c:extLst>
            </c:dLbl>
            <c:dLbl>
              <c:idx val="8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4-AC35-B44D-BED3-FD2662CF8EF4}"/>
                </c:ext>
              </c:extLst>
            </c:dLbl>
            <c:dLbl>
              <c:idx val="9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6-AC35-B44D-BED3-FD2662CF8EF4}"/>
                </c:ext>
              </c:extLst>
            </c:dLbl>
            <c:dLbl>
              <c:idx val="9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8-AC35-B44D-BED3-FD2662CF8EF4}"/>
                </c:ext>
              </c:extLst>
            </c:dLbl>
            <c:dLbl>
              <c:idx val="9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A-AC35-B44D-BED3-FD2662CF8EF4}"/>
                </c:ext>
              </c:extLst>
            </c:dLbl>
            <c:dLbl>
              <c:idx val="9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C-AC35-B44D-BED3-FD2662CF8EF4}"/>
                </c:ext>
              </c:extLst>
            </c:dLbl>
            <c:dLbl>
              <c:idx val="9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E-AC35-B44D-BED3-FD2662CF8EF4}"/>
                </c:ext>
              </c:extLst>
            </c:dLbl>
            <c:dLbl>
              <c:idx val="9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0-AC35-B44D-BED3-FD2662CF8EF4}"/>
                </c:ext>
              </c:extLst>
            </c:dLbl>
            <c:dLbl>
              <c:idx val="9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2-AC35-B44D-BED3-FD2662CF8EF4}"/>
                </c:ext>
              </c:extLst>
            </c:dLbl>
            <c:dLbl>
              <c:idx val="9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4-AC35-B44D-BED3-FD2662CF8EF4}"/>
                </c:ext>
              </c:extLst>
            </c:dLbl>
            <c:dLbl>
              <c:idx val="9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6-AC35-B44D-BED3-FD2662CF8EF4}"/>
                </c:ext>
              </c:extLst>
            </c:dLbl>
            <c:dLbl>
              <c:idx val="9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8-AC35-B44D-BED3-FD2662CF8EF4}"/>
                </c:ext>
              </c:extLst>
            </c:dLbl>
            <c:dLbl>
              <c:idx val="10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A-AC35-B44D-BED3-FD2662CF8EF4}"/>
                </c:ext>
              </c:extLst>
            </c:dLbl>
            <c:dLbl>
              <c:idx val="10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C-AC35-B44D-BED3-FD2662CF8EF4}"/>
                </c:ext>
              </c:extLst>
            </c:dLbl>
            <c:dLbl>
              <c:idx val="10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E-AC35-B44D-BED3-FD2662CF8EF4}"/>
                </c:ext>
              </c:extLst>
            </c:dLbl>
            <c:dLbl>
              <c:idx val="10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0-AC35-B44D-BED3-FD2662CF8EF4}"/>
                </c:ext>
              </c:extLst>
            </c:dLbl>
            <c:dLbl>
              <c:idx val="10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2-AC35-B44D-BED3-FD2662CF8EF4}"/>
                </c:ext>
              </c:extLst>
            </c:dLbl>
            <c:dLbl>
              <c:idx val="10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4-AC35-B44D-BED3-FD2662CF8EF4}"/>
                </c:ext>
              </c:extLst>
            </c:dLbl>
            <c:dLbl>
              <c:idx val="10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6-AC35-B44D-BED3-FD2662CF8EF4}"/>
                </c:ext>
              </c:extLst>
            </c:dLbl>
            <c:dLbl>
              <c:idx val="10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8-AC35-B44D-BED3-FD2662CF8EF4}"/>
                </c:ext>
              </c:extLst>
            </c:dLbl>
            <c:dLbl>
              <c:idx val="10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A-AC35-B44D-BED3-FD2662CF8EF4}"/>
                </c:ext>
              </c:extLst>
            </c:dLbl>
            <c:dLbl>
              <c:idx val="10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C-AC35-B44D-BED3-FD2662CF8EF4}"/>
                </c:ext>
              </c:extLst>
            </c:dLbl>
            <c:dLbl>
              <c:idx val="1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E-AC35-B44D-BED3-FD2662CF8EF4}"/>
                </c:ext>
              </c:extLst>
            </c:dLbl>
            <c:dLbl>
              <c:idx val="1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0-AC35-B44D-BED3-FD2662CF8EF4}"/>
                </c:ext>
              </c:extLst>
            </c:dLbl>
            <c:dLbl>
              <c:idx val="1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2-AC35-B44D-BED3-FD2662CF8EF4}"/>
                </c:ext>
              </c:extLst>
            </c:dLbl>
            <c:dLbl>
              <c:idx val="1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4-AC35-B44D-BED3-FD2662CF8EF4}"/>
                </c:ext>
              </c:extLst>
            </c:dLbl>
            <c:dLbl>
              <c:idx val="1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6-AC35-B44D-BED3-FD2662CF8EF4}"/>
                </c:ext>
              </c:extLst>
            </c:dLbl>
            <c:dLbl>
              <c:idx val="11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8-AC35-B44D-BED3-FD2662CF8EF4}"/>
                </c:ext>
              </c:extLst>
            </c:dLbl>
            <c:dLbl>
              <c:idx val="1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A-AC35-B44D-BED3-FD2662CF8EF4}"/>
                </c:ext>
              </c:extLst>
            </c:dLbl>
            <c:dLbl>
              <c:idx val="11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C-AC35-B44D-BED3-FD2662CF8EF4}"/>
                </c:ext>
              </c:extLst>
            </c:dLbl>
            <c:dLbl>
              <c:idx val="1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E-AC35-B44D-BED3-FD2662CF8EF4}"/>
                </c:ext>
              </c:extLst>
            </c:dLbl>
            <c:dLbl>
              <c:idx val="1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0-AC35-B44D-BED3-FD2662CF8EF4}"/>
                </c:ext>
              </c:extLst>
            </c:dLbl>
            <c:dLbl>
              <c:idx val="1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2-AC35-B44D-BED3-FD2662CF8EF4}"/>
                </c:ext>
              </c:extLst>
            </c:dLbl>
            <c:dLbl>
              <c:idx val="1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4-AC35-B44D-BED3-FD2662CF8EF4}"/>
                </c:ext>
              </c:extLst>
            </c:dLbl>
            <c:dLbl>
              <c:idx val="12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6-AC35-B44D-BED3-FD2662CF8EF4}"/>
                </c:ext>
              </c:extLst>
            </c:dLbl>
            <c:dLbl>
              <c:idx val="12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8-AC35-B44D-BED3-FD2662CF8EF4}"/>
                </c:ext>
              </c:extLst>
            </c:dLbl>
            <c:dLbl>
              <c:idx val="12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A-AC35-B44D-BED3-FD2662CF8EF4}"/>
                </c:ext>
              </c:extLst>
            </c:dLbl>
            <c:dLbl>
              <c:idx val="12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C-AC35-B44D-BED3-FD2662CF8EF4}"/>
                </c:ext>
              </c:extLst>
            </c:dLbl>
            <c:dLbl>
              <c:idx val="1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E-AC35-B44D-BED3-FD2662CF8EF4}"/>
                </c:ext>
              </c:extLst>
            </c:dLbl>
            <c:dLbl>
              <c:idx val="1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0-AC35-B44D-BED3-FD2662CF8EF4}"/>
                </c:ext>
              </c:extLst>
            </c:dLbl>
            <c:dLbl>
              <c:idx val="1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2-AC35-B44D-BED3-FD2662CF8EF4}"/>
                </c:ext>
              </c:extLst>
            </c:dLbl>
            <c:dLbl>
              <c:idx val="1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4-AC35-B44D-BED3-FD2662CF8EF4}"/>
                </c:ext>
              </c:extLst>
            </c:dLbl>
            <c:dLbl>
              <c:idx val="1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6-AC35-B44D-BED3-FD2662CF8EF4}"/>
                </c:ext>
              </c:extLst>
            </c:dLbl>
            <c:dLbl>
              <c:idx val="1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8-AC35-B44D-BED3-FD2662CF8EF4}"/>
                </c:ext>
              </c:extLst>
            </c:dLbl>
            <c:dLbl>
              <c:idx val="1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A-AC35-B44D-BED3-FD2662CF8EF4}"/>
                </c:ext>
              </c:extLst>
            </c:dLbl>
            <c:dLbl>
              <c:idx val="1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C-AC35-B44D-BED3-FD2662CF8EF4}"/>
                </c:ext>
              </c:extLst>
            </c:dLbl>
            <c:dLbl>
              <c:idx val="13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E-AC35-B44D-BED3-FD2662CF8EF4}"/>
                </c:ext>
              </c:extLst>
            </c:dLbl>
            <c:dLbl>
              <c:idx val="1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0-AC35-B44D-BED3-FD2662CF8EF4}"/>
                </c:ext>
              </c:extLst>
            </c:dLbl>
            <c:dLbl>
              <c:idx val="13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2-AC35-B44D-BED3-FD2662CF8EF4}"/>
                </c:ext>
              </c:extLst>
            </c:dLbl>
            <c:dLbl>
              <c:idx val="13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4-AC35-B44D-BED3-FD2662CF8EF4}"/>
                </c:ext>
              </c:extLst>
            </c:dLbl>
            <c:dLbl>
              <c:idx val="13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6-AC35-B44D-BED3-FD2662CF8EF4}"/>
                </c:ext>
              </c:extLst>
            </c:dLbl>
            <c:dLbl>
              <c:idx val="1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8-AC35-B44D-BED3-FD2662CF8EF4}"/>
                </c:ext>
              </c:extLst>
            </c:dLbl>
            <c:dLbl>
              <c:idx val="1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A-AC35-B44D-BED3-FD2662CF8EF4}"/>
                </c:ext>
              </c:extLst>
            </c:dLbl>
            <c:dLbl>
              <c:idx val="1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C-AC35-B44D-BED3-FD2662CF8EF4}"/>
                </c:ext>
              </c:extLst>
            </c:dLbl>
            <c:dLbl>
              <c:idx val="14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E-AC35-B44D-BED3-FD2662CF8EF4}"/>
                </c:ext>
              </c:extLst>
            </c:dLbl>
            <c:dLbl>
              <c:idx val="14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0-AC35-B44D-BED3-FD2662CF8EF4}"/>
                </c:ext>
              </c:extLst>
            </c:dLbl>
            <c:dLbl>
              <c:idx val="14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2-AC35-B44D-BED3-FD2662CF8EF4}"/>
                </c:ext>
              </c:extLst>
            </c:dLbl>
            <c:dLbl>
              <c:idx val="14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4-AC35-B44D-BED3-FD2662CF8EF4}"/>
                </c:ext>
              </c:extLst>
            </c:dLbl>
            <c:dLbl>
              <c:idx val="14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6-AC35-B44D-BED3-FD2662CF8EF4}"/>
                </c:ext>
              </c:extLst>
            </c:dLbl>
            <c:dLbl>
              <c:idx val="14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8-AC35-B44D-BED3-FD2662CF8EF4}"/>
                </c:ext>
              </c:extLst>
            </c:dLbl>
            <c:dLbl>
              <c:idx val="14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A-AC35-B44D-BED3-FD2662CF8EF4}"/>
                </c:ext>
              </c:extLst>
            </c:dLbl>
            <c:dLbl>
              <c:idx val="14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C-AC35-B44D-BED3-FD2662CF8EF4}"/>
                </c:ext>
              </c:extLst>
            </c:dLbl>
            <c:dLbl>
              <c:idx val="15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E-AC35-B44D-BED3-FD2662CF8EF4}"/>
                </c:ext>
              </c:extLst>
            </c:dLbl>
            <c:dLbl>
              <c:idx val="15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0-AC35-B44D-BED3-FD2662CF8EF4}"/>
                </c:ext>
              </c:extLst>
            </c:dLbl>
            <c:dLbl>
              <c:idx val="15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2-AC35-B44D-BED3-FD2662CF8EF4}"/>
                </c:ext>
              </c:extLst>
            </c:dLbl>
            <c:dLbl>
              <c:idx val="15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4-AC35-B44D-BED3-FD2662CF8EF4}"/>
                </c:ext>
              </c:extLst>
            </c:dLbl>
            <c:dLbl>
              <c:idx val="15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6-AC35-B44D-BED3-FD2662CF8EF4}"/>
                </c:ext>
              </c:extLst>
            </c:dLbl>
            <c:dLbl>
              <c:idx val="15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8-AC35-B44D-BED3-FD2662CF8EF4}"/>
                </c:ext>
              </c:extLst>
            </c:dLbl>
            <c:dLbl>
              <c:idx val="15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A-AC35-B44D-BED3-FD2662CF8EF4}"/>
                </c:ext>
              </c:extLst>
            </c:dLbl>
            <c:dLbl>
              <c:idx val="15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C-AC35-B44D-BED3-FD2662CF8EF4}"/>
                </c:ext>
              </c:extLst>
            </c:dLbl>
            <c:dLbl>
              <c:idx val="15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E-AC35-B44D-BED3-FD2662CF8EF4}"/>
                </c:ext>
              </c:extLst>
            </c:dLbl>
            <c:dLbl>
              <c:idx val="15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0-AC35-B44D-BED3-FD2662CF8EF4}"/>
                </c:ext>
              </c:extLst>
            </c:dLbl>
            <c:dLbl>
              <c:idx val="16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2-AC35-B44D-BED3-FD2662CF8EF4}"/>
                </c:ext>
              </c:extLst>
            </c:dLbl>
            <c:dLbl>
              <c:idx val="16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4-AC35-B44D-BED3-FD2662CF8EF4}"/>
                </c:ext>
              </c:extLst>
            </c:dLbl>
            <c:dLbl>
              <c:idx val="16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6-AC35-B44D-BED3-FD2662CF8EF4}"/>
                </c:ext>
              </c:extLst>
            </c:dLbl>
            <c:dLbl>
              <c:idx val="16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8-AC35-B44D-BED3-FD2662CF8EF4}"/>
                </c:ext>
              </c:extLst>
            </c:dLbl>
            <c:dLbl>
              <c:idx val="16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A-AC35-B44D-BED3-FD2662CF8EF4}"/>
                </c:ext>
              </c:extLst>
            </c:dLbl>
            <c:dLbl>
              <c:idx val="16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C-AC35-B44D-BED3-FD2662CF8EF4}"/>
                </c:ext>
              </c:extLst>
            </c:dLbl>
            <c:dLbl>
              <c:idx val="16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E-AC35-B44D-BED3-FD2662CF8EF4}"/>
                </c:ext>
              </c:extLst>
            </c:dLbl>
            <c:dLbl>
              <c:idx val="16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0-AC35-B44D-BED3-FD2662CF8EF4}"/>
                </c:ext>
              </c:extLst>
            </c:dLbl>
            <c:dLbl>
              <c:idx val="16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2-AC35-B44D-BED3-FD2662CF8EF4}"/>
                </c:ext>
              </c:extLst>
            </c:dLbl>
            <c:dLbl>
              <c:idx val="16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4-AC35-B44D-BED3-FD2662CF8EF4}"/>
                </c:ext>
              </c:extLst>
            </c:dLbl>
            <c:dLbl>
              <c:idx val="17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6-AC35-B44D-BED3-FD2662CF8EF4}"/>
                </c:ext>
              </c:extLst>
            </c:dLbl>
            <c:dLbl>
              <c:idx val="17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8-AC35-B44D-BED3-FD2662CF8EF4}"/>
                </c:ext>
              </c:extLst>
            </c:dLbl>
            <c:dLbl>
              <c:idx val="17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A-AC35-B44D-BED3-FD2662CF8EF4}"/>
                </c:ext>
              </c:extLst>
            </c:dLbl>
            <c:dLbl>
              <c:idx val="17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C-AC35-B44D-BED3-FD2662CF8EF4}"/>
                </c:ext>
              </c:extLst>
            </c:dLbl>
            <c:dLbl>
              <c:idx val="17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E-AC35-B44D-BED3-FD2662CF8EF4}"/>
                </c:ext>
              </c:extLst>
            </c:dLbl>
            <c:dLbl>
              <c:idx val="17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0-AC35-B44D-BED3-FD2662CF8EF4}"/>
                </c:ext>
              </c:extLst>
            </c:dLbl>
            <c:dLbl>
              <c:idx val="17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2-AC35-B44D-BED3-FD2662CF8EF4}"/>
                </c:ext>
              </c:extLst>
            </c:dLbl>
            <c:dLbl>
              <c:idx val="17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4-AC35-B44D-BED3-FD2662CF8EF4}"/>
                </c:ext>
              </c:extLst>
            </c:dLbl>
            <c:dLbl>
              <c:idx val="17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6-AC35-B44D-BED3-FD2662CF8EF4}"/>
                </c:ext>
              </c:extLst>
            </c:dLbl>
            <c:dLbl>
              <c:idx val="17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8-AC35-B44D-BED3-FD2662CF8EF4}"/>
                </c:ext>
              </c:extLst>
            </c:dLbl>
            <c:dLbl>
              <c:idx val="18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A-AC35-B44D-BED3-FD2662CF8EF4}"/>
                </c:ext>
              </c:extLst>
            </c:dLbl>
            <c:dLbl>
              <c:idx val="18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C-AC35-B44D-BED3-FD2662CF8EF4}"/>
                </c:ext>
              </c:extLst>
            </c:dLbl>
            <c:dLbl>
              <c:idx val="18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E-AC35-B44D-BED3-FD2662CF8EF4}"/>
                </c:ext>
              </c:extLst>
            </c:dLbl>
            <c:dLbl>
              <c:idx val="18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0-AC35-B44D-BED3-FD2662CF8EF4}"/>
                </c:ext>
              </c:extLst>
            </c:dLbl>
            <c:dLbl>
              <c:idx val="18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2-AC35-B44D-BED3-FD2662CF8EF4}"/>
                </c:ext>
              </c:extLst>
            </c:dLbl>
            <c:dLbl>
              <c:idx val="18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4-AC35-B44D-BED3-FD2662CF8EF4}"/>
                </c:ext>
              </c:extLst>
            </c:dLbl>
            <c:dLbl>
              <c:idx val="18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6-AC35-B44D-BED3-FD2662CF8EF4}"/>
                </c:ext>
              </c:extLst>
            </c:dLbl>
            <c:dLbl>
              <c:idx val="18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8-AC35-B44D-BED3-FD2662CF8EF4}"/>
                </c:ext>
              </c:extLst>
            </c:dLbl>
            <c:dLbl>
              <c:idx val="18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A-AC35-B44D-BED3-FD2662CF8EF4}"/>
                </c:ext>
              </c:extLst>
            </c:dLbl>
            <c:dLbl>
              <c:idx val="18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C-AC35-B44D-BED3-FD2662CF8EF4}"/>
                </c:ext>
              </c:extLst>
            </c:dLbl>
            <c:dLbl>
              <c:idx val="19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E-AC35-B44D-BED3-FD2662CF8EF4}"/>
                </c:ext>
              </c:extLst>
            </c:dLbl>
            <c:dLbl>
              <c:idx val="19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0-AC35-B44D-BED3-FD2662CF8EF4}"/>
                </c:ext>
              </c:extLst>
            </c:dLbl>
            <c:dLbl>
              <c:idx val="19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2-AC35-B44D-BED3-FD2662CF8EF4}"/>
                </c:ext>
              </c:extLst>
            </c:dLbl>
            <c:dLbl>
              <c:idx val="19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4-AC35-B44D-BED3-FD2662CF8EF4}"/>
                </c:ext>
              </c:extLst>
            </c:dLbl>
            <c:dLbl>
              <c:idx val="19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6-AC35-B44D-BED3-FD2662CF8EF4}"/>
                </c:ext>
              </c:extLst>
            </c:dLbl>
            <c:dLbl>
              <c:idx val="19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8-AC35-B44D-BED3-FD2662CF8EF4}"/>
                </c:ext>
              </c:extLst>
            </c:dLbl>
            <c:dLbl>
              <c:idx val="19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A-AC35-B44D-BED3-FD2662CF8EF4}"/>
                </c:ext>
              </c:extLst>
            </c:dLbl>
            <c:dLbl>
              <c:idx val="19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C-AC35-B44D-BED3-FD2662CF8EF4}"/>
                </c:ext>
              </c:extLst>
            </c:dLbl>
            <c:dLbl>
              <c:idx val="19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E-AC35-B44D-BED3-FD2662CF8EF4}"/>
                </c:ext>
              </c:extLst>
            </c:dLbl>
            <c:dLbl>
              <c:idx val="19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0-AC35-B44D-BED3-FD2662CF8EF4}"/>
                </c:ext>
              </c:extLst>
            </c:dLbl>
            <c:dLbl>
              <c:idx val="20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2-AC35-B44D-BED3-FD2662CF8EF4}"/>
                </c:ext>
              </c:extLst>
            </c:dLbl>
            <c:dLbl>
              <c:idx val="20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4-AC35-B44D-BED3-FD2662CF8EF4}"/>
                </c:ext>
              </c:extLst>
            </c:dLbl>
            <c:dLbl>
              <c:idx val="20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6-AC35-B44D-BED3-FD2662CF8EF4}"/>
                </c:ext>
              </c:extLst>
            </c:dLbl>
            <c:dLbl>
              <c:idx val="20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8-AC35-B44D-BED3-FD2662CF8EF4}"/>
                </c:ext>
              </c:extLst>
            </c:dLbl>
            <c:dLbl>
              <c:idx val="20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A-AC35-B44D-BED3-FD2662CF8EF4}"/>
                </c:ext>
              </c:extLst>
            </c:dLbl>
            <c:dLbl>
              <c:idx val="20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C-AC35-B44D-BED3-FD2662CF8EF4}"/>
                </c:ext>
              </c:extLst>
            </c:dLbl>
            <c:dLbl>
              <c:idx val="20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E-AC35-B44D-BED3-FD2662CF8EF4}"/>
                </c:ext>
              </c:extLst>
            </c:dLbl>
            <c:dLbl>
              <c:idx val="20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0-AC35-B44D-BED3-FD2662CF8EF4}"/>
                </c:ext>
              </c:extLst>
            </c:dLbl>
            <c:dLbl>
              <c:idx val="20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2-AC35-B44D-BED3-FD2662CF8EF4}"/>
                </c:ext>
              </c:extLst>
            </c:dLbl>
            <c:dLbl>
              <c:idx val="20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4-AC35-B44D-BED3-FD2662CF8EF4}"/>
                </c:ext>
              </c:extLst>
            </c:dLbl>
            <c:dLbl>
              <c:idx val="2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6-AC35-B44D-BED3-FD2662CF8EF4}"/>
                </c:ext>
              </c:extLst>
            </c:dLbl>
            <c:dLbl>
              <c:idx val="2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8-AC35-B44D-BED3-FD2662CF8EF4}"/>
                </c:ext>
              </c:extLst>
            </c:dLbl>
            <c:dLbl>
              <c:idx val="2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A-AC35-B44D-BED3-FD2662CF8EF4}"/>
                </c:ext>
              </c:extLst>
            </c:dLbl>
            <c:dLbl>
              <c:idx val="2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C-AC35-B44D-BED3-FD2662CF8EF4}"/>
                </c:ext>
              </c:extLst>
            </c:dLbl>
            <c:dLbl>
              <c:idx val="2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E-AC35-B44D-BED3-FD2662CF8EF4}"/>
                </c:ext>
              </c:extLst>
            </c:dLbl>
            <c:dLbl>
              <c:idx val="21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0-AC35-B44D-BED3-FD2662CF8EF4}"/>
                </c:ext>
              </c:extLst>
            </c:dLbl>
            <c:dLbl>
              <c:idx val="2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2-AC35-B44D-BED3-FD2662CF8EF4}"/>
                </c:ext>
              </c:extLst>
            </c:dLbl>
            <c:dLbl>
              <c:idx val="21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4-AC35-B44D-BED3-FD2662CF8EF4}"/>
                </c:ext>
              </c:extLst>
            </c:dLbl>
            <c:dLbl>
              <c:idx val="2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6-AC35-B44D-BED3-FD2662CF8EF4}"/>
                </c:ext>
              </c:extLst>
            </c:dLbl>
            <c:dLbl>
              <c:idx val="2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8-AC35-B44D-BED3-FD2662CF8EF4}"/>
                </c:ext>
              </c:extLst>
            </c:dLbl>
            <c:dLbl>
              <c:idx val="2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A-AC35-B44D-BED3-FD2662CF8EF4}"/>
                </c:ext>
              </c:extLst>
            </c:dLbl>
            <c:dLbl>
              <c:idx val="2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C-AC35-B44D-BED3-FD2662CF8EF4}"/>
                </c:ext>
              </c:extLst>
            </c:dLbl>
            <c:dLbl>
              <c:idx val="22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E-AC35-B44D-BED3-FD2662CF8EF4}"/>
                </c:ext>
              </c:extLst>
            </c:dLbl>
            <c:dLbl>
              <c:idx val="22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0-AC35-B44D-BED3-FD2662CF8EF4}"/>
                </c:ext>
              </c:extLst>
            </c:dLbl>
            <c:dLbl>
              <c:idx val="22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2-AC35-B44D-BED3-FD2662CF8EF4}"/>
                </c:ext>
              </c:extLst>
            </c:dLbl>
            <c:dLbl>
              <c:idx val="22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4-AC35-B44D-BED3-FD2662CF8EF4}"/>
                </c:ext>
              </c:extLst>
            </c:dLbl>
            <c:dLbl>
              <c:idx val="2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6-AC35-B44D-BED3-FD2662CF8EF4}"/>
                </c:ext>
              </c:extLst>
            </c:dLbl>
            <c:dLbl>
              <c:idx val="2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8-AC35-B44D-BED3-FD2662CF8EF4}"/>
                </c:ext>
              </c:extLst>
            </c:dLbl>
            <c:dLbl>
              <c:idx val="2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A-AC35-B44D-BED3-FD2662CF8EF4}"/>
                </c:ext>
              </c:extLst>
            </c:dLbl>
            <c:dLbl>
              <c:idx val="2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C-AC35-B44D-BED3-FD2662CF8EF4}"/>
                </c:ext>
              </c:extLst>
            </c:dLbl>
            <c:dLbl>
              <c:idx val="2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E-AC35-B44D-BED3-FD2662CF8EF4}"/>
                </c:ext>
              </c:extLst>
            </c:dLbl>
            <c:dLbl>
              <c:idx val="2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0-AC35-B44D-BED3-FD2662CF8EF4}"/>
                </c:ext>
              </c:extLst>
            </c:dLbl>
            <c:dLbl>
              <c:idx val="2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2-AC35-B44D-BED3-FD2662CF8EF4}"/>
                </c:ext>
              </c:extLst>
            </c:dLbl>
            <c:dLbl>
              <c:idx val="2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4-AC35-B44D-BED3-FD2662CF8EF4}"/>
                </c:ext>
              </c:extLst>
            </c:dLbl>
            <c:dLbl>
              <c:idx val="23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6-AC35-B44D-BED3-FD2662CF8EF4}"/>
                </c:ext>
              </c:extLst>
            </c:dLbl>
            <c:dLbl>
              <c:idx val="2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8-AC35-B44D-BED3-FD2662CF8EF4}"/>
                </c:ext>
              </c:extLst>
            </c:dLbl>
            <c:dLbl>
              <c:idx val="23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A-AC35-B44D-BED3-FD2662CF8EF4}"/>
                </c:ext>
              </c:extLst>
            </c:dLbl>
            <c:dLbl>
              <c:idx val="23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C-AC35-B44D-BED3-FD2662CF8EF4}"/>
                </c:ext>
              </c:extLst>
            </c:dLbl>
            <c:dLbl>
              <c:idx val="23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E-AC35-B44D-BED3-FD2662CF8EF4}"/>
                </c:ext>
              </c:extLst>
            </c:dLbl>
            <c:dLbl>
              <c:idx val="2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0-AC35-B44D-BED3-FD2662CF8EF4}"/>
                </c:ext>
              </c:extLst>
            </c:dLbl>
            <c:dLbl>
              <c:idx val="2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2-AC35-B44D-BED3-FD2662CF8EF4}"/>
                </c:ext>
              </c:extLst>
            </c:dLbl>
            <c:dLbl>
              <c:idx val="2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4-AC35-B44D-BED3-FD2662CF8EF4}"/>
                </c:ext>
              </c:extLst>
            </c:dLbl>
            <c:dLbl>
              <c:idx val="24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6-AC35-B44D-BED3-FD2662CF8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9"/>
              <c:pt idx="0">
                <c:v>Combined Unc</c:v>
              </c:pt>
              <c:pt idx="1">
                <c:v>Avg # of applications/hire - Small US </c:v>
              </c:pt>
              <c:pt idx="2">
                <c:v># of new hires/year - Small US </c:v>
              </c:pt>
              <c:pt idx="3">
                <c:v># of companies - Small US </c:v>
              </c:pt>
              <c:pt idx="4">
                <c:v>International Multiplier</c:v>
              </c:pt>
              <c:pt idx="5">
                <c:v>Addressable Fraction - Small US </c:v>
              </c:pt>
              <c:pt idx="6">
                <c:v>Ethical Code Gen Fee/app - Small US </c:v>
              </c:pt>
              <c:pt idx="7">
                <c:v>Niche Size - of sweetspot TAM</c:v>
              </c:pt>
              <c:pt idx="8">
                <c:v>Niche Dilution</c:v>
              </c:pt>
              <c:pt idx="9">
                <c:v>Niche Market Share</c:v>
              </c:pt>
              <c:pt idx="10">
                <c:v>Investment size</c:v>
              </c:pt>
              <c:pt idx="11">
                <c:v>Niche Exit Mult Disc</c:v>
              </c:pt>
              <c:pt idx="12">
                <c:v>Serf Market Share</c:v>
              </c:pt>
              <c:pt idx="13">
                <c:v>King / Gorrilla Chance</c:v>
              </c:pt>
              <c:pt idx="14">
                <c:v>Addressable Fraction - Big US </c:v>
              </c:pt>
              <c:pt idx="15">
                <c:v># of companies - Med US </c:v>
              </c:pt>
              <c:pt idx="16">
                <c:v>King Market Share</c:v>
              </c:pt>
              <c:pt idx="17">
                <c:v>Addressable Fraction - Med US </c:v>
              </c:pt>
              <c:pt idx="18">
                <c:v># of companies - Big US </c:v>
              </c:pt>
              <c:pt idx="19">
                <c:v>Prince / Monkey Chance</c:v>
              </c:pt>
              <c:pt idx="20">
                <c:v>Ethical Code Gen Fee/app - Med US </c:v>
              </c:pt>
              <c:pt idx="21">
                <c:v>Ethical Code Gen Fee/app - Big US </c:v>
              </c:pt>
              <c:pt idx="22">
                <c:v>Prince Market Share</c:v>
              </c:pt>
              <c:pt idx="23">
                <c:v># of new hires/year - Med US </c:v>
              </c:pt>
              <c:pt idx="24">
                <c:v>Exit Multiple (Sales)</c:v>
              </c:pt>
              <c:pt idx="25">
                <c:v>Avg # of applications/hire - Med US </c:v>
              </c:pt>
              <c:pt idx="26">
                <c:v># of new hires/year - Big US </c:v>
              </c:pt>
              <c:pt idx="27">
                <c:v>Avg # of applications/hire - Big US </c:v>
              </c:pt>
              <c:pt idx="28">
                <c:v>Dilution</c:v>
              </c:pt>
            </c:strLit>
          </c:cat>
          <c:val>
            <c:numLit>
              <c:formatCode>General</c:formatCode>
              <c:ptCount val="29"/>
              <c:pt idx="0">
                <c:v>5.0226683870967728</c:v>
              </c:pt>
              <c:pt idx="1">
                <c:v>19.131679999999999</c:v>
              </c:pt>
              <c:pt idx="2">
                <c:v>19.131679999999999</c:v>
              </c:pt>
              <c:pt idx="3">
                <c:v>19.131679999999999</c:v>
              </c:pt>
              <c:pt idx="4">
                <c:v>19.131679999999999</c:v>
              </c:pt>
              <c:pt idx="5">
                <c:v>19.131679999999999</c:v>
              </c:pt>
              <c:pt idx="6">
                <c:v>19.131679999999999</c:v>
              </c:pt>
              <c:pt idx="7">
                <c:v>19.075199999999999</c:v>
              </c:pt>
              <c:pt idx="8">
                <c:v>19.357599999999998</c:v>
              </c:pt>
              <c:pt idx="9">
                <c:v>18.679839999999999</c:v>
              </c:pt>
              <c:pt idx="10">
                <c:v>19.769402666666664</c:v>
              </c:pt>
              <c:pt idx="11">
                <c:v>18.553324799999999</c:v>
              </c:pt>
              <c:pt idx="12">
                <c:v>17.367679999999996</c:v>
              </c:pt>
              <c:pt idx="13">
                <c:v>17.014879999999998</c:v>
              </c:pt>
              <c:pt idx="14">
                <c:v>15.428774193548383</c:v>
              </c:pt>
              <c:pt idx="15">
                <c:v>15.660205806451611</c:v>
              </c:pt>
              <c:pt idx="16">
                <c:v>16.191679999999998</c:v>
              </c:pt>
              <c:pt idx="17">
                <c:v>16.04592516129032</c:v>
              </c:pt>
              <c:pt idx="18">
                <c:v>15.428774193548383</c:v>
              </c:pt>
              <c:pt idx="19">
                <c:v>16.779679999999999</c:v>
              </c:pt>
              <c:pt idx="20">
                <c:v>14.503047741935481</c:v>
              </c:pt>
              <c:pt idx="21">
                <c:v>14.194472258064517</c:v>
              </c:pt>
              <c:pt idx="22">
                <c:v>17.36768</c:v>
              </c:pt>
              <c:pt idx="23">
                <c:v>13.57732129032258</c:v>
              </c:pt>
              <c:pt idx="24">
                <c:v>11.479007999999999</c:v>
              </c:pt>
              <c:pt idx="25">
                <c:v>12.188731612903224</c:v>
              </c:pt>
              <c:pt idx="26">
                <c:v>11.725868387096773</c:v>
              </c:pt>
              <c:pt idx="27">
                <c:v>11.725868387096773</c:v>
              </c:pt>
              <c:pt idx="28">
                <c:v>37.359679999999997</c:v>
              </c:pt>
            </c:numLit>
          </c:val>
          <c:extLst>
            <c:ext xmlns:c16="http://schemas.microsoft.com/office/drawing/2014/chart" uri="{C3380CC4-5D6E-409C-BE32-E72D297353CC}">
              <c16:uniqueId val="{00000000-AC35-B44D-BED3-FD2662CF8EF4}"/>
            </c:ext>
          </c:extLst>
        </c:ser>
        <c:ser>
          <c:idx val="1"/>
          <c:order val="1"/>
          <c:tx>
            <c:v>High</c:v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C35-B44D-BED3-FD2662CF8EF4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C35-B44D-BED3-FD2662CF8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40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AC35-B44D-BED3-FD2662CF8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30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C35-B44D-BED3-FD2662CF8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50000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C35-B44D-BED3-FD2662CF8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C35-B44D-BED3-FD2662CF8EF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0.7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C35-B44D-BED3-FD2662CF8EF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150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C35-B44D-BED3-FD2662CF8EF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0.2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C35-B44D-BED3-FD2662CF8EF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0.75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C35-B44D-BED3-FD2662CF8EF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0.025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C35-B44D-BED3-FD2662CF8EF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1.5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C35-B44D-BED3-FD2662CF8EF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0.8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C35-B44D-BED3-FD2662CF8EF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0.03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C35-B44D-BED3-FD2662CF8EF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0.15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C35-B44D-BED3-FD2662CF8EF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AC35-B44D-BED3-FD2662CF8EF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5000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AC35-B44D-BED3-FD2662CF8EF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0.3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AC35-B44D-BED3-FD2662CF8EF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0.8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AC35-B44D-BED3-FD2662CF8EF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1000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AC35-B44D-BED3-FD2662CF8EF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0.5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AC35-B44D-BED3-FD2662CF8EF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150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AC35-B44D-BED3-FD2662CF8EF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150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AC35-B44D-BED3-FD2662CF8EF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0.2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AC35-B44D-BED3-FD2662CF8EF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AC35-B44D-BED3-FD2662CF8EF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AC35-B44D-BED3-FD2662CF8EF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40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AC35-B44D-BED3-FD2662CF8EF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4000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AC35-B44D-BED3-FD2662CF8EF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40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AC35-B44D-BED3-FD2662CF8EF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AC35-B44D-BED3-FD2662CF8EF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AC35-B44D-BED3-FD2662CF8EF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AC35-B44D-BED3-FD2662CF8EF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AC35-B44D-BED3-FD2662CF8EF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AC35-B44D-BED3-FD2662CF8EF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AC35-B44D-BED3-FD2662CF8EF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AC35-B44D-BED3-FD2662CF8EF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AC35-B44D-BED3-FD2662CF8EF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AC35-B44D-BED3-FD2662CF8EF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AC35-B44D-BED3-FD2662CF8EF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AC35-B44D-BED3-FD2662CF8EF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AC35-B44D-BED3-FD2662CF8EF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AC35-B44D-BED3-FD2662CF8EF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AC35-B44D-BED3-FD2662CF8EF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AC35-B44D-BED3-FD2662CF8EF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AC35-B44D-BED3-FD2662CF8EF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B-AC35-B44D-BED3-FD2662CF8EF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D-AC35-B44D-BED3-FD2662CF8EF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F-AC35-B44D-BED3-FD2662CF8EF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1-AC35-B44D-BED3-FD2662CF8EF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3-AC35-B44D-BED3-FD2662CF8EF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5-AC35-B44D-BED3-FD2662CF8EF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7-AC35-B44D-BED3-FD2662CF8EF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9-AC35-B44D-BED3-FD2662CF8EF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B-AC35-B44D-BED3-FD2662CF8EF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D-AC35-B44D-BED3-FD2662CF8EF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F-AC35-B44D-BED3-FD2662CF8EF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1-AC35-B44D-BED3-FD2662CF8EF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3-AC35-B44D-BED3-FD2662CF8EF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5-AC35-B44D-BED3-FD2662CF8EF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7-AC35-B44D-BED3-FD2662CF8EF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9-AC35-B44D-BED3-FD2662CF8EF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B-AC35-B44D-BED3-FD2662CF8EF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D-AC35-B44D-BED3-FD2662CF8EF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F-AC35-B44D-BED3-FD2662CF8EF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1-AC35-B44D-BED3-FD2662CF8EF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3-AC35-B44D-BED3-FD2662CF8EF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5-AC35-B44D-BED3-FD2662CF8EF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7-AC35-B44D-BED3-FD2662CF8EF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9-AC35-B44D-BED3-FD2662CF8EF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B-AC35-B44D-BED3-FD2662CF8EF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D-AC35-B44D-BED3-FD2662CF8EF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F-AC35-B44D-BED3-FD2662CF8EF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1-AC35-B44D-BED3-FD2662CF8EF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3-AC35-B44D-BED3-FD2662CF8EF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5-AC35-B44D-BED3-FD2662CF8EF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7-AC35-B44D-BED3-FD2662CF8EF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9-AC35-B44D-BED3-FD2662CF8EF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B-AC35-B44D-BED3-FD2662CF8EF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D-AC35-B44D-BED3-FD2662CF8EF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F-AC35-B44D-BED3-FD2662CF8EF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1-AC35-B44D-BED3-FD2662CF8EF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3-AC35-B44D-BED3-FD2662CF8EF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5-AC35-B44D-BED3-FD2662CF8EF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7-AC35-B44D-BED3-FD2662CF8EF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9-AC35-B44D-BED3-FD2662CF8EF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B-AC35-B44D-BED3-FD2662CF8EF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D-AC35-B44D-BED3-FD2662CF8EF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F-AC35-B44D-BED3-FD2662CF8EF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1-AC35-B44D-BED3-FD2662CF8EF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3-AC35-B44D-BED3-FD2662CF8EF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5-AC35-B44D-BED3-FD2662CF8EF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7-AC35-B44D-BED3-FD2662CF8EF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9-AC35-B44D-BED3-FD2662CF8EF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B-AC35-B44D-BED3-FD2662CF8EF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D-AC35-B44D-BED3-FD2662CF8EF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F-AC35-B44D-BED3-FD2662CF8EF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1-AC35-B44D-BED3-FD2662CF8EF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3-AC35-B44D-BED3-FD2662CF8EF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5-AC35-B44D-BED3-FD2662CF8EF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7-AC35-B44D-BED3-FD2662CF8EF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9-AC35-B44D-BED3-FD2662CF8EF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B-AC35-B44D-BED3-FD2662CF8EF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D-AC35-B44D-BED3-FD2662CF8EF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F-AC35-B44D-BED3-FD2662CF8EF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1-AC35-B44D-BED3-FD2662CF8EF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3-AC35-B44D-BED3-FD2662CF8EF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5-AC35-B44D-BED3-FD2662CF8EF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7-AC35-B44D-BED3-FD2662CF8EF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9-AC35-B44D-BED3-FD2662CF8EF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B-AC35-B44D-BED3-FD2662CF8EF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D-AC35-B44D-BED3-FD2662CF8EF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F-AC35-B44D-BED3-FD2662CF8EF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1-AC35-B44D-BED3-FD2662CF8EF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3-AC35-B44D-BED3-FD2662CF8EF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5-AC35-B44D-BED3-FD2662CF8EF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7-AC35-B44D-BED3-FD2662CF8EF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9-AC35-B44D-BED3-FD2662CF8EF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B-AC35-B44D-BED3-FD2662CF8EF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D-AC35-B44D-BED3-FD2662CF8EF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F-AC35-B44D-BED3-FD2662CF8EF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1-AC35-B44D-BED3-FD2662CF8EF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3-AC35-B44D-BED3-FD2662CF8EF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5-AC35-B44D-BED3-FD2662CF8EF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7-AC35-B44D-BED3-FD2662CF8EF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9-AC35-B44D-BED3-FD2662CF8EF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B-AC35-B44D-BED3-FD2662CF8EF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D-AC35-B44D-BED3-FD2662CF8EF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F-AC35-B44D-BED3-FD2662CF8EF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1-AC35-B44D-BED3-FD2662CF8EF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3-AC35-B44D-BED3-FD2662CF8EF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5-AC35-B44D-BED3-FD2662CF8EF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7-AC35-B44D-BED3-FD2662CF8EF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9-AC35-B44D-BED3-FD2662CF8EF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B-AC35-B44D-BED3-FD2662CF8EF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D-AC35-B44D-BED3-FD2662CF8EF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F-AC35-B44D-BED3-FD2662CF8EF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1-AC35-B44D-BED3-FD2662CF8EF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3-AC35-B44D-BED3-FD2662CF8EF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5-AC35-B44D-BED3-FD2662CF8EF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7-AC35-B44D-BED3-FD2662CF8EF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9-AC35-B44D-BED3-FD2662CF8EF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B-AC35-B44D-BED3-FD2662CF8EF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D-AC35-B44D-BED3-FD2662CF8EF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F-AC35-B44D-BED3-FD2662CF8EF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1-AC35-B44D-BED3-FD2662CF8EF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3-AC35-B44D-BED3-FD2662CF8EF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5-AC35-B44D-BED3-FD2662CF8EF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7-AC35-B44D-BED3-FD2662CF8EF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9-AC35-B44D-BED3-FD2662CF8EF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B-AC35-B44D-BED3-FD2662CF8EF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D-AC35-B44D-BED3-FD2662CF8EF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F-AC35-B44D-BED3-FD2662CF8EF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1-AC35-B44D-BED3-FD2662CF8EF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3-AC35-B44D-BED3-FD2662CF8EF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5-AC35-B44D-BED3-FD2662CF8EF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7-AC35-B44D-BED3-FD2662CF8EF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9-AC35-B44D-BED3-FD2662CF8EF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B-AC35-B44D-BED3-FD2662CF8EF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D-AC35-B44D-BED3-FD2662CF8EF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F-AC35-B44D-BED3-FD2662CF8EF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1-AC35-B44D-BED3-FD2662CF8EF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3-AC35-B44D-BED3-FD2662CF8EF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5-AC35-B44D-BED3-FD2662CF8EF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7-AC35-B44D-BED3-FD2662CF8EF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9-AC35-B44D-BED3-FD2662CF8EF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B-AC35-B44D-BED3-FD2662CF8EF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D-AC35-B44D-BED3-FD2662CF8EF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F-AC35-B44D-BED3-FD2662CF8EF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1-AC35-B44D-BED3-FD2662CF8EF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3-AC35-B44D-BED3-FD2662CF8EF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5-AC35-B44D-BED3-FD2662CF8EF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7-AC35-B44D-BED3-FD2662CF8EF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9-AC35-B44D-BED3-FD2662CF8EF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B-AC35-B44D-BED3-FD2662CF8EF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D-AC35-B44D-BED3-FD2662CF8EF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F-AC35-B44D-BED3-FD2662CF8EF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1-AC35-B44D-BED3-FD2662CF8EF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3-AC35-B44D-BED3-FD2662CF8EF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5-AC35-B44D-BED3-FD2662CF8EF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7-AC35-B44D-BED3-FD2662CF8EF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9-AC35-B44D-BED3-FD2662CF8EF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B-AC35-B44D-BED3-FD2662CF8EF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D-AC35-B44D-BED3-FD2662CF8EF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F-AC35-B44D-BED3-FD2662CF8EF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1-AC35-B44D-BED3-FD2662CF8EF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3-AC35-B44D-BED3-FD2662CF8EF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5-AC35-B44D-BED3-FD2662CF8EF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7-AC35-B44D-BED3-FD2662CF8EF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9-AC35-B44D-BED3-FD2662CF8EF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B-AC35-B44D-BED3-FD2662CF8EF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D-AC35-B44D-BED3-FD2662CF8EF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F-AC35-B44D-BED3-FD2662CF8EF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1-AC35-B44D-BED3-FD2662CF8EF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3-AC35-B44D-BED3-FD2662CF8EF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5-AC35-B44D-BED3-FD2662CF8EF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7-AC35-B44D-BED3-FD2662CF8EF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9-AC35-B44D-BED3-FD2662CF8EF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B-AC35-B44D-BED3-FD2662CF8EF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D-AC35-B44D-BED3-FD2662CF8EF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F-AC35-B44D-BED3-FD2662CF8EF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1-AC35-B44D-BED3-FD2662CF8EF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3-AC35-B44D-BED3-FD2662CF8EF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5-AC35-B44D-BED3-FD2662CF8EF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7-AC35-B44D-BED3-FD2662CF8EF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9-AC35-B44D-BED3-FD2662CF8EF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B-AC35-B44D-BED3-FD2662CF8EF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D-AC35-B44D-BED3-FD2662CF8EF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F-AC35-B44D-BED3-FD2662CF8EF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1-AC35-B44D-BED3-FD2662CF8EF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3-AC35-B44D-BED3-FD2662CF8EF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5-AC35-B44D-BED3-FD2662CF8EF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7-AC35-B44D-BED3-FD2662CF8EF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9-AC35-B44D-BED3-FD2662CF8EF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B-AC35-B44D-BED3-FD2662CF8EF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D-AC35-B44D-BED3-FD2662CF8EF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F-AC35-B44D-BED3-FD2662CF8EF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1-AC35-B44D-BED3-FD2662CF8EF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3-AC35-B44D-BED3-FD2662CF8EF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5-AC35-B44D-BED3-FD2662CF8EF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7-AC35-B44D-BED3-FD2662CF8EF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9-AC35-B44D-BED3-FD2662CF8EF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B-AC35-B44D-BED3-FD2662CF8EF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D-AC35-B44D-BED3-FD2662CF8EF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F-AC35-B44D-BED3-FD2662CF8EF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1-AC35-B44D-BED3-FD2662CF8EF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3-AC35-B44D-BED3-FD2662CF8EF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5-AC35-B44D-BED3-FD2662CF8EF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7-AC35-B44D-BED3-FD2662CF8EF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9-AC35-B44D-BED3-FD2662CF8EF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B-AC35-B44D-BED3-FD2662CF8EF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D-AC35-B44D-BED3-FD2662CF8EF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F-AC35-B44D-BED3-FD2662CF8EF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1-AC35-B44D-BED3-FD2662CF8EF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3-AC35-B44D-BED3-FD2662CF8EF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5-AC35-B44D-BED3-FD2662CF8EF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7-AC35-B44D-BED3-FD2662CF8EF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9-AC35-B44D-BED3-FD2662CF8EF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B-AC35-B44D-BED3-FD2662CF8EF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D-AC35-B44D-BED3-FD2662CF8EF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F-AC35-B44D-BED3-FD2662CF8EF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1-AC35-B44D-BED3-FD2662CF8EF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3-AC35-B44D-BED3-FD2662CF8EF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5-AC35-B44D-BED3-FD2662CF8EF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7-AC35-B44D-BED3-FD2662CF8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Tornado!#REF!</c:f>
            </c:multiLvlStrRef>
          </c:cat>
          <c:val>
            <c:numLit>
              <c:formatCode>General</c:formatCode>
              <c:ptCount val="29"/>
              <c:pt idx="0">
                <c:v>48.989386838709677</c:v>
              </c:pt>
              <c:pt idx="1">
                <c:v>19.131679999999999</c:v>
              </c:pt>
              <c:pt idx="2">
                <c:v>19.131679999999999</c:v>
              </c:pt>
              <c:pt idx="3">
                <c:v>19.131679999999999</c:v>
              </c:pt>
              <c:pt idx="4">
                <c:v>19.131679999999999</c:v>
              </c:pt>
              <c:pt idx="5">
                <c:v>19.131679999999999</c:v>
              </c:pt>
              <c:pt idx="6">
                <c:v>19.131679999999999</c:v>
              </c:pt>
              <c:pt idx="7">
                <c:v>19.357599999999998</c:v>
              </c:pt>
              <c:pt idx="8">
                <c:v>18.792799999999996</c:v>
              </c:pt>
              <c:pt idx="9">
                <c:v>19.357599999999998</c:v>
              </c:pt>
              <c:pt idx="10">
                <c:v>18.248679384615382</c:v>
              </c:pt>
              <c:pt idx="11">
                <c:v>20.541420799999997</c:v>
              </c:pt>
              <c:pt idx="12">
                <c:v>20.895679999999999</c:v>
              </c:pt>
              <c:pt idx="13">
                <c:v>21.77768</c:v>
              </c:pt>
              <c:pt idx="14">
                <c:v>20.36598193548387</c:v>
              </c:pt>
              <c:pt idx="15">
                <c:v>21.445996129032256</c:v>
              </c:pt>
              <c:pt idx="16">
                <c:v>22.071680000000001</c:v>
              </c:pt>
              <c:pt idx="17">
                <c:v>22.217434838709675</c:v>
              </c:pt>
              <c:pt idx="18">
                <c:v>21.600283870967743</c:v>
              </c:pt>
              <c:pt idx="19">
                <c:v>23.835679999999996</c:v>
              </c:pt>
              <c:pt idx="20">
                <c:v>23.760312258064516</c:v>
              </c:pt>
              <c:pt idx="21">
                <c:v>24.06888774193548</c:v>
              </c:pt>
              <c:pt idx="22">
                <c:v>27.95168</c:v>
              </c:pt>
              <c:pt idx="23">
                <c:v>28.388944516129033</c:v>
              </c:pt>
              <c:pt idx="24">
                <c:v>26.784351999999998</c:v>
              </c:pt>
              <c:pt idx="25">
                <c:v>28.388944516129033</c:v>
              </c:pt>
              <c:pt idx="26">
                <c:v>29.006095483870961</c:v>
              </c:pt>
              <c:pt idx="27">
                <c:v>29.006095483870961</c:v>
              </c:pt>
              <c:pt idx="28">
                <c:v>8.1948799999999977</c:v>
              </c:pt>
            </c:numLit>
          </c:val>
          <c:extLst>
            <c:ext xmlns:c16="http://schemas.microsoft.com/office/drawing/2014/chart" uri="{C3380CC4-5D6E-409C-BE32-E72D297353CC}">
              <c16:uniqueId val="{00000001-AC35-B44D-BED3-FD2662CF8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947514576"/>
        <c:axId val="973346752"/>
      </c:barChart>
      <c:catAx>
        <c:axId val="9475145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3346752"/>
        <c:crossesAt val="19.131679999999999"/>
        <c:auto val="1"/>
        <c:lblAlgn val="ctr"/>
        <c:lblOffset val="100"/>
        <c:noMultiLvlLbl val="0"/>
      </c:catAx>
      <c:valAx>
        <c:axId val="973346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14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CDF for Target Mkt: PWMOIC given Cross Chasm Success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43"/>
              <c:pt idx="0">
                <c:v>0.75340025806451594</c:v>
              </c:pt>
              <c:pt idx="1">
                <c:v>1.2292319999999997</c:v>
              </c:pt>
              <c:pt idx="2">
                <c:v>1.2292319999999997</c:v>
              </c:pt>
              <c:pt idx="3">
                <c:v>1.2556670967741932</c:v>
              </c:pt>
              <c:pt idx="4">
                <c:v>1.7579339354838706</c:v>
              </c:pt>
              <c:pt idx="5">
                <c:v>1.758880258064516</c:v>
              </c:pt>
              <c:pt idx="6">
                <c:v>1.8636743225806447</c:v>
              </c:pt>
              <c:pt idx="7">
                <c:v>1.8636743225806447</c:v>
              </c:pt>
              <c:pt idx="8">
                <c:v>2.0487199999999994</c:v>
              </c:pt>
              <c:pt idx="9">
                <c:v>2.0487199999999994</c:v>
              </c:pt>
              <c:pt idx="10">
                <c:v>2.5377692903225801</c:v>
              </c:pt>
              <c:pt idx="11">
                <c:v>2.8682079999999996</c:v>
              </c:pt>
              <c:pt idx="12">
                <c:v>2.8682079999999996</c:v>
              </c:pt>
              <c:pt idx="13">
                <c:v>2.8697519999999996</c:v>
              </c:pt>
              <c:pt idx="14">
                <c:v>2.8697519999999996</c:v>
              </c:pt>
              <c:pt idx="15">
                <c:v>2.9314670967741931</c:v>
              </c:pt>
              <c:pt idx="16">
                <c:v>3.0136010322580637</c:v>
              </c:pt>
              <c:pt idx="17">
                <c:v>3.0136010322580637</c:v>
              </c:pt>
              <c:pt idx="18">
                <c:v>3.1061238709677408</c:v>
              </c:pt>
              <c:pt idx="19">
                <c:v>3.1061238709677408</c:v>
              </c:pt>
              <c:pt idx="20">
                <c:v>3.1325589677419345</c:v>
              </c:pt>
              <c:pt idx="21">
                <c:v>3.4346802580645153</c:v>
              </c:pt>
              <c:pt idx="22">
                <c:v>3.6480433548387086</c:v>
              </c:pt>
              <c:pt idx="23">
                <c:v>3.6480433548387086</c:v>
              </c:pt>
              <c:pt idx="24">
                <c:v>4.1040539354838703</c:v>
              </c:pt>
              <c:pt idx="25">
                <c:v>4.2296154838709663</c:v>
              </c:pt>
              <c:pt idx="26">
                <c:v>4.3485734193548371</c:v>
              </c:pt>
              <c:pt idx="27">
                <c:v>4.3485734193548371</c:v>
              </c:pt>
              <c:pt idx="28">
                <c:v>4.3509143225806453</c:v>
              </c:pt>
              <c:pt idx="29">
                <c:v>4.3509143225806453</c:v>
              </c:pt>
              <c:pt idx="30">
                <c:v>4.7829199999999998</c:v>
              </c:pt>
              <c:pt idx="31">
                <c:v>4.7829199999999998</c:v>
              </c:pt>
              <c:pt idx="32">
                <c:v>4.9169279999999986</c:v>
              </c:pt>
              <c:pt idx="33">
                <c:v>4.9169279999999986</c:v>
              </c:pt>
              <c:pt idx="34">
                <c:v>5.0226683870967728</c:v>
              </c:pt>
              <c:pt idx="35">
                <c:v>5.0226683870967728</c:v>
              </c:pt>
              <c:pt idx="36">
                <c:v>5.2209316129032244</c:v>
              </c:pt>
              <c:pt idx="37">
                <c:v>5.3927597419354818</c:v>
              </c:pt>
              <c:pt idx="38">
                <c:v>5.3927597419354818</c:v>
              </c:pt>
              <c:pt idx="39">
                <c:v>5.6039519999999996</c:v>
              </c:pt>
              <c:pt idx="40">
                <c:v>5.6039519999999996</c:v>
              </c:pt>
              <c:pt idx="41">
                <c:v>5.6703282580645151</c:v>
              </c:pt>
              <c:pt idx="42">
                <c:v>5.6703282580645151</c:v>
              </c:pt>
              <c:pt idx="43">
                <c:v>5.7244670967741929</c:v>
              </c:pt>
              <c:pt idx="44">
                <c:v>5.9214616774193534</c:v>
              </c:pt>
              <c:pt idx="45">
                <c:v>5.9246492903225807</c:v>
              </c:pt>
              <c:pt idx="46">
                <c:v>6.0272020645161275</c:v>
              </c:pt>
              <c:pt idx="47">
                <c:v>6.0272020645161275</c:v>
              </c:pt>
              <c:pt idx="48">
                <c:v>6.0800722580645141</c:v>
              </c:pt>
              <c:pt idx="49">
                <c:v>6.0800722580645141</c:v>
              </c:pt>
              <c:pt idx="50">
                <c:v>6.6960879999999996</c:v>
              </c:pt>
              <c:pt idx="51">
                <c:v>6.6960879999999996</c:v>
              </c:pt>
              <c:pt idx="52">
                <c:v>7.0317357419354822</c:v>
              </c:pt>
              <c:pt idx="53">
                <c:v>7.0317357419354822</c:v>
              </c:pt>
              <c:pt idx="54">
                <c:v>7.0355210322580639</c:v>
              </c:pt>
              <c:pt idx="55">
                <c:v>7.0355210322580639</c:v>
              </c:pt>
              <c:pt idx="56">
                <c:v>7.2515238709677403</c:v>
              </c:pt>
              <c:pt idx="57">
                <c:v>7.2515238709677403</c:v>
              </c:pt>
              <c:pt idx="58">
                <c:v>7.2960867096774171</c:v>
              </c:pt>
              <c:pt idx="59">
                <c:v>7.3093042580645138</c:v>
              </c:pt>
              <c:pt idx="60">
                <c:v>7.3132389677419347</c:v>
              </c:pt>
              <c:pt idx="61">
                <c:v>7.4546972903225788</c:v>
              </c:pt>
              <c:pt idx="62">
                <c:v>7.4546972903225788</c:v>
              </c:pt>
              <c:pt idx="63">
                <c:v>8.01425393548387</c:v>
              </c:pt>
              <c:pt idx="64">
                <c:v>8.1948799999999977</c:v>
              </c:pt>
              <c:pt idx="65">
                <c:v>8.1948799999999977</c:v>
              </c:pt>
              <c:pt idx="66">
                <c:v>8.4963143225806466</c:v>
              </c:pt>
              <c:pt idx="67">
                <c:v>8.4963143225806466</c:v>
              </c:pt>
              <c:pt idx="68">
                <c:v>8.512101161290321</c:v>
              </c:pt>
              <c:pt idx="69">
                <c:v>8.512101161290321</c:v>
              </c:pt>
              <c:pt idx="70">
                <c:v>8.51668335483871</c:v>
              </c:pt>
              <c:pt idx="71">
                <c:v>8.51668335483871</c:v>
              </c:pt>
              <c:pt idx="72">
                <c:v>8.9879329032258042</c:v>
              </c:pt>
              <c:pt idx="73">
                <c:v>8.9879329032258042</c:v>
              </c:pt>
              <c:pt idx="74">
                <c:v>9.3399199999999993</c:v>
              </c:pt>
              <c:pt idx="75">
                <c:v>9.3399199999999993</c:v>
              </c:pt>
              <c:pt idx="76">
                <c:v>9.4505470967741907</c:v>
              </c:pt>
              <c:pt idx="77">
                <c:v>9.4505470967741907</c:v>
              </c:pt>
              <c:pt idx="78">
                <c:v>9.8338559999999973</c:v>
              </c:pt>
              <c:pt idx="79">
                <c:v>9.8338559999999973</c:v>
              </c:pt>
              <c:pt idx="80">
                <c:v>9.8744154838709655</c:v>
              </c:pt>
              <c:pt idx="81">
                <c:v>10.045336774193546</c:v>
              </c:pt>
              <c:pt idx="82">
                <c:v>10.045336774193546</c:v>
              </c:pt>
              <c:pt idx="83">
                <c:v>10.152133419354836</c:v>
              </c:pt>
              <c:pt idx="84">
                <c:v>10.152133419354836</c:v>
              </c:pt>
              <c:pt idx="85">
                <c:v>10.745866838709674</c:v>
              </c:pt>
              <c:pt idx="86">
                <c:v>11.472831999999999</c:v>
              </c:pt>
              <c:pt idx="87">
                <c:v>11.472831999999999</c:v>
              </c:pt>
              <c:pt idx="88">
                <c:v>11.479007999999999</c:v>
              </c:pt>
              <c:pt idx="89">
                <c:v>11.479007999999999</c:v>
              </c:pt>
              <c:pt idx="90">
                <c:v>11.569449290322581</c:v>
              </c:pt>
              <c:pt idx="91">
                <c:v>11.725868387096773</c:v>
              </c:pt>
              <c:pt idx="92">
                <c:v>11.725868387096773</c:v>
              </c:pt>
              <c:pt idx="93">
                <c:v>12.160144516129028</c:v>
              </c:pt>
              <c:pt idx="94">
                <c:v>12.188731612903224</c:v>
              </c:pt>
              <c:pt idx="95">
                <c:v>12.424495483870963</c:v>
              </c:pt>
              <c:pt idx="96">
                <c:v>12.424495483870963</c:v>
              </c:pt>
              <c:pt idx="97">
                <c:v>12.530235870967738</c:v>
              </c:pt>
              <c:pt idx="98">
                <c:v>12.583106064516125</c:v>
              </c:pt>
              <c:pt idx="99">
                <c:v>12.583106064516125</c:v>
              </c:pt>
              <c:pt idx="100">
                <c:v>12.589879741935482</c:v>
              </c:pt>
              <c:pt idx="101">
                <c:v>12.589879741935482</c:v>
              </c:pt>
              <c:pt idx="102">
                <c:v>13.075888000000001</c:v>
              </c:pt>
              <c:pt idx="103">
                <c:v>13.075888000000001</c:v>
              </c:pt>
              <c:pt idx="104">
                <c:v>13.230765935483868</c:v>
              </c:pt>
              <c:pt idx="105">
                <c:v>13.230765935483868</c:v>
              </c:pt>
              <c:pt idx="106">
                <c:v>13.237888258064514</c:v>
              </c:pt>
              <c:pt idx="107">
                <c:v>13.237888258064514</c:v>
              </c:pt>
              <c:pt idx="108">
                <c:v>13.738721032258061</c:v>
              </c:pt>
              <c:pt idx="109">
                <c:v>13.738721032258061</c:v>
              </c:pt>
              <c:pt idx="110">
                <c:v>13.824181677419356</c:v>
              </c:pt>
              <c:pt idx="111">
                <c:v>14.063471483870964</c:v>
              </c:pt>
              <c:pt idx="112">
                <c:v>14.063471483870964</c:v>
              </c:pt>
              <c:pt idx="113">
                <c:v>14.071042064516128</c:v>
              </c:pt>
              <c:pt idx="114">
                <c:v>14.071042064516128</c:v>
              </c:pt>
              <c:pt idx="115">
                <c:v>14.160523870967738</c:v>
              </c:pt>
              <c:pt idx="116">
                <c:v>14.160523870967738</c:v>
              </c:pt>
              <c:pt idx="117">
                <c:v>14.194472258064517</c:v>
              </c:pt>
              <c:pt idx="118">
                <c:v>14.194472258064517</c:v>
              </c:pt>
              <c:pt idx="119">
                <c:v>14.281038967741935</c:v>
              </c:pt>
              <c:pt idx="120">
                <c:v>14.909394580645158</c:v>
              </c:pt>
              <c:pt idx="121">
                <c:v>16.389759999999995</c:v>
              </c:pt>
              <c:pt idx="122">
                <c:v>16.389759999999995</c:v>
              </c:pt>
              <c:pt idx="123">
                <c:v>16.416215741935481</c:v>
              </c:pt>
              <c:pt idx="124">
                <c:v>16.416215741935481</c:v>
              </c:pt>
              <c:pt idx="125">
                <c:v>16.631083354838712</c:v>
              </c:pt>
              <c:pt idx="126">
                <c:v>16.631083354838712</c:v>
              </c:pt>
              <c:pt idx="127">
                <c:v>17.024202322580642</c:v>
              </c:pt>
              <c:pt idx="128">
                <c:v>17.03336670967742</c:v>
              </c:pt>
              <c:pt idx="129">
                <c:v>17.064224258064517</c:v>
              </c:pt>
              <c:pt idx="130">
                <c:v>17.394293677419348</c:v>
              </c:pt>
              <c:pt idx="131">
                <c:v>17.394293677419348</c:v>
              </c:pt>
              <c:pt idx="132">
                <c:v>17.403657290322581</c:v>
              </c:pt>
              <c:pt idx="133">
                <c:v>17.403657290322581</c:v>
              </c:pt>
              <c:pt idx="134">
                <c:v>17.909778064516122</c:v>
              </c:pt>
              <c:pt idx="135">
                <c:v>19.131679999999999</c:v>
              </c:pt>
              <c:pt idx="136">
                <c:v>19.131679999999999</c:v>
              </c:pt>
              <c:pt idx="137">
                <c:v>19.282415483870963</c:v>
              </c:pt>
              <c:pt idx="138">
                <c:v>19.824733419354835</c:v>
              </c:pt>
              <c:pt idx="139">
                <c:v>19.824733419354835</c:v>
              </c:pt>
              <c:pt idx="140">
                <c:v>19.872261161290325</c:v>
              </c:pt>
              <c:pt idx="141">
                <c:v>19.872261161290325</c:v>
              </c:pt>
              <c:pt idx="142">
                <c:v>20.883726451612898</c:v>
              </c:pt>
              <c:pt idx="143">
                <c:v>20.983132903225805</c:v>
              </c:pt>
              <c:pt idx="144">
                <c:v>20.983132903225805</c:v>
              </c:pt>
              <c:pt idx="145">
                <c:v>22.063147096774191</c:v>
              </c:pt>
              <c:pt idx="146">
                <c:v>22.063147096774191</c:v>
              </c:pt>
              <c:pt idx="147">
                <c:v>22.415807999999998</c:v>
              </c:pt>
              <c:pt idx="148">
                <c:v>22.415807999999998</c:v>
              </c:pt>
              <c:pt idx="149">
                <c:v>22.897868387096771</c:v>
              </c:pt>
              <c:pt idx="150">
                <c:v>22.897868387096771</c:v>
              </c:pt>
              <c:pt idx="151">
                <c:v>22.945663999999997</c:v>
              </c:pt>
              <c:pt idx="152">
                <c:v>22.945663999999997</c:v>
              </c:pt>
              <c:pt idx="153">
                <c:v>22.958015999999997</c:v>
              </c:pt>
              <c:pt idx="154">
                <c:v>22.958015999999997</c:v>
              </c:pt>
              <c:pt idx="155">
                <c:v>23.451736774193545</c:v>
              </c:pt>
              <c:pt idx="156">
                <c:v>23.451736774193545</c:v>
              </c:pt>
              <c:pt idx="157">
                <c:v>23.801731612903222</c:v>
              </c:pt>
              <c:pt idx="158">
                <c:v>24.585079741935481</c:v>
              </c:pt>
              <c:pt idx="159">
                <c:v>24.585079741935481</c:v>
              </c:pt>
              <c:pt idx="160">
                <c:v>24.848990967741926</c:v>
              </c:pt>
              <c:pt idx="161">
                <c:v>25.073689290322573</c:v>
              </c:pt>
              <c:pt idx="162">
                <c:v>25.087186838709677</c:v>
              </c:pt>
              <c:pt idx="163">
                <c:v>25.850488258064512</c:v>
              </c:pt>
              <c:pt idx="164">
                <c:v>25.850488258064512</c:v>
              </c:pt>
              <c:pt idx="165">
                <c:v>26.784351999999998</c:v>
              </c:pt>
              <c:pt idx="166">
                <c:v>26.784351999999998</c:v>
              </c:pt>
              <c:pt idx="167">
                <c:v>26.995381677419353</c:v>
              </c:pt>
              <c:pt idx="168">
                <c:v>27.477442064516122</c:v>
              </c:pt>
              <c:pt idx="169">
                <c:v>27.477442064516122</c:v>
              </c:pt>
              <c:pt idx="170">
                <c:v>27.718472258064516</c:v>
              </c:pt>
              <c:pt idx="171">
                <c:v>27.718472258064516</c:v>
              </c:pt>
              <c:pt idx="172">
                <c:v>28.388944516129033</c:v>
              </c:pt>
              <c:pt idx="173">
                <c:v>29.006095483870961</c:v>
              </c:pt>
              <c:pt idx="174">
                <c:v>29.006095483870961</c:v>
              </c:pt>
              <c:pt idx="175">
                <c:v>29.237217032258055</c:v>
              </c:pt>
              <c:pt idx="176">
                <c:v>29.252955870967739</c:v>
              </c:pt>
              <c:pt idx="177">
                <c:v>29.376386064516126</c:v>
              </c:pt>
              <c:pt idx="178">
                <c:v>29.376386064516126</c:v>
              </c:pt>
              <c:pt idx="179">
                <c:v>30.888405935483867</c:v>
              </c:pt>
              <c:pt idx="180">
                <c:v>30.888405935483867</c:v>
              </c:pt>
              <c:pt idx="181">
                <c:v>32.05701574193548</c:v>
              </c:pt>
              <c:pt idx="182">
                <c:v>32.05701574193548</c:v>
              </c:pt>
              <c:pt idx="183">
                <c:v>32.832431483870963</c:v>
              </c:pt>
              <c:pt idx="184">
                <c:v>32.832431483870963</c:v>
              </c:pt>
              <c:pt idx="185">
                <c:v>33.262166709677423</c:v>
              </c:pt>
              <c:pt idx="186">
                <c:v>33.322424258064515</c:v>
              </c:pt>
              <c:pt idx="187">
                <c:v>33.985257290322586</c:v>
              </c:pt>
              <c:pt idx="188">
                <c:v>33.985257290322586</c:v>
              </c:pt>
              <c:pt idx="189">
                <c:v>34.788587354838697</c:v>
              </c:pt>
              <c:pt idx="190">
                <c:v>34.807314580645162</c:v>
              </c:pt>
              <c:pt idx="191">
                <c:v>37.359679999999997</c:v>
              </c:pt>
              <c:pt idx="192">
                <c:v>37.359679999999997</c:v>
              </c:pt>
              <c:pt idx="193">
                <c:v>38.263359999999999</c:v>
              </c:pt>
              <c:pt idx="194">
                <c:v>38.263359999999999</c:v>
              </c:pt>
              <c:pt idx="195">
                <c:v>38.805861161290323</c:v>
              </c:pt>
              <c:pt idx="196">
                <c:v>38.805861161290323</c:v>
              </c:pt>
              <c:pt idx="197">
                <c:v>39.74452232258065</c:v>
              </c:pt>
              <c:pt idx="198">
                <c:v>40.608533677419345</c:v>
              </c:pt>
              <c:pt idx="199">
                <c:v>40.608533677419345</c:v>
              </c:pt>
              <c:pt idx="200">
                <c:v>40.975132903225798</c:v>
              </c:pt>
              <c:pt idx="201">
                <c:v>40.975132903225798</c:v>
              </c:pt>
              <c:pt idx="202">
                <c:v>41.811978064516119</c:v>
              </c:pt>
              <c:pt idx="203">
                <c:v>43.084147096774188</c:v>
              </c:pt>
              <c:pt idx="204">
                <c:v>43.084147096774188</c:v>
              </c:pt>
              <c:pt idx="205">
                <c:v>44.831615999999997</c:v>
              </c:pt>
              <c:pt idx="206">
                <c:v>44.831615999999997</c:v>
              </c:pt>
              <c:pt idx="207">
                <c:v>45.795736774193543</c:v>
              </c:pt>
              <c:pt idx="208">
                <c:v>45.795736774193543</c:v>
              </c:pt>
              <c:pt idx="209">
                <c:v>48.754926451612896</c:v>
              </c:pt>
              <c:pt idx="210">
                <c:v>48.989386838709677</c:v>
              </c:pt>
              <c:pt idx="211">
                <c:v>52.303552000000003</c:v>
              </c:pt>
              <c:pt idx="212">
                <c:v>52.303552000000003</c:v>
              </c:pt>
              <c:pt idx="213">
                <c:v>53.568703999999997</c:v>
              </c:pt>
              <c:pt idx="214">
                <c:v>53.568703999999997</c:v>
              </c:pt>
              <c:pt idx="215">
                <c:v>55.436944516129032</c:v>
              </c:pt>
              <c:pt idx="216">
                <c:v>56.642095483870953</c:v>
              </c:pt>
              <c:pt idx="217">
                <c:v>56.642095483870953</c:v>
              </c:pt>
              <c:pt idx="218">
                <c:v>57.124155870967741</c:v>
              </c:pt>
              <c:pt idx="219">
                <c:v>57.365186064516124</c:v>
              </c:pt>
              <c:pt idx="220">
                <c:v>57.365186064516124</c:v>
              </c:pt>
              <c:pt idx="221">
                <c:v>58.012190967741923</c:v>
              </c:pt>
              <c:pt idx="222">
                <c:v>58.536769290322574</c:v>
              </c:pt>
              <c:pt idx="223">
                <c:v>60.317805935483861</c:v>
              </c:pt>
              <c:pt idx="224">
                <c:v>60.317805935483861</c:v>
              </c:pt>
              <c:pt idx="225">
                <c:v>64.11403148387096</c:v>
              </c:pt>
              <c:pt idx="226">
                <c:v>64.11403148387096</c:v>
              </c:pt>
              <c:pt idx="227">
                <c:v>67.970514580645172</c:v>
              </c:pt>
              <c:pt idx="228">
                <c:v>68.256897032258067</c:v>
              </c:pt>
              <c:pt idx="229">
                <c:v>74.719359999999995</c:v>
              </c:pt>
              <c:pt idx="230">
                <c:v>74.719359999999995</c:v>
              </c:pt>
              <c:pt idx="231">
                <c:v>77.611722322580647</c:v>
              </c:pt>
              <c:pt idx="232">
                <c:v>79.298933677419342</c:v>
              </c:pt>
              <c:pt idx="233">
                <c:v>79.298933677419342</c:v>
              </c:pt>
              <c:pt idx="234">
                <c:v>81.21706735483869</c:v>
              </c:pt>
              <c:pt idx="235">
                <c:v>81.648978064516115</c:v>
              </c:pt>
              <c:pt idx="236">
                <c:v>95.206926451612887</c:v>
              </c:pt>
              <c:pt idx="237">
                <c:v>104.60710400000001</c:v>
              </c:pt>
              <c:pt idx="238">
                <c:v>104.60710400000001</c:v>
              </c:pt>
              <c:pt idx="239">
                <c:v>113.28419096774191</c:v>
              </c:pt>
              <c:pt idx="240">
                <c:v>114.30856929032257</c:v>
              </c:pt>
              <c:pt idx="241">
                <c:v>133.28969703225806</c:v>
              </c:pt>
              <c:pt idx="242">
                <c:v>158.59786735483868</c:v>
              </c:pt>
            </c:numLit>
          </c:xVal>
          <c:yVal>
            <c:numLit>
              <c:formatCode>General</c:formatCode>
              <c:ptCount val="243"/>
              <c:pt idx="0">
                <c:v>9.765625E-4</c:v>
              </c:pt>
              <c:pt idx="1">
                <c:v>2.9296875E-3</c:v>
              </c:pt>
              <c:pt idx="2">
                <c:v>4.8828125E-3</c:v>
              </c:pt>
              <c:pt idx="3">
                <c:v>6.8359375E-3</c:v>
              </c:pt>
              <c:pt idx="4">
                <c:v>7.8125E-3</c:v>
              </c:pt>
              <c:pt idx="5">
                <c:v>9.765625E-3</c:v>
              </c:pt>
              <c:pt idx="6">
                <c:v>1.07421875E-2</c:v>
              </c:pt>
              <c:pt idx="7">
                <c:v>1.171875E-2</c:v>
              </c:pt>
              <c:pt idx="8">
                <c:v>1.5625E-2</c:v>
              </c:pt>
              <c:pt idx="9">
                <c:v>1.953125E-2</c:v>
              </c:pt>
              <c:pt idx="10">
                <c:v>2.1484375E-2</c:v>
              </c:pt>
              <c:pt idx="11">
                <c:v>2.34375E-2</c:v>
              </c:pt>
              <c:pt idx="12">
                <c:v>2.5390625E-2</c:v>
              </c:pt>
              <c:pt idx="13">
                <c:v>2.9296875E-2</c:v>
              </c:pt>
              <c:pt idx="14">
                <c:v>3.3203125E-2</c:v>
              </c:pt>
              <c:pt idx="15">
                <c:v>3.7109375E-2</c:v>
              </c:pt>
              <c:pt idx="16">
                <c:v>4.1015625E-2</c:v>
              </c:pt>
              <c:pt idx="17">
                <c:v>4.4921875E-2</c:v>
              </c:pt>
              <c:pt idx="18">
                <c:v>4.6875E-2</c:v>
              </c:pt>
              <c:pt idx="19">
                <c:v>4.8828125E-2</c:v>
              </c:pt>
              <c:pt idx="20">
                <c:v>5.2734375E-2</c:v>
              </c:pt>
              <c:pt idx="21">
                <c:v>5.37109375E-2</c:v>
              </c:pt>
              <c:pt idx="22">
                <c:v>5.56640625E-2</c:v>
              </c:pt>
              <c:pt idx="23">
                <c:v>5.76171875E-2</c:v>
              </c:pt>
              <c:pt idx="24">
                <c:v>5.95703125E-2</c:v>
              </c:pt>
              <c:pt idx="25">
                <c:v>6.34765625E-2</c:v>
              </c:pt>
              <c:pt idx="26">
                <c:v>6.4453125E-2</c:v>
              </c:pt>
              <c:pt idx="27">
                <c:v>6.54296875E-2</c:v>
              </c:pt>
              <c:pt idx="28">
                <c:v>6.73828125E-2</c:v>
              </c:pt>
              <c:pt idx="29">
                <c:v>6.93359375E-2</c:v>
              </c:pt>
              <c:pt idx="30">
                <c:v>7.71484375E-2</c:v>
              </c:pt>
              <c:pt idx="31">
                <c:v>8.49609375E-2</c:v>
              </c:pt>
              <c:pt idx="32">
                <c:v>9.27734375E-2</c:v>
              </c:pt>
              <c:pt idx="33">
                <c:v>9.375E-2</c:v>
              </c:pt>
              <c:pt idx="34">
                <c:v>0.1015625</c:v>
              </c:pt>
              <c:pt idx="35">
                <c:v>0.109375</c:v>
              </c:pt>
              <c:pt idx="36">
                <c:v>0.1171875</c:v>
              </c:pt>
              <c:pt idx="37">
                <c:v>0.119140625</c:v>
              </c:pt>
              <c:pt idx="38">
                <c:v>0.12109375</c:v>
              </c:pt>
              <c:pt idx="39">
                <c:v>0.123046875</c:v>
              </c:pt>
              <c:pt idx="40">
                <c:v>0.125</c:v>
              </c:pt>
              <c:pt idx="41">
                <c:v>0.126953125</c:v>
              </c:pt>
              <c:pt idx="42">
                <c:v>0.12890625</c:v>
              </c:pt>
              <c:pt idx="43">
                <c:v>0.130859375</c:v>
              </c:pt>
              <c:pt idx="44">
                <c:v>0.1328125</c:v>
              </c:pt>
              <c:pt idx="45">
                <c:v>0.13671875</c:v>
              </c:pt>
              <c:pt idx="46">
                <c:v>0.1376953125</c:v>
              </c:pt>
              <c:pt idx="47">
                <c:v>0.138671875</c:v>
              </c:pt>
              <c:pt idx="48">
                <c:v>0.142578125</c:v>
              </c:pt>
              <c:pt idx="49">
                <c:v>0.146484375</c:v>
              </c:pt>
              <c:pt idx="50">
                <c:v>0.150390625</c:v>
              </c:pt>
              <c:pt idx="51">
                <c:v>0.154296875</c:v>
              </c:pt>
              <c:pt idx="52">
                <c:v>0.158203125</c:v>
              </c:pt>
              <c:pt idx="53">
                <c:v>0.162109375</c:v>
              </c:pt>
              <c:pt idx="54">
                <c:v>0.169921875</c:v>
              </c:pt>
              <c:pt idx="55">
                <c:v>0.177734375</c:v>
              </c:pt>
              <c:pt idx="56">
                <c:v>0.181640625</c:v>
              </c:pt>
              <c:pt idx="57">
                <c:v>0.185546875</c:v>
              </c:pt>
              <c:pt idx="58">
                <c:v>0.189453125</c:v>
              </c:pt>
              <c:pt idx="59">
                <c:v>0.193359375</c:v>
              </c:pt>
              <c:pt idx="60">
                <c:v>0.201171875</c:v>
              </c:pt>
              <c:pt idx="61">
                <c:v>0.205078125</c:v>
              </c:pt>
              <c:pt idx="62">
                <c:v>0.208984375</c:v>
              </c:pt>
              <c:pt idx="63">
                <c:v>0.2099609375</c:v>
              </c:pt>
              <c:pt idx="64">
                <c:v>0.2119140625</c:v>
              </c:pt>
              <c:pt idx="65">
                <c:v>0.2275390625</c:v>
              </c:pt>
              <c:pt idx="66">
                <c:v>0.228515625</c:v>
              </c:pt>
              <c:pt idx="67">
                <c:v>0.2294921875</c:v>
              </c:pt>
              <c:pt idx="68">
                <c:v>0.2314453125</c:v>
              </c:pt>
              <c:pt idx="69">
                <c:v>0.2333984375</c:v>
              </c:pt>
              <c:pt idx="70">
                <c:v>0.2373046875</c:v>
              </c:pt>
              <c:pt idx="71">
                <c:v>0.2412109375</c:v>
              </c:pt>
              <c:pt idx="72">
                <c:v>0.2451171875</c:v>
              </c:pt>
              <c:pt idx="73">
                <c:v>0.2490234375</c:v>
              </c:pt>
              <c:pt idx="74">
                <c:v>0.2529296875</c:v>
              </c:pt>
              <c:pt idx="75">
                <c:v>0.2568359375</c:v>
              </c:pt>
              <c:pt idx="76">
                <c:v>0.2607421875</c:v>
              </c:pt>
              <c:pt idx="77">
                <c:v>0.2646484375</c:v>
              </c:pt>
              <c:pt idx="78">
                <c:v>0.2666015625</c:v>
              </c:pt>
              <c:pt idx="79">
                <c:v>0.2685546875</c:v>
              </c:pt>
              <c:pt idx="80">
                <c:v>0.2763671875</c:v>
              </c:pt>
              <c:pt idx="81">
                <c:v>0.2783203125</c:v>
              </c:pt>
              <c:pt idx="82">
                <c:v>0.2802734375</c:v>
              </c:pt>
              <c:pt idx="83">
                <c:v>0.2822265625</c:v>
              </c:pt>
              <c:pt idx="84">
                <c:v>0.2841796875</c:v>
              </c:pt>
              <c:pt idx="85">
                <c:v>0.28515625</c:v>
              </c:pt>
              <c:pt idx="86">
                <c:v>0.29296875</c:v>
              </c:pt>
              <c:pt idx="87">
                <c:v>0.2939453125</c:v>
              </c:pt>
              <c:pt idx="88">
                <c:v>0.3095703125</c:v>
              </c:pt>
              <c:pt idx="89">
                <c:v>0.3115234375</c:v>
              </c:pt>
              <c:pt idx="90">
                <c:v>0.3134765625</c:v>
              </c:pt>
              <c:pt idx="91">
                <c:v>0.3291015625</c:v>
              </c:pt>
              <c:pt idx="92">
                <c:v>0.3447265625</c:v>
              </c:pt>
              <c:pt idx="93">
                <c:v>0.3525390625</c:v>
              </c:pt>
              <c:pt idx="94">
                <c:v>0.3681640625</c:v>
              </c:pt>
              <c:pt idx="95">
                <c:v>0.3759765625</c:v>
              </c:pt>
              <c:pt idx="96">
                <c:v>0.3837890625</c:v>
              </c:pt>
              <c:pt idx="97">
                <c:v>0.3857421875</c:v>
              </c:pt>
              <c:pt idx="98">
                <c:v>0.3876953125</c:v>
              </c:pt>
              <c:pt idx="99">
                <c:v>0.3896484375</c:v>
              </c:pt>
              <c:pt idx="100">
                <c:v>0.3935546875</c:v>
              </c:pt>
              <c:pt idx="101">
                <c:v>0.3974609375</c:v>
              </c:pt>
              <c:pt idx="102">
                <c:v>0.3994140625</c:v>
              </c:pt>
              <c:pt idx="103">
                <c:v>0.4013671875</c:v>
              </c:pt>
              <c:pt idx="104">
                <c:v>0.4033203125</c:v>
              </c:pt>
              <c:pt idx="105">
                <c:v>0.4052734375</c:v>
              </c:pt>
              <c:pt idx="106">
                <c:v>0.4091796875</c:v>
              </c:pt>
              <c:pt idx="107">
                <c:v>0.4130859375</c:v>
              </c:pt>
              <c:pt idx="108">
                <c:v>0.4169921875</c:v>
              </c:pt>
              <c:pt idx="109">
                <c:v>0.4208984375</c:v>
              </c:pt>
              <c:pt idx="110">
                <c:v>0.4248046875</c:v>
              </c:pt>
              <c:pt idx="111">
                <c:v>0.42578125</c:v>
              </c:pt>
              <c:pt idx="112">
                <c:v>0.4267578125</c:v>
              </c:pt>
              <c:pt idx="113">
                <c:v>0.4287109375</c:v>
              </c:pt>
              <c:pt idx="114">
                <c:v>0.4306640625</c:v>
              </c:pt>
              <c:pt idx="115">
                <c:v>0.4326171875</c:v>
              </c:pt>
              <c:pt idx="116">
                <c:v>0.4345703125</c:v>
              </c:pt>
              <c:pt idx="117">
                <c:v>0.4423828125</c:v>
              </c:pt>
              <c:pt idx="118">
                <c:v>0.4501953125</c:v>
              </c:pt>
              <c:pt idx="119">
                <c:v>0.4541015625</c:v>
              </c:pt>
              <c:pt idx="120">
                <c:v>0.455078125</c:v>
              </c:pt>
              <c:pt idx="121">
                <c:v>0.458984375</c:v>
              </c:pt>
              <c:pt idx="122">
                <c:v>0.462890625</c:v>
              </c:pt>
              <c:pt idx="123">
                <c:v>0.470703125</c:v>
              </c:pt>
              <c:pt idx="124">
                <c:v>0.478515625</c:v>
              </c:pt>
              <c:pt idx="125">
                <c:v>0.48046875</c:v>
              </c:pt>
              <c:pt idx="126">
                <c:v>0.482421875</c:v>
              </c:pt>
              <c:pt idx="127">
                <c:v>0.486328125</c:v>
              </c:pt>
              <c:pt idx="128">
                <c:v>0.494140625</c:v>
              </c:pt>
              <c:pt idx="129">
                <c:v>0.501953125</c:v>
              </c:pt>
              <c:pt idx="130">
                <c:v>0.505859375</c:v>
              </c:pt>
              <c:pt idx="131">
                <c:v>0.509765625</c:v>
              </c:pt>
              <c:pt idx="132">
                <c:v>0.517578125</c:v>
              </c:pt>
              <c:pt idx="133">
                <c:v>0.525390625</c:v>
              </c:pt>
              <c:pt idx="134">
                <c:v>0.52734375</c:v>
              </c:pt>
              <c:pt idx="135">
                <c:v>0.53125</c:v>
              </c:pt>
              <c:pt idx="136">
                <c:v>0.5625</c:v>
              </c:pt>
              <c:pt idx="137">
                <c:v>0.56640625</c:v>
              </c:pt>
              <c:pt idx="138">
                <c:v>0.5673828125</c:v>
              </c:pt>
              <c:pt idx="139">
                <c:v>0.568359375</c:v>
              </c:pt>
              <c:pt idx="140">
                <c:v>0.572265625</c:v>
              </c:pt>
              <c:pt idx="141">
                <c:v>0.576171875</c:v>
              </c:pt>
              <c:pt idx="142">
                <c:v>0.580078125</c:v>
              </c:pt>
              <c:pt idx="143">
                <c:v>0.587890625</c:v>
              </c:pt>
              <c:pt idx="144">
                <c:v>0.595703125</c:v>
              </c:pt>
              <c:pt idx="145">
                <c:v>0.603515625</c:v>
              </c:pt>
              <c:pt idx="146">
                <c:v>0.611328125</c:v>
              </c:pt>
              <c:pt idx="147">
                <c:v>0.6123046875</c:v>
              </c:pt>
              <c:pt idx="148">
                <c:v>0.6201171875</c:v>
              </c:pt>
              <c:pt idx="149">
                <c:v>0.6279296875</c:v>
              </c:pt>
              <c:pt idx="150">
                <c:v>0.6357421875</c:v>
              </c:pt>
              <c:pt idx="151">
                <c:v>0.6376953125</c:v>
              </c:pt>
              <c:pt idx="152">
                <c:v>0.6396484375</c:v>
              </c:pt>
              <c:pt idx="153">
                <c:v>0.6435546875</c:v>
              </c:pt>
              <c:pt idx="154">
                <c:v>0.6474609375</c:v>
              </c:pt>
              <c:pt idx="155">
                <c:v>0.6513671875</c:v>
              </c:pt>
              <c:pt idx="156">
                <c:v>0.6552734375</c:v>
              </c:pt>
              <c:pt idx="157">
                <c:v>0.6630859375</c:v>
              </c:pt>
              <c:pt idx="158">
                <c:v>0.6650390625</c:v>
              </c:pt>
              <c:pt idx="159">
                <c:v>0.6669921875</c:v>
              </c:pt>
              <c:pt idx="160">
                <c:v>0.6689453125</c:v>
              </c:pt>
              <c:pt idx="161">
                <c:v>0.669921875</c:v>
              </c:pt>
              <c:pt idx="162">
                <c:v>0.671875</c:v>
              </c:pt>
              <c:pt idx="163">
                <c:v>0.673828125</c:v>
              </c:pt>
              <c:pt idx="164">
                <c:v>0.67578125</c:v>
              </c:pt>
              <c:pt idx="165">
                <c:v>0.69140625</c:v>
              </c:pt>
              <c:pt idx="166">
                <c:v>0.693359375</c:v>
              </c:pt>
              <c:pt idx="167">
                <c:v>0.6953125</c:v>
              </c:pt>
              <c:pt idx="168">
                <c:v>0.6962890625</c:v>
              </c:pt>
              <c:pt idx="169">
                <c:v>0.697265625</c:v>
              </c:pt>
              <c:pt idx="170">
                <c:v>0.701171875</c:v>
              </c:pt>
              <c:pt idx="171">
                <c:v>0.705078125</c:v>
              </c:pt>
              <c:pt idx="172">
                <c:v>0.720703125</c:v>
              </c:pt>
              <c:pt idx="173">
                <c:v>0.736328125</c:v>
              </c:pt>
              <c:pt idx="174">
                <c:v>0.751953125</c:v>
              </c:pt>
              <c:pt idx="175">
                <c:v>0.75390625</c:v>
              </c:pt>
              <c:pt idx="176">
                <c:v>0.7578125</c:v>
              </c:pt>
              <c:pt idx="177">
                <c:v>0.76171875</c:v>
              </c:pt>
              <c:pt idx="178">
                <c:v>0.765625</c:v>
              </c:pt>
              <c:pt idx="179">
                <c:v>0.76953125</c:v>
              </c:pt>
              <c:pt idx="180">
                <c:v>0.7734375</c:v>
              </c:pt>
              <c:pt idx="181">
                <c:v>0.77734375</c:v>
              </c:pt>
              <c:pt idx="182">
                <c:v>0.78125</c:v>
              </c:pt>
              <c:pt idx="183">
                <c:v>0.783203125</c:v>
              </c:pt>
              <c:pt idx="184">
                <c:v>0.78515625</c:v>
              </c:pt>
              <c:pt idx="185">
                <c:v>0.7890625</c:v>
              </c:pt>
              <c:pt idx="186">
                <c:v>0.79296875</c:v>
              </c:pt>
              <c:pt idx="187">
                <c:v>0.796875</c:v>
              </c:pt>
              <c:pt idx="188">
                <c:v>0.80078125</c:v>
              </c:pt>
              <c:pt idx="189">
                <c:v>0.8017578125</c:v>
              </c:pt>
              <c:pt idx="190">
                <c:v>0.8037109375</c:v>
              </c:pt>
              <c:pt idx="191">
                <c:v>0.8056640625</c:v>
              </c:pt>
              <c:pt idx="192">
                <c:v>0.8212890625</c:v>
              </c:pt>
              <c:pt idx="193">
                <c:v>0.8291015625</c:v>
              </c:pt>
              <c:pt idx="194">
                <c:v>0.8369140625</c:v>
              </c:pt>
              <c:pt idx="195">
                <c:v>0.8388671875</c:v>
              </c:pt>
              <c:pt idx="196">
                <c:v>0.8408203125</c:v>
              </c:pt>
              <c:pt idx="197">
                <c:v>0.8486328125</c:v>
              </c:pt>
              <c:pt idx="198">
                <c:v>0.8564453125</c:v>
              </c:pt>
              <c:pt idx="199">
                <c:v>0.8642578125</c:v>
              </c:pt>
              <c:pt idx="200">
                <c:v>0.8681640625</c:v>
              </c:pt>
              <c:pt idx="201">
                <c:v>0.8720703125</c:v>
              </c:pt>
              <c:pt idx="202">
                <c:v>0.8759765625</c:v>
              </c:pt>
              <c:pt idx="203">
                <c:v>0.8798828125</c:v>
              </c:pt>
              <c:pt idx="204">
                <c:v>0.8837890625</c:v>
              </c:pt>
              <c:pt idx="205">
                <c:v>0.8857421875</c:v>
              </c:pt>
              <c:pt idx="206">
                <c:v>0.8876953125</c:v>
              </c:pt>
              <c:pt idx="207">
                <c:v>0.8896484375</c:v>
              </c:pt>
              <c:pt idx="208">
                <c:v>0.8916015625</c:v>
              </c:pt>
              <c:pt idx="209">
                <c:v>0.8994140625</c:v>
              </c:pt>
              <c:pt idx="210">
                <c:v>0.900390625</c:v>
              </c:pt>
              <c:pt idx="211">
                <c:v>0.9013671875</c:v>
              </c:pt>
              <c:pt idx="212">
                <c:v>0.9091796875</c:v>
              </c:pt>
              <c:pt idx="213">
                <c:v>0.9130859375</c:v>
              </c:pt>
              <c:pt idx="214">
                <c:v>0.9169921875</c:v>
              </c:pt>
              <c:pt idx="215">
                <c:v>0.9248046875</c:v>
              </c:pt>
              <c:pt idx="216">
                <c:v>0.9326171875</c:v>
              </c:pt>
              <c:pt idx="217">
                <c:v>0.9404296875</c:v>
              </c:pt>
              <c:pt idx="218">
                <c:v>0.9423828125</c:v>
              </c:pt>
              <c:pt idx="219">
                <c:v>0.9443359375</c:v>
              </c:pt>
              <c:pt idx="220">
                <c:v>0.9462890625</c:v>
              </c:pt>
              <c:pt idx="221">
                <c:v>0.9501953125</c:v>
              </c:pt>
              <c:pt idx="222">
                <c:v>0.9521484375</c:v>
              </c:pt>
              <c:pt idx="223">
                <c:v>0.9541015625</c:v>
              </c:pt>
              <c:pt idx="224">
                <c:v>0.9560546875</c:v>
              </c:pt>
              <c:pt idx="225">
                <c:v>0.95703125</c:v>
              </c:pt>
              <c:pt idx="226">
                <c:v>0.9580078125</c:v>
              </c:pt>
              <c:pt idx="227">
                <c:v>0.958984375</c:v>
              </c:pt>
              <c:pt idx="228">
                <c:v>0.962890625</c:v>
              </c:pt>
              <c:pt idx="229">
                <c:v>0.966796875</c:v>
              </c:pt>
              <c:pt idx="230">
                <c:v>0.970703125</c:v>
              </c:pt>
              <c:pt idx="231">
                <c:v>0.974609375</c:v>
              </c:pt>
              <c:pt idx="232">
                <c:v>0.978515625</c:v>
              </c:pt>
              <c:pt idx="233">
                <c:v>0.982421875</c:v>
              </c:pt>
              <c:pt idx="234">
                <c:v>0.984375</c:v>
              </c:pt>
              <c:pt idx="235">
                <c:v>0.986328125</c:v>
              </c:pt>
              <c:pt idx="236">
                <c:v>0.990234375</c:v>
              </c:pt>
              <c:pt idx="237">
                <c:v>0.9921875</c:v>
              </c:pt>
              <c:pt idx="238">
                <c:v>0.994140625</c:v>
              </c:pt>
              <c:pt idx="239">
                <c:v>0.99609375</c:v>
              </c:pt>
              <c:pt idx="240">
                <c:v>0.9970703125</c:v>
              </c:pt>
              <c:pt idx="241">
                <c:v>0.9990234375</c:v>
              </c:pt>
              <c:pt idx="242">
                <c:v>1</c:v>
              </c:pt>
            </c:numLit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Tornado!#REF!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B2A-144B-8BE5-4381AF553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8352256"/>
        <c:axId val="978352640"/>
      </c:scatterChart>
      <c:valAx>
        <c:axId val="978352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352640"/>
        <c:crosses val="autoZero"/>
        <c:crossBetween val="midCat"/>
      </c:valAx>
      <c:valAx>
        <c:axId val="97835264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352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PWMOIC Full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'Full Distribution'!$T$5</c:f>
              <c:strCache>
                <c:ptCount val="1"/>
                <c:pt idx="0">
                  <c:v>Value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'Full Distribution'!$T$6:$T$250</c:f>
              <c:numCache>
                <c:formatCode>General</c:formatCode>
                <c:ptCount val="245"/>
                <c:pt idx="0">
                  <c:v>0</c:v>
                </c:pt>
                <c:pt idx="1">
                  <c:v>0</c:v>
                </c:pt>
                <c:pt idx="2">
                  <c:v>1.2292319999999997</c:v>
                </c:pt>
                <c:pt idx="3">
                  <c:v>1.7050637419354835</c:v>
                </c:pt>
                <c:pt idx="4">
                  <c:v>1.7050637419354835</c:v>
                </c:pt>
                <c:pt idx="5">
                  <c:v>2.0487199999999994</c:v>
                </c:pt>
                <c:pt idx="6">
                  <c:v>2.3395060645161285</c:v>
                </c:pt>
                <c:pt idx="7">
                  <c:v>2.3395060645161285</c:v>
                </c:pt>
                <c:pt idx="8">
                  <c:v>2.8417729032258059</c:v>
                </c:pt>
                <c:pt idx="9">
                  <c:v>2.8417729032258059</c:v>
                </c:pt>
                <c:pt idx="10">
                  <c:v>2.8682079999999996</c:v>
                </c:pt>
                <c:pt idx="11">
                  <c:v>2.8697519999999996</c:v>
                </c:pt>
                <c:pt idx="12">
                  <c:v>3.0136010322580637</c:v>
                </c:pt>
                <c:pt idx="13">
                  <c:v>3.4894327741935474</c:v>
                </c:pt>
                <c:pt idx="14">
                  <c:v>3.4894327741935474</c:v>
                </c:pt>
                <c:pt idx="15">
                  <c:v>3.6083907096774182</c:v>
                </c:pt>
                <c:pt idx="16">
                  <c:v>3.8991767741935468</c:v>
                </c:pt>
                <c:pt idx="17">
                  <c:v>3.8991767741935468</c:v>
                </c:pt>
                <c:pt idx="18">
                  <c:v>3.9784820645161276</c:v>
                </c:pt>
                <c:pt idx="19">
                  <c:v>3.9784820645161276</c:v>
                </c:pt>
                <c:pt idx="20">
                  <c:v>3.9806237419354833</c:v>
                </c:pt>
                <c:pt idx="21">
                  <c:v>3.9806237419354833</c:v>
                </c:pt>
                <c:pt idx="22">
                  <c:v>4.1238750967741931</c:v>
                </c:pt>
                <c:pt idx="23">
                  <c:v>4.1238750967741931</c:v>
                </c:pt>
                <c:pt idx="24">
                  <c:v>4.7829199999999998</c:v>
                </c:pt>
                <c:pt idx="25">
                  <c:v>5.0226683870967728</c:v>
                </c:pt>
                <c:pt idx="26">
                  <c:v>5.3927597419354818</c:v>
                </c:pt>
                <c:pt idx="27">
                  <c:v>5.3927597419354818</c:v>
                </c:pt>
                <c:pt idx="28">
                  <c:v>5.458847483870966</c:v>
                </c:pt>
                <c:pt idx="29">
                  <c:v>5.458847483870966</c:v>
                </c:pt>
                <c:pt idx="30">
                  <c:v>5.4617860645161285</c:v>
                </c:pt>
                <c:pt idx="31">
                  <c:v>5.4617860645161285</c:v>
                </c:pt>
                <c:pt idx="32">
                  <c:v>5.6039519999999996</c:v>
                </c:pt>
                <c:pt idx="33">
                  <c:v>5.8157212903225783</c:v>
                </c:pt>
                <c:pt idx="34">
                  <c:v>5.8157212903225783</c:v>
                </c:pt>
                <c:pt idx="35">
                  <c:v>5.8685914838709667</c:v>
                </c:pt>
                <c:pt idx="36">
                  <c:v>5.8685914838709667</c:v>
                </c:pt>
                <c:pt idx="37">
                  <c:v>6.01398451612903</c:v>
                </c:pt>
                <c:pt idx="38">
                  <c:v>6.1461599999999983</c:v>
                </c:pt>
                <c:pt idx="39">
                  <c:v>6.1461599999999983</c:v>
                </c:pt>
                <c:pt idx="40">
                  <c:v>6.5030338064516107</c:v>
                </c:pt>
                <c:pt idx="41">
                  <c:v>6.5030338064516107</c:v>
                </c:pt>
                <c:pt idx="42">
                  <c:v>6.634372903225807</c:v>
                </c:pt>
                <c:pt idx="43">
                  <c:v>6.634372903225807</c:v>
                </c:pt>
                <c:pt idx="44">
                  <c:v>6.6960879999999996</c:v>
                </c:pt>
                <c:pt idx="45">
                  <c:v>6.8731251612903206</c:v>
                </c:pt>
                <c:pt idx="46">
                  <c:v>6.8731251612903206</c:v>
                </c:pt>
                <c:pt idx="47">
                  <c:v>7.0317357419354822</c:v>
                </c:pt>
                <c:pt idx="48">
                  <c:v>7.0355210322580639</c:v>
                </c:pt>
                <c:pt idx="49">
                  <c:v>7.7719184516129012</c:v>
                </c:pt>
                <c:pt idx="50">
                  <c:v>7.7732237419354835</c:v>
                </c:pt>
                <c:pt idx="51">
                  <c:v>7.7732237419354835</c:v>
                </c:pt>
                <c:pt idx="52">
                  <c:v>7.9305290322580637</c:v>
                </c:pt>
                <c:pt idx="53">
                  <c:v>7.9305290322580637</c:v>
                </c:pt>
                <c:pt idx="54">
                  <c:v>8.1420098064516111</c:v>
                </c:pt>
                <c:pt idx="55">
                  <c:v>8.1420098064516111</c:v>
                </c:pt>
                <c:pt idx="56">
                  <c:v>8.1463927741935489</c:v>
                </c:pt>
                <c:pt idx="57">
                  <c:v>8.1463927741935489</c:v>
                </c:pt>
                <c:pt idx="58">
                  <c:v>8.4195783225806426</c:v>
                </c:pt>
                <c:pt idx="59">
                  <c:v>8.4241107096774179</c:v>
                </c:pt>
                <c:pt idx="60">
                  <c:v>8.9879329032258042</c:v>
                </c:pt>
                <c:pt idx="61">
                  <c:v>8.9879329032258042</c:v>
                </c:pt>
                <c:pt idx="62">
                  <c:v>9.1029767741935483</c:v>
                </c:pt>
                <c:pt idx="63">
                  <c:v>9.1029767741935483</c:v>
                </c:pt>
                <c:pt idx="64">
                  <c:v>9.2881220645161289</c:v>
                </c:pt>
                <c:pt idx="65">
                  <c:v>9.2881220645161289</c:v>
                </c:pt>
                <c:pt idx="66">
                  <c:v>9.3399199999999993</c:v>
                </c:pt>
                <c:pt idx="67">
                  <c:v>9.6223752258064472</c:v>
                </c:pt>
                <c:pt idx="68">
                  <c:v>9.6223752258064472</c:v>
                </c:pt>
                <c:pt idx="69">
                  <c:v>9.6275550967741932</c:v>
                </c:pt>
                <c:pt idx="70">
                  <c:v>9.6275550967741932</c:v>
                </c:pt>
                <c:pt idx="71">
                  <c:v>9.7809858064516089</c:v>
                </c:pt>
                <c:pt idx="72">
                  <c:v>9.7809858064516089</c:v>
                </c:pt>
                <c:pt idx="73">
                  <c:v>10.243599999999999</c:v>
                </c:pt>
                <c:pt idx="74">
                  <c:v>10.243599999999999</c:v>
                </c:pt>
                <c:pt idx="75">
                  <c:v>10.30968774193548</c:v>
                </c:pt>
                <c:pt idx="76">
                  <c:v>10.30968774193548</c:v>
                </c:pt>
                <c:pt idx="77">
                  <c:v>10.665586064516129</c:v>
                </c:pt>
                <c:pt idx="78">
                  <c:v>10.665586064516129</c:v>
                </c:pt>
                <c:pt idx="79">
                  <c:v>10.83838967741935</c:v>
                </c:pt>
                <c:pt idx="80">
                  <c:v>10.83838967741935</c:v>
                </c:pt>
                <c:pt idx="81">
                  <c:v>11.221698580645159</c:v>
                </c:pt>
                <c:pt idx="82">
                  <c:v>11.725868387096773</c:v>
                </c:pt>
                <c:pt idx="83">
                  <c:v>12.583106064516125</c:v>
                </c:pt>
                <c:pt idx="84">
                  <c:v>12.583106064516125</c:v>
                </c:pt>
                <c:pt idx="85">
                  <c:v>12.589879741935482</c:v>
                </c:pt>
                <c:pt idx="86">
                  <c:v>12.589879741935482</c:v>
                </c:pt>
                <c:pt idx="87">
                  <c:v>12.744167483870966</c:v>
                </c:pt>
                <c:pt idx="88">
                  <c:v>12.744167483870966</c:v>
                </c:pt>
                <c:pt idx="89">
                  <c:v>12.953197419354836</c:v>
                </c:pt>
                <c:pt idx="90">
                  <c:v>12.955372903225806</c:v>
                </c:pt>
                <c:pt idx="91">
                  <c:v>12.955372903225806</c:v>
                </c:pt>
                <c:pt idx="92">
                  <c:v>13.006067612903221</c:v>
                </c:pt>
                <c:pt idx="93">
                  <c:v>13.075888000000001</c:v>
                </c:pt>
                <c:pt idx="94">
                  <c:v>13.21754838709677</c:v>
                </c:pt>
                <c:pt idx="95">
                  <c:v>13.21754838709677</c:v>
                </c:pt>
                <c:pt idx="96">
                  <c:v>13.57732129032258</c:v>
                </c:pt>
                <c:pt idx="97">
                  <c:v>13.57732129032258</c:v>
                </c:pt>
                <c:pt idx="98">
                  <c:v>13.693380129032256</c:v>
                </c:pt>
                <c:pt idx="99">
                  <c:v>13.693380129032256</c:v>
                </c:pt>
                <c:pt idx="100">
                  <c:v>13.700751483870965</c:v>
                </c:pt>
                <c:pt idx="101">
                  <c:v>13.700751483870965</c:v>
                </c:pt>
                <c:pt idx="102">
                  <c:v>13.738721032258061</c:v>
                </c:pt>
                <c:pt idx="103">
                  <c:v>14.040184516129031</c:v>
                </c:pt>
                <c:pt idx="104">
                  <c:v>14.341039999999996</c:v>
                </c:pt>
                <c:pt idx="105">
                  <c:v>14.341039999999996</c:v>
                </c:pt>
                <c:pt idx="106">
                  <c:v>14.34876</c:v>
                </c:pt>
                <c:pt idx="107">
                  <c:v>14.34876</c:v>
                </c:pt>
                <c:pt idx="108">
                  <c:v>15.173745548387094</c:v>
                </c:pt>
                <c:pt idx="109">
                  <c:v>15.173745548387094</c:v>
                </c:pt>
                <c:pt idx="110">
                  <c:v>15.181913806451611</c:v>
                </c:pt>
                <c:pt idx="111">
                  <c:v>15.181913806451611</c:v>
                </c:pt>
                <c:pt idx="112">
                  <c:v>15.385226322580639</c:v>
                </c:pt>
                <c:pt idx="113">
                  <c:v>15.90799277419355</c:v>
                </c:pt>
                <c:pt idx="114">
                  <c:v>15.90799277419355</c:v>
                </c:pt>
                <c:pt idx="115">
                  <c:v>16.04592516129032</c:v>
                </c:pt>
                <c:pt idx="116">
                  <c:v>16.04592516129032</c:v>
                </c:pt>
                <c:pt idx="117">
                  <c:v>16.416215741935481</c:v>
                </c:pt>
                <c:pt idx="118">
                  <c:v>16.450310709677417</c:v>
                </c:pt>
                <c:pt idx="119">
                  <c:v>17.182812903225805</c:v>
                </c:pt>
                <c:pt idx="120">
                  <c:v>17.182812903225805</c:v>
                </c:pt>
                <c:pt idx="121">
                  <c:v>17.775976774193545</c:v>
                </c:pt>
                <c:pt idx="122">
                  <c:v>17.775976774193545</c:v>
                </c:pt>
                <c:pt idx="123">
                  <c:v>18.134476387096772</c:v>
                </c:pt>
                <c:pt idx="124">
                  <c:v>18.137522064516126</c:v>
                </c:pt>
                <c:pt idx="125">
                  <c:v>18.137522064516126</c:v>
                </c:pt>
                <c:pt idx="126">
                  <c:v>18.1442384516129</c:v>
                </c:pt>
                <c:pt idx="127">
                  <c:v>18.504567741935478</c:v>
                </c:pt>
                <c:pt idx="128">
                  <c:v>18.504567741935478</c:v>
                </c:pt>
                <c:pt idx="129">
                  <c:v>18.514529032258061</c:v>
                </c:pt>
                <c:pt idx="130">
                  <c:v>18.514529032258061</c:v>
                </c:pt>
                <c:pt idx="131">
                  <c:v>18.702830967741932</c:v>
                </c:pt>
                <c:pt idx="132">
                  <c:v>18.800355096774194</c:v>
                </c:pt>
                <c:pt idx="133">
                  <c:v>18.800355096774194</c:v>
                </c:pt>
                <c:pt idx="134">
                  <c:v>19.008249806451612</c:v>
                </c:pt>
                <c:pt idx="135">
                  <c:v>19.008249806451612</c:v>
                </c:pt>
                <c:pt idx="136">
                  <c:v>19.656258322580641</c:v>
                </c:pt>
                <c:pt idx="137">
                  <c:v>20.983132903225805</c:v>
                </c:pt>
                <c:pt idx="138">
                  <c:v>20.983132903225805</c:v>
                </c:pt>
                <c:pt idx="139">
                  <c:v>21.6767793548387</c:v>
                </c:pt>
                <c:pt idx="140">
                  <c:v>22.464295225806449</c:v>
                </c:pt>
                <c:pt idx="141">
                  <c:v>22.464295225806449</c:v>
                </c:pt>
                <c:pt idx="142">
                  <c:v>22.83458580645161</c:v>
                </c:pt>
                <c:pt idx="143">
                  <c:v>22.83458580645161</c:v>
                </c:pt>
                <c:pt idx="144">
                  <c:v>22.897868387096771</c:v>
                </c:pt>
                <c:pt idx="145">
                  <c:v>23.914599999999997</c:v>
                </c:pt>
                <c:pt idx="146">
                  <c:v>23.914599999999997</c:v>
                </c:pt>
                <c:pt idx="147">
                  <c:v>24.05593806451612</c:v>
                </c:pt>
                <c:pt idx="148">
                  <c:v>24.05593806451612</c:v>
                </c:pt>
                <c:pt idx="149">
                  <c:v>24.06888774193548</c:v>
                </c:pt>
                <c:pt idx="150">
                  <c:v>24.06888774193548</c:v>
                </c:pt>
                <c:pt idx="151">
                  <c:v>24.585079741935481</c:v>
                </c:pt>
                <c:pt idx="152">
                  <c:v>24.585079741935481</c:v>
                </c:pt>
                <c:pt idx="153">
                  <c:v>24.886367483870963</c:v>
                </c:pt>
                <c:pt idx="154">
                  <c:v>24.886367483870963</c:v>
                </c:pt>
                <c:pt idx="155">
                  <c:v>25.303189677419351</c:v>
                </c:pt>
                <c:pt idx="156">
                  <c:v>25.303189677419351</c:v>
                </c:pt>
                <c:pt idx="157">
                  <c:v>25.642043870967736</c:v>
                </c:pt>
                <c:pt idx="158">
                  <c:v>26.183963354838703</c:v>
                </c:pt>
                <c:pt idx="159">
                  <c:v>26.19805858064516</c:v>
                </c:pt>
                <c:pt idx="160">
                  <c:v>26.51332129032258</c:v>
                </c:pt>
                <c:pt idx="161">
                  <c:v>26.51332129032258</c:v>
                </c:pt>
                <c:pt idx="162">
                  <c:v>26.754351483870959</c:v>
                </c:pt>
                <c:pt idx="163">
                  <c:v>26.754351483870959</c:v>
                </c:pt>
                <c:pt idx="164">
                  <c:v>27.41718451612903</c:v>
                </c:pt>
                <c:pt idx="165">
                  <c:v>28.019759999999998</c:v>
                </c:pt>
                <c:pt idx="166">
                  <c:v>28.019759999999998</c:v>
                </c:pt>
                <c:pt idx="167">
                  <c:v>29.376386064516126</c:v>
                </c:pt>
                <c:pt idx="168">
                  <c:v>29.376386064516126</c:v>
                </c:pt>
                <c:pt idx="169">
                  <c:v>29.646713806451608</c:v>
                </c:pt>
                <c:pt idx="170">
                  <c:v>29.646713806451608</c:v>
                </c:pt>
                <c:pt idx="171">
                  <c:v>30.240397419354835</c:v>
                </c:pt>
                <c:pt idx="172">
                  <c:v>30.347491096774188</c:v>
                </c:pt>
                <c:pt idx="173">
                  <c:v>30.363827612903222</c:v>
                </c:pt>
                <c:pt idx="174">
                  <c:v>30.857548387096767</c:v>
                </c:pt>
                <c:pt idx="175">
                  <c:v>30.857548387096767</c:v>
                </c:pt>
                <c:pt idx="176">
                  <c:v>31.33392516129032</c:v>
                </c:pt>
                <c:pt idx="177">
                  <c:v>31.33392516129032</c:v>
                </c:pt>
                <c:pt idx="178">
                  <c:v>31.96842012903225</c:v>
                </c:pt>
                <c:pt idx="179">
                  <c:v>31.96842012903225</c:v>
                </c:pt>
                <c:pt idx="180">
                  <c:v>32.05701574193548</c:v>
                </c:pt>
                <c:pt idx="181">
                  <c:v>33.480440000000002</c:v>
                </c:pt>
                <c:pt idx="182">
                  <c:v>33.480440000000002</c:v>
                </c:pt>
                <c:pt idx="183">
                  <c:v>35.424465548387097</c:v>
                </c:pt>
                <c:pt idx="184">
                  <c:v>35.424465548387097</c:v>
                </c:pt>
                <c:pt idx="185">
                  <c:v>35.431438451612898</c:v>
                </c:pt>
                <c:pt idx="186">
                  <c:v>35.89886141935483</c:v>
                </c:pt>
                <c:pt idx="187">
                  <c:v>35.918186322580645</c:v>
                </c:pt>
                <c:pt idx="188">
                  <c:v>36.154529032258061</c:v>
                </c:pt>
                <c:pt idx="189">
                  <c:v>36.154529032258061</c:v>
                </c:pt>
                <c:pt idx="190">
                  <c:v>37.118649806451614</c:v>
                </c:pt>
                <c:pt idx="191">
                  <c:v>37.118649806451614</c:v>
                </c:pt>
                <c:pt idx="192">
                  <c:v>38.384058322580636</c:v>
                </c:pt>
                <c:pt idx="193">
                  <c:v>40.114812903225804</c:v>
                </c:pt>
                <c:pt idx="194">
                  <c:v>40.114812903225804</c:v>
                </c:pt>
                <c:pt idx="195">
                  <c:v>40.975132903225798</c:v>
                </c:pt>
                <c:pt idx="196">
                  <c:v>40.975132903225798</c:v>
                </c:pt>
                <c:pt idx="197">
                  <c:v>42.33655638709677</c:v>
                </c:pt>
                <c:pt idx="198">
                  <c:v>43.200567741935487</c:v>
                </c:pt>
                <c:pt idx="199">
                  <c:v>43.200567741935487</c:v>
                </c:pt>
                <c:pt idx="200">
                  <c:v>43.663430967741931</c:v>
                </c:pt>
                <c:pt idx="201">
                  <c:v>43.867495225806444</c:v>
                </c:pt>
                <c:pt idx="202">
                  <c:v>43.867495225806444</c:v>
                </c:pt>
                <c:pt idx="203">
                  <c:v>44.5905858064516</c:v>
                </c:pt>
                <c:pt idx="204">
                  <c:v>44.5905858064516</c:v>
                </c:pt>
                <c:pt idx="205">
                  <c:v>46.69959999999999</c:v>
                </c:pt>
                <c:pt idx="206">
                  <c:v>46.69959999999999</c:v>
                </c:pt>
                <c:pt idx="207">
                  <c:v>47.000887741935479</c:v>
                </c:pt>
                <c:pt idx="208">
                  <c:v>47.000887741935479</c:v>
                </c:pt>
                <c:pt idx="209">
                  <c:v>49.411189677419351</c:v>
                </c:pt>
                <c:pt idx="210">
                  <c:v>49.411189677419351</c:v>
                </c:pt>
                <c:pt idx="211">
                  <c:v>50.606379354838701</c:v>
                </c:pt>
                <c:pt idx="212">
                  <c:v>51.158658580645159</c:v>
                </c:pt>
                <c:pt idx="213">
                  <c:v>56.160738064516124</c:v>
                </c:pt>
                <c:pt idx="214">
                  <c:v>56.160738064516124</c:v>
                </c:pt>
                <c:pt idx="215">
                  <c:v>57.365186064516124</c:v>
                </c:pt>
                <c:pt idx="216">
                  <c:v>57.365186064516124</c:v>
                </c:pt>
                <c:pt idx="217">
                  <c:v>59.052397419354833</c:v>
                </c:pt>
                <c:pt idx="218">
                  <c:v>59.293427612903216</c:v>
                </c:pt>
                <c:pt idx="219">
                  <c:v>59.863643870967728</c:v>
                </c:pt>
                <c:pt idx="220">
                  <c:v>60.257548387096762</c:v>
                </c:pt>
                <c:pt idx="221">
                  <c:v>60.257548387096762</c:v>
                </c:pt>
                <c:pt idx="222">
                  <c:v>61.128803354838702</c:v>
                </c:pt>
                <c:pt idx="223">
                  <c:v>62.426820129032251</c:v>
                </c:pt>
                <c:pt idx="224">
                  <c:v>62.426820129032251</c:v>
                </c:pt>
                <c:pt idx="225">
                  <c:v>65.379440000000002</c:v>
                </c:pt>
                <c:pt idx="226">
                  <c:v>65.379440000000002</c:v>
                </c:pt>
                <c:pt idx="227">
                  <c:v>69.175665548387087</c:v>
                </c:pt>
                <c:pt idx="228">
                  <c:v>69.175665548387087</c:v>
                </c:pt>
                <c:pt idx="229">
                  <c:v>70.139786322580647</c:v>
                </c:pt>
                <c:pt idx="230">
                  <c:v>70.848931096774194</c:v>
                </c:pt>
                <c:pt idx="231">
                  <c:v>78.334812903225796</c:v>
                </c:pt>
                <c:pt idx="232">
                  <c:v>78.334812903225796</c:v>
                </c:pt>
                <c:pt idx="233">
                  <c:v>82.67335638709676</c:v>
                </c:pt>
                <c:pt idx="234">
                  <c:v>83.809101419354846</c:v>
                </c:pt>
                <c:pt idx="235">
                  <c:v>84.360567741935483</c:v>
                </c:pt>
                <c:pt idx="236">
                  <c:v>84.360567741935483</c:v>
                </c:pt>
                <c:pt idx="237">
                  <c:v>85.26443096774193</c:v>
                </c:pt>
                <c:pt idx="238">
                  <c:v>98.822379354838702</c:v>
                </c:pt>
                <c:pt idx="239">
                  <c:v>109.66873806451612</c:v>
                </c:pt>
                <c:pt idx="240">
                  <c:v>109.66873806451612</c:v>
                </c:pt>
                <c:pt idx="241">
                  <c:v>116.89964387096772</c:v>
                </c:pt>
                <c:pt idx="242">
                  <c:v>119.37020335483868</c:v>
                </c:pt>
                <c:pt idx="243">
                  <c:v>138.35133109677417</c:v>
                </c:pt>
                <c:pt idx="244">
                  <c:v>163.65950141935485</c:v>
                </c:pt>
              </c:numCache>
            </c:numRef>
          </c:xVal>
          <c:yVal>
            <c:numRef>
              <c:f>'Full Distribution'!$S$6:$S$250</c:f>
              <c:numCache>
                <c:formatCode>General</c:formatCode>
                <c:ptCount val="245"/>
                <c:pt idx="0">
                  <c:v>0</c:v>
                </c:pt>
                <c:pt idx="1">
                  <c:v>0.69279999999999997</c:v>
                </c:pt>
                <c:pt idx="2">
                  <c:v>0.69309999999999994</c:v>
                </c:pt>
                <c:pt idx="3">
                  <c:v>0.69369999999999998</c:v>
                </c:pt>
                <c:pt idx="4">
                  <c:v>0.69429999999999992</c:v>
                </c:pt>
                <c:pt idx="5">
                  <c:v>0.69489999999999996</c:v>
                </c:pt>
                <c:pt idx="6">
                  <c:v>0.69519999999999993</c:v>
                </c:pt>
                <c:pt idx="7">
                  <c:v>0.69550000000000001</c:v>
                </c:pt>
                <c:pt idx="8">
                  <c:v>0.69669999999999999</c:v>
                </c:pt>
                <c:pt idx="9">
                  <c:v>0.69789999999999996</c:v>
                </c:pt>
                <c:pt idx="10">
                  <c:v>0.69819999999999993</c:v>
                </c:pt>
                <c:pt idx="11">
                  <c:v>0.69879999999999998</c:v>
                </c:pt>
                <c:pt idx="12">
                  <c:v>0.69940000000000002</c:v>
                </c:pt>
                <c:pt idx="13">
                  <c:v>0.7006</c:v>
                </c:pt>
                <c:pt idx="14">
                  <c:v>0.70179999999999998</c:v>
                </c:pt>
                <c:pt idx="15">
                  <c:v>0.70299999999999996</c:v>
                </c:pt>
                <c:pt idx="16">
                  <c:v>0.7036</c:v>
                </c:pt>
                <c:pt idx="17">
                  <c:v>0.70419999999999994</c:v>
                </c:pt>
                <c:pt idx="18">
                  <c:v>0.70479999999999998</c:v>
                </c:pt>
                <c:pt idx="19">
                  <c:v>0.70540000000000003</c:v>
                </c:pt>
                <c:pt idx="20">
                  <c:v>0.70660000000000001</c:v>
                </c:pt>
                <c:pt idx="21">
                  <c:v>0.70779999999999998</c:v>
                </c:pt>
                <c:pt idx="22">
                  <c:v>0.70839999999999992</c:v>
                </c:pt>
                <c:pt idx="23">
                  <c:v>0.70899999999999996</c:v>
                </c:pt>
                <c:pt idx="24">
                  <c:v>0.71019999999999994</c:v>
                </c:pt>
                <c:pt idx="25">
                  <c:v>0.71139999999999992</c:v>
                </c:pt>
                <c:pt idx="26">
                  <c:v>0.71379999999999999</c:v>
                </c:pt>
                <c:pt idx="27">
                  <c:v>0.71409999999999996</c:v>
                </c:pt>
                <c:pt idx="28">
                  <c:v>0.71439999999999992</c:v>
                </c:pt>
                <c:pt idx="29">
                  <c:v>0.7147</c:v>
                </c:pt>
                <c:pt idx="30">
                  <c:v>0.71529999999999994</c:v>
                </c:pt>
                <c:pt idx="31">
                  <c:v>0.71589999999999998</c:v>
                </c:pt>
                <c:pt idx="32">
                  <c:v>0.71619999999999995</c:v>
                </c:pt>
                <c:pt idx="33">
                  <c:v>0.71860000000000002</c:v>
                </c:pt>
                <c:pt idx="34">
                  <c:v>0.72099999999999997</c:v>
                </c:pt>
                <c:pt idx="35">
                  <c:v>0.72160000000000002</c:v>
                </c:pt>
                <c:pt idx="36">
                  <c:v>0.72219999999999995</c:v>
                </c:pt>
                <c:pt idx="37">
                  <c:v>0.72460000000000002</c:v>
                </c:pt>
                <c:pt idx="38">
                  <c:v>0.72519999999999996</c:v>
                </c:pt>
                <c:pt idx="39">
                  <c:v>0.7258</c:v>
                </c:pt>
                <c:pt idx="40">
                  <c:v>0.72609999999999997</c:v>
                </c:pt>
                <c:pt idx="41">
                  <c:v>0.72639999999999993</c:v>
                </c:pt>
                <c:pt idx="42">
                  <c:v>0.7288</c:v>
                </c:pt>
                <c:pt idx="43">
                  <c:v>0.73119999999999996</c:v>
                </c:pt>
                <c:pt idx="44">
                  <c:v>0.73180000000000001</c:v>
                </c:pt>
                <c:pt idx="45">
                  <c:v>0.73299999999999998</c:v>
                </c:pt>
                <c:pt idx="46">
                  <c:v>0.73419999999999996</c:v>
                </c:pt>
                <c:pt idx="47">
                  <c:v>0.73480000000000001</c:v>
                </c:pt>
                <c:pt idx="48">
                  <c:v>0.73599999999999999</c:v>
                </c:pt>
                <c:pt idx="49">
                  <c:v>0.73719999999999997</c:v>
                </c:pt>
                <c:pt idx="50">
                  <c:v>0.73780000000000001</c:v>
                </c:pt>
                <c:pt idx="51">
                  <c:v>0.73839999999999995</c:v>
                </c:pt>
                <c:pt idx="52">
                  <c:v>0.73959999999999992</c:v>
                </c:pt>
                <c:pt idx="53">
                  <c:v>0.74080000000000001</c:v>
                </c:pt>
                <c:pt idx="54">
                  <c:v>0.74199999999999999</c:v>
                </c:pt>
                <c:pt idx="55">
                  <c:v>0.74319999999999997</c:v>
                </c:pt>
                <c:pt idx="56">
                  <c:v>0.74559999999999993</c:v>
                </c:pt>
                <c:pt idx="57">
                  <c:v>0.748</c:v>
                </c:pt>
                <c:pt idx="58">
                  <c:v>0.74919999999999998</c:v>
                </c:pt>
                <c:pt idx="59">
                  <c:v>0.75159999999999993</c:v>
                </c:pt>
                <c:pt idx="60">
                  <c:v>0.75639999999999996</c:v>
                </c:pt>
                <c:pt idx="61">
                  <c:v>0.75700000000000001</c:v>
                </c:pt>
                <c:pt idx="62">
                  <c:v>0.75819999999999999</c:v>
                </c:pt>
                <c:pt idx="63">
                  <c:v>0.75939999999999996</c:v>
                </c:pt>
                <c:pt idx="64">
                  <c:v>0.76059999999999994</c:v>
                </c:pt>
                <c:pt idx="65">
                  <c:v>0.76180000000000003</c:v>
                </c:pt>
                <c:pt idx="66">
                  <c:v>0.76239999999999997</c:v>
                </c:pt>
                <c:pt idx="67">
                  <c:v>0.76300000000000001</c:v>
                </c:pt>
                <c:pt idx="68">
                  <c:v>0.76359999999999995</c:v>
                </c:pt>
                <c:pt idx="69">
                  <c:v>0.76479999999999992</c:v>
                </c:pt>
                <c:pt idx="70">
                  <c:v>0.76600000000000001</c:v>
                </c:pt>
                <c:pt idx="71">
                  <c:v>0.76719999999999999</c:v>
                </c:pt>
                <c:pt idx="72">
                  <c:v>0.76839999999999997</c:v>
                </c:pt>
                <c:pt idx="73">
                  <c:v>0.76959999999999995</c:v>
                </c:pt>
                <c:pt idx="74">
                  <c:v>0.77079999999999993</c:v>
                </c:pt>
                <c:pt idx="75">
                  <c:v>0.77139999999999997</c:v>
                </c:pt>
                <c:pt idx="76">
                  <c:v>0.77200000000000002</c:v>
                </c:pt>
                <c:pt idx="77">
                  <c:v>0.77229999999999999</c:v>
                </c:pt>
                <c:pt idx="78">
                  <c:v>0.77259999999999995</c:v>
                </c:pt>
                <c:pt idx="79">
                  <c:v>0.7732</c:v>
                </c:pt>
                <c:pt idx="80">
                  <c:v>0.77379999999999993</c:v>
                </c:pt>
                <c:pt idx="81">
                  <c:v>0.77410000000000001</c:v>
                </c:pt>
                <c:pt idx="82">
                  <c:v>0.77649999999999997</c:v>
                </c:pt>
                <c:pt idx="83">
                  <c:v>0.77679999999999993</c:v>
                </c:pt>
                <c:pt idx="84">
                  <c:v>0.7792</c:v>
                </c:pt>
                <c:pt idx="85">
                  <c:v>0.77979999999999994</c:v>
                </c:pt>
                <c:pt idx="86">
                  <c:v>0.78459999999999996</c:v>
                </c:pt>
                <c:pt idx="87">
                  <c:v>0.78520000000000001</c:v>
                </c:pt>
                <c:pt idx="88">
                  <c:v>0.78579999999999994</c:v>
                </c:pt>
                <c:pt idx="89">
                  <c:v>0.78820000000000001</c:v>
                </c:pt>
                <c:pt idx="90">
                  <c:v>0.78939999999999999</c:v>
                </c:pt>
                <c:pt idx="91">
                  <c:v>0.79059999999999997</c:v>
                </c:pt>
                <c:pt idx="92">
                  <c:v>0.79120000000000001</c:v>
                </c:pt>
                <c:pt idx="93">
                  <c:v>0.79149999999999998</c:v>
                </c:pt>
                <c:pt idx="94">
                  <c:v>0.79389999999999994</c:v>
                </c:pt>
                <c:pt idx="95">
                  <c:v>0.79630000000000001</c:v>
                </c:pt>
                <c:pt idx="96">
                  <c:v>0.80109999999999992</c:v>
                </c:pt>
                <c:pt idx="97">
                  <c:v>0.80589999999999995</c:v>
                </c:pt>
                <c:pt idx="98">
                  <c:v>0.80649999999999999</c:v>
                </c:pt>
                <c:pt idx="99">
                  <c:v>0.80709999999999993</c:v>
                </c:pt>
                <c:pt idx="100">
                  <c:v>0.80830000000000002</c:v>
                </c:pt>
                <c:pt idx="101">
                  <c:v>0.8095</c:v>
                </c:pt>
                <c:pt idx="102">
                  <c:v>0.81010000000000004</c:v>
                </c:pt>
                <c:pt idx="103">
                  <c:v>0.81489999999999996</c:v>
                </c:pt>
                <c:pt idx="104">
                  <c:v>0.8155</c:v>
                </c:pt>
                <c:pt idx="105">
                  <c:v>0.81609999999999994</c:v>
                </c:pt>
                <c:pt idx="106">
                  <c:v>0.81730000000000003</c:v>
                </c:pt>
                <c:pt idx="107">
                  <c:v>0.81850000000000001</c:v>
                </c:pt>
                <c:pt idx="108">
                  <c:v>0.81879999999999997</c:v>
                </c:pt>
                <c:pt idx="109">
                  <c:v>0.81909999999999994</c:v>
                </c:pt>
                <c:pt idx="110">
                  <c:v>0.81969999999999998</c:v>
                </c:pt>
                <c:pt idx="111">
                  <c:v>0.82030000000000003</c:v>
                </c:pt>
                <c:pt idx="112">
                  <c:v>0.8206</c:v>
                </c:pt>
                <c:pt idx="113">
                  <c:v>0.82179999999999997</c:v>
                </c:pt>
                <c:pt idx="114">
                  <c:v>0.82299999999999995</c:v>
                </c:pt>
                <c:pt idx="115">
                  <c:v>0.82540000000000002</c:v>
                </c:pt>
                <c:pt idx="116">
                  <c:v>0.82779999999999998</c:v>
                </c:pt>
                <c:pt idx="117">
                  <c:v>0.82899999999999996</c:v>
                </c:pt>
                <c:pt idx="118">
                  <c:v>0.83020000000000005</c:v>
                </c:pt>
                <c:pt idx="119">
                  <c:v>0.83139999999999992</c:v>
                </c:pt>
                <c:pt idx="120">
                  <c:v>0.83260000000000001</c:v>
                </c:pt>
                <c:pt idx="121">
                  <c:v>0.83319999999999994</c:v>
                </c:pt>
                <c:pt idx="122">
                  <c:v>0.83379999999999999</c:v>
                </c:pt>
                <c:pt idx="123">
                  <c:v>0.83499999999999996</c:v>
                </c:pt>
                <c:pt idx="124">
                  <c:v>0.83560000000000001</c:v>
                </c:pt>
                <c:pt idx="125">
                  <c:v>0.83619999999999994</c:v>
                </c:pt>
                <c:pt idx="126">
                  <c:v>0.83860000000000001</c:v>
                </c:pt>
                <c:pt idx="127">
                  <c:v>0.83979999999999999</c:v>
                </c:pt>
                <c:pt idx="128">
                  <c:v>0.84099999999999997</c:v>
                </c:pt>
                <c:pt idx="129">
                  <c:v>0.84339999999999993</c:v>
                </c:pt>
                <c:pt idx="130">
                  <c:v>0.8458</c:v>
                </c:pt>
                <c:pt idx="131">
                  <c:v>0.84640000000000004</c:v>
                </c:pt>
                <c:pt idx="132">
                  <c:v>0.84699999999999998</c:v>
                </c:pt>
                <c:pt idx="133">
                  <c:v>0.84760000000000002</c:v>
                </c:pt>
                <c:pt idx="134">
                  <c:v>0.85</c:v>
                </c:pt>
                <c:pt idx="135">
                  <c:v>0.85240000000000005</c:v>
                </c:pt>
                <c:pt idx="136">
                  <c:v>0.8548</c:v>
                </c:pt>
                <c:pt idx="137">
                  <c:v>0.86439999999999995</c:v>
                </c:pt>
                <c:pt idx="138">
                  <c:v>0.86559999999999993</c:v>
                </c:pt>
                <c:pt idx="139">
                  <c:v>0.86680000000000001</c:v>
                </c:pt>
                <c:pt idx="140">
                  <c:v>0.86799999999999999</c:v>
                </c:pt>
                <c:pt idx="141">
                  <c:v>0.86919999999999997</c:v>
                </c:pt>
                <c:pt idx="142">
                  <c:v>0.87159999999999993</c:v>
                </c:pt>
                <c:pt idx="143">
                  <c:v>0.874</c:v>
                </c:pt>
                <c:pt idx="144">
                  <c:v>0.87519999999999998</c:v>
                </c:pt>
                <c:pt idx="145">
                  <c:v>0.87759999999999994</c:v>
                </c:pt>
                <c:pt idx="146">
                  <c:v>0.88</c:v>
                </c:pt>
                <c:pt idx="147">
                  <c:v>0.88060000000000005</c:v>
                </c:pt>
                <c:pt idx="148">
                  <c:v>0.88119999999999998</c:v>
                </c:pt>
                <c:pt idx="149">
                  <c:v>0.88239999999999996</c:v>
                </c:pt>
                <c:pt idx="150">
                  <c:v>0.88359999999999994</c:v>
                </c:pt>
                <c:pt idx="151">
                  <c:v>0.88390000000000002</c:v>
                </c:pt>
                <c:pt idx="152">
                  <c:v>0.88629999999999998</c:v>
                </c:pt>
                <c:pt idx="153">
                  <c:v>0.88660000000000005</c:v>
                </c:pt>
                <c:pt idx="154">
                  <c:v>0.88690000000000002</c:v>
                </c:pt>
                <c:pt idx="155">
                  <c:v>0.8881</c:v>
                </c:pt>
                <c:pt idx="156">
                  <c:v>0.88929999999999998</c:v>
                </c:pt>
                <c:pt idx="157">
                  <c:v>0.88990000000000002</c:v>
                </c:pt>
                <c:pt idx="158">
                  <c:v>0.89019999999999999</c:v>
                </c:pt>
                <c:pt idx="159">
                  <c:v>0.89080000000000004</c:v>
                </c:pt>
                <c:pt idx="160">
                  <c:v>0.89319999999999999</c:v>
                </c:pt>
                <c:pt idx="161">
                  <c:v>0.89559999999999995</c:v>
                </c:pt>
                <c:pt idx="162">
                  <c:v>0.8962</c:v>
                </c:pt>
                <c:pt idx="163">
                  <c:v>0.89680000000000004</c:v>
                </c:pt>
                <c:pt idx="164">
                  <c:v>0.8992</c:v>
                </c:pt>
                <c:pt idx="165">
                  <c:v>0.89979999999999993</c:v>
                </c:pt>
                <c:pt idx="166">
                  <c:v>0.90039999999999998</c:v>
                </c:pt>
                <c:pt idx="167">
                  <c:v>0.90100000000000002</c:v>
                </c:pt>
                <c:pt idx="168">
                  <c:v>0.90579999999999994</c:v>
                </c:pt>
                <c:pt idx="169">
                  <c:v>0.90610000000000002</c:v>
                </c:pt>
                <c:pt idx="170">
                  <c:v>0.90639999999999998</c:v>
                </c:pt>
                <c:pt idx="171">
                  <c:v>0.91120000000000001</c:v>
                </c:pt>
                <c:pt idx="172">
                  <c:v>0.91179999999999994</c:v>
                </c:pt>
                <c:pt idx="173">
                  <c:v>0.91300000000000003</c:v>
                </c:pt>
                <c:pt idx="174">
                  <c:v>0.91779999999999995</c:v>
                </c:pt>
                <c:pt idx="175">
                  <c:v>0.92259999999999998</c:v>
                </c:pt>
                <c:pt idx="176">
                  <c:v>0.92379999999999995</c:v>
                </c:pt>
                <c:pt idx="177">
                  <c:v>0.92500000000000004</c:v>
                </c:pt>
                <c:pt idx="178">
                  <c:v>0.92620000000000002</c:v>
                </c:pt>
                <c:pt idx="179">
                  <c:v>0.9274</c:v>
                </c:pt>
                <c:pt idx="180">
                  <c:v>0.92799999999999994</c:v>
                </c:pt>
                <c:pt idx="181">
                  <c:v>0.92920000000000003</c:v>
                </c:pt>
                <c:pt idx="182">
                  <c:v>0.9304</c:v>
                </c:pt>
                <c:pt idx="183">
                  <c:v>0.93100000000000005</c:v>
                </c:pt>
                <c:pt idx="184">
                  <c:v>0.93159999999999998</c:v>
                </c:pt>
                <c:pt idx="185">
                  <c:v>0.93279999999999996</c:v>
                </c:pt>
                <c:pt idx="186">
                  <c:v>0.93310000000000004</c:v>
                </c:pt>
                <c:pt idx="187">
                  <c:v>0.93369999999999997</c:v>
                </c:pt>
                <c:pt idx="188">
                  <c:v>0.93489999999999995</c:v>
                </c:pt>
                <c:pt idx="189">
                  <c:v>0.93609999999999993</c:v>
                </c:pt>
                <c:pt idx="190">
                  <c:v>0.93730000000000002</c:v>
                </c:pt>
                <c:pt idx="191">
                  <c:v>0.9385</c:v>
                </c:pt>
                <c:pt idx="192">
                  <c:v>0.93969999999999998</c:v>
                </c:pt>
                <c:pt idx="193">
                  <c:v>0.94209999999999994</c:v>
                </c:pt>
                <c:pt idx="194">
                  <c:v>0.94450000000000001</c:v>
                </c:pt>
                <c:pt idx="195">
                  <c:v>0.94510000000000005</c:v>
                </c:pt>
                <c:pt idx="196">
                  <c:v>0.94989999999999997</c:v>
                </c:pt>
                <c:pt idx="197">
                  <c:v>0.95229999999999992</c:v>
                </c:pt>
                <c:pt idx="198">
                  <c:v>0.95469999999999999</c:v>
                </c:pt>
                <c:pt idx="199">
                  <c:v>0.95710000000000006</c:v>
                </c:pt>
                <c:pt idx="200">
                  <c:v>0.95829999999999993</c:v>
                </c:pt>
                <c:pt idx="201">
                  <c:v>0.95889999999999997</c:v>
                </c:pt>
                <c:pt idx="202">
                  <c:v>0.95950000000000002</c:v>
                </c:pt>
                <c:pt idx="203">
                  <c:v>0.9607</c:v>
                </c:pt>
                <c:pt idx="204">
                  <c:v>0.96189999999999998</c:v>
                </c:pt>
                <c:pt idx="205">
                  <c:v>0.96310000000000007</c:v>
                </c:pt>
                <c:pt idx="206">
                  <c:v>0.96429999999999993</c:v>
                </c:pt>
                <c:pt idx="207">
                  <c:v>0.96489999999999998</c:v>
                </c:pt>
                <c:pt idx="208">
                  <c:v>0.96550000000000002</c:v>
                </c:pt>
                <c:pt idx="209">
                  <c:v>0.96609999999999996</c:v>
                </c:pt>
                <c:pt idx="210">
                  <c:v>0.9667</c:v>
                </c:pt>
                <c:pt idx="211">
                  <c:v>0.96910000000000007</c:v>
                </c:pt>
                <c:pt idx="212">
                  <c:v>0.96940000000000004</c:v>
                </c:pt>
                <c:pt idx="213">
                  <c:v>0.97060000000000002</c:v>
                </c:pt>
                <c:pt idx="214">
                  <c:v>0.9718</c:v>
                </c:pt>
                <c:pt idx="215">
                  <c:v>0.97209999999999996</c:v>
                </c:pt>
                <c:pt idx="216">
                  <c:v>0.97449999999999992</c:v>
                </c:pt>
                <c:pt idx="217">
                  <c:v>0.97689999999999999</c:v>
                </c:pt>
                <c:pt idx="218">
                  <c:v>0.97750000000000004</c:v>
                </c:pt>
                <c:pt idx="219">
                  <c:v>0.97870000000000001</c:v>
                </c:pt>
                <c:pt idx="220">
                  <c:v>0.98109999999999997</c:v>
                </c:pt>
                <c:pt idx="221">
                  <c:v>0.98350000000000004</c:v>
                </c:pt>
                <c:pt idx="222">
                  <c:v>0.98409999999999997</c:v>
                </c:pt>
                <c:pt idx="223">
                  <c:v>0.98470000000000002</c:v>
                </c:pt>
                <c:pt idx="224">
                  <c:v>0.98530000000000006</c:v>
                </c:pt>
                <c:pt idx="225">
                  <c:v>0.9859</c:v>
                </c:pt>
                <c:pt idx="226">
                  <c:v>0.98649999999999993</c:v>
                </c:pt>
                <c:pt idx="227">
                  <c:v>0.98680000000000001</c:v>
                </c:pt>
                <c:pt idx="228">
                  <c:v>0.98709999999999998</c:v>
                </c:pt>
                <c:pt idx="229">
                  <c:v>0.98740000000000006</c:v>
                </c:pt>
                <c:pt idx="230">
                  <c:v>0.98859999999999992</c:v>
                </c:pt>
                <c:pt idx="231">
                  <c:v>0.98980000000000001</c:v>
                </c:pt>
                <c:pt idx="232">
                  <c:v>0.99099999999999999</c:v>
                </c:pt>
                <c:pt idx="233">
                  <c:v>0.99219999999999997</c:v>
                </c:pt>
                <c:pt idx="234">
                  <c:v>0.99280000000000002</c:v>
                </c:pt>
                <c:pt idx="235">
                  <c:v>0.99399999999999999</c:v>
                </c:pt>
                <c:pt idx="236">
                  <c:v>0.99519999999999997</c:v>
                </c:pt>
                <c:pt idx="237">
                  <c:v>0.99580000000000002</c:v>
                </c:pt>
                <c:pt idx="238">
                  <c:v>0.997</c:v>
                </c:pt>
                <c:pt idx="239">
                  <c:v>0.99760000000000004</c:v>
                </c:pt>
                <c:pt idx="240">
                  <c:v>0.99819999999999998</c:v>
                </c:pt>
                <c:pt idx="241">
                  <c:v>0.99880000000000002</c:v>
                </c:pt>
                <c:pt idx="242">
                  <c:v>0.99909999999999999</c:v>
                </c:pt>
                <c:pt idx="243">
                  <c:v>0.99970000000000003</c:v>
                </c:pt>
                <c:pt idx="24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7A-0F43-8205-975F405162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8887631"/>
        <c:axId val="778889311"/>
      </c:scatterChart>
      <c:valAx>
        <c:axId val="7788876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889311"/>
        <c:crosses val="autoZero"/>
        <c:crossBetween val="midCat"/>
      </c:valAx>
      <c:valAx>
        <c:axId val="77888931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8876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3</xdr:row>
          <xdr:rowOff>177800</xdr:rowOff>
        </xdr:from>
        <xdr:to>
          <xdr:col>13</xdr:col>
          <xdr:colOff>558800</xdr:colOff>
          <xdr:row>8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9436" rIns="36576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pple Chancery" pitchFamily="4" charset="0"/>
                  <a:cs typeface="Apple Chancery" pitchFamily="4" charset="0"/>
                </a:rPr>
                <a:t>Evaluate Uncertainty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939800</xdr:colOff>
          <xdr:row>2</xdr:row>
          <xdr:rowOff>25400</xdr:rowOff>
        </xdr:from>
        <xdr:to>
          <xdr:col>2</xdr:col>
          <xdr:colOff>1308100</xdr:colOff>
          <xdr:row>4</xdr:row>
          <xdr:rowOff>139700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pple Chancery" pitchFamily="4" charset="0"/>
                  <a:cs typeface="Apple Chancery" pitchFamily="4" charset="0"/>
                </a:rPr>
                <a:t>Update Tornado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488950</xdr:colOff>
      <xdr:row>5</xdr:row>
      <xdr:rowOff>152400</xdr:rowOff>
    </xdr:from>
    <xdr:to>
      <xdr:col>10</xdr:col>
      <xdr:colOff>787400</xdr:colOff>
      <xdr:row>46</xdr:row>
      <xdr:rowOff>101600</xdr:rowOff>
    </xdr:to>
    <xdr:graphicFrame macro="">
      <xdr:nvGraphicFramePr>
        <xdr:cNvPr id="2" name="TornadoCha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533400</xdr:colOff>
      <xdr:row>47</xdr:row>
      <xdr:rowOff>165100</xdr:rowOff>
    </xdr:from>
    <xdr:to>
      <xdr:col>10</xdr:col>
      <xdr:colOff>812800</xdr:colOff>
      <xdr:row>67</xdr:row>
      <xdr:rowOff>101600</xdr:rowOff>
    </xdr:to>
    <xdr:graphicFrame macro="">
      <xdr:nvGraphicFramePr>
        <xdr:cNvPr id="5" name="CDF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10</xdr:col>
      <xdr:colOff>711200</xdr:colOff>
      <xdr:row>44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132"/>
  <sheetViews>
    <sheetView showGridLines="0" tabSelected="1" topLeftCell="A84" zoomScale="110" zoomScaleNormal="110" zoomScalePageLayoutView="110" workbookViewId="0">
      <pane xSplit="520" topLeftCell="F1" activePane="topRight"/>
      <selection activeCell="A65" sqref="A65:XFD65"/>
      <selection pane="topRight" activeCell="Q121" sqref="Q121"/>
    </sheetView>
  </sheetViews>
  <sheetFormatPr baseColWidth="10" defaultColWidth="8.7109375" defaultRowHeight="14" x14ac:dyDescent="0.2"/>
  <cols>
    <col min="1" max="1" width="2.7109375" style="11" customWidth="1"/>
    <col min="2" max="2" width="2.7109375" style="4" customWidth="1"/>
    <col min="3" max="3" width="22.28515625" customWidth="1"/>
    <col min="4" max="4" width="8.85546875" style="1" customWidth="1"/>
    <col min="5" max="5" width="9.7109375" style="1" customWidth="1"/>
    <col min="6" max="6" width="9.28515625" customWidth="1"/>
    <col min="7" max="9" width="8.140625" style="1" customWidth="1"/>
    <col min="10" max="10" width="8.140625" style="24" customWidth="1"/>
    <col min="11" max="14" width="8.140625" customWidth="1"/>
    <col min="15" max="15" width="10.28515625" customWidth="1"/>
    <col min="16" max="17" width="8.140625" customWidth="1"/>
    <col min="18" max="18" width="10.85546875" customWidth="1"/>
    <col min="19" max="19" width="9.5703125" bestFit="1" customWidth="1"/>
    <col min="21" max="21" width="26.5703125" bestFit="1" customWidth="1"/>
    <col min="22" max="22" width="32" bestFit="1" customWidth="1"/>
    <col min="23" max="23" width="10.85546875" bestFit="1" customWidth="1"/>
  </cols>
  <sheetData>
    <row r="1" spans="1:18" s="7" customFormat="1" ht="16" x14ac:dyDescent="0.2">
      <c r="A1" s="75" t="s">
        <v>187</v>
      </c>
      <c r="B1" s="8"/>
      <c r="C1" s="9"/>
      <c r="D1" s="10"/>
      <c r="E1" s="10"/>
      <c r="F1" s="9"/>
      <c r="G1" s="10"/>
      <c r="H1" s="10"/>
      <c r="I1" s="10"/>
      <c r="J1" s="10"/>
      <c r="K1" s="10"/>
      <c r="L1" s="10"/>
      <c r="M1" s="10"/>
      <c r="N1" s="10" t="s">
        <v>23</v>
      </c>
    </row>
    <row r="2" spans="1:18" x14ac:dyDescent="0.2">
      <c r="A2" s="36"/>
      <c r="B2" s="34"/>
      <c r="C2" s="26"/>
      <c r="D2" s="24"/>
      <c r="E2" s="24"/>
      <c r="F2" s="26"/>
      <c r="G2" s="24"/>
      <c r="H2" s="24"/>
      <c r="I2" s="24"/>
      <c r="K2" s="26"/>
      <c r="L2" s="26"/>
      <c r="P2" s="135" t="s">
        <v>61</v>
      </c>
    </row>
    <row r="3" spans="1:18" s="17" customFormat="1" ht="16" x14ac:dyDescent="0.2">
      <c r="A3" s="47" t="s">
        <v>42</v>
      </c>
      <c r="C3" s="45"/>
      <c r="D3" s="45"/>
      <c r="E3" s="45"/>
      <c r="F3" s="46"/>
      <c r="G3" s="45"/>
      <c r="H3" s="166"/>
      <c r="I3" s="20"/>
      <c r="J3" s="127"/>
      <c r="K3" s="126"/>
      <c r="L3" s="126"/>
      <c r="M3" s="48"/>
      <c r="N3" s="48"/>
      <c r="P3" s="239" t="s">
        <v>186</v>
      </c>
    </row>
    <row r="4" spans="1:18" s="5" customFormat="1" ht="18" customHeight="1" thickBot="1" x14ac:dyDescent="0.25">
      <c r="A4" s="41"/>
      <c r="B4" s="83" t="s">
        <v>8</v>
      </c>
      <c r="C4" s="4"/>
      <c r="D4" s="34"/>
      <c r="E4" s="4"/>
      <c r="F4" s="191" t="s">
        <v>9</v>
      </c>
      <c r="G4" s="160" t="s">
        <v>115</v>
      </c>
      <c r="H4" s="192" t="s">
        <v>123</v>
      </c>
      <c r="I4" s="193" t="s">
        <v>124</v>
      </c>
      <c r="J4" s="194" t="s">
        <v>125</v>
      </c>
      <c r="K4" s="162"/>
      <c r="L4" s="167"/>
      <c r="M4" s="18"/>
      <c r="N4" s="18"/>
      <c r="P4" s="72" t="s">
        <v>89</v>
      </c>
    </row>
    <row r="5" spans="1:18" ht="15" thickTop="1" x14ac:dyDescent="0.2">
      <c r="A5" s="24"/>
      <c r="B5" s="93" t="s">
        <v>110</v>
      </c>
      <c r="C5" s="81"/>
      <c r="D5" s="63" t="s">
        <v>58</v>
      </c>
      <c r="E5" s="12"/>
      <c r="F5" s="188">
        <f>Q93</f>
        <v>6.4460184278709676</v>
      </c>
      <c r="G5" s="203">
        <v>7.6831290797419314</v>
      </c>
      <c r="H5" s="197">
        <v>1.8474960433548382</v>
      </c>
      <c r="I5" s="198">
        <v>5.7455096732903215</v>
      </c>
      <c r="J5" s="199">
        <v>15.715939915974195</v>
      </c>
      <c r="K5" s="167"/>
      <c r="L5" s="167"/>
      <c r="M5" s="18"/>
      <c r="N5" s="18"/>
      <c r="P5" s="240">
        <v>41973</v>
      </c>
    </row>
    <row r="6" spans="1:18" x14ac:dyDescent="0.2">
      <c r="A6" s="24"/>
      <c r="B6" s="70" t="s">
        <v>111</v>
      </c>
      <c r="C6" s="3"/>
      <c r="D6" s="25" t="s">
        <v>2</v>
      </c>
      <c r="E6" s="2"/>
      <c r="F6" s="189">
        <f>Q119</f>
        <v>12.652251400258065</v>
      </c>
      <c r="G6" s="204">
        <v>16.243686570116122</v>
      </c>
      <c r="H6" s="200">
        <v>4.575604551019353</v>
      </c>
      <c r="I6" s="201">
        <v>12.76630578605419</v>
      </c>
      <c r="J6" s="202">
        <v>31.905270116748387</v>
      </c>
      <c r="K6" s="167"/>
      <c r="L6" s="167"/>
      <c r="M6" s="18"/>
      <c r="N6" s="18"/>
    </row>
    <row r="7" spans="1:18" ht="12.75" customHeight="1" x14ac:dyDescent="0.2">
      <c r="A7" s="24"/>
      <c r="B7" s="163" t="s">
        <v>112</v>
      </c>
      <c r="C7" s="3"/>
      <c r="D7" s="25" t="s">
        <v>87</v>
      </c>
      <c r="E7" s="2"/>
      <c r="F7" s="190">
        <f>E119</f>
        <v>11200.8</v>
      </c>
      <c r="G7" s="196">
        <v>12007.149999999994</v>
      </c>
      <c r="H7" s="205">
        <v>6520.4</v>
      </c>
      <c r="I7" s="194">
        <v>11200.8</v>
      </c>
      <c r="J7" s="195">
        <v>18880.8</v>
      </c>
      <c r="K7" s="167"/>
      <c r="L7" s="167"/>
      <c r="M7" s="54"/>
      <c r="N7" s="54"/>
    </row>
    <row r="8" spans="1:18" ht="15" thickBot="1" x14ac:dyDescent="0.25">
      <c r="A8" s="22"/>
      <c r="B8" s="283" t="s">
        <v>242</v>
      </c>
      <c r="C8" s="82"/>
      <c r="D8" s="284" t="s">
        <v>2</v>
      </c>
      <c r="E8" s="13"/>
      <c r="F8" s="285">
        <f>Q94</f>
        <v>20.983132903225805</v>
      </c>
      <c r="G8" s="286">
        <v>25.010185806451624</v>
      </c>
      <c r="H8" s="287">
        <v>6.01398451612903</v>
      </c>
      <c r="I8" s="288">
        <v>18.702830967741932</v>
      </c>
      <c r="J8" s="289">
        <v>51.158658580645159</v>
      </c>
      <c r="K8" s="167"/>
      <c r="L8" s="167"/>
      <c r="M8" s="18"/>
      <c r="N8" s="18"/>
    </row>
    <row r="9" spans="1:18" ht="15" thickTop="1" x14ac:dyDescent="0.2">
      <c r="A9" s="22"/>
      <c r="B9" s="54"/>
      <c r="C9" s="3"/>
      <c r="D9" s="25"/>
      <c r="E9" s="2"/>
      <c r="F9" s="168"/>
      <c r="G9"/>
      <c r="H9" s="134"/>
      <c r="I9" s="20"/>
      <c r="J9" s="164"/>
      <c r="K9" s="167"/>
      <c r="L9" s="167"/>
      <c r="M9" s="18"/>
      <c r="N9" s="18"/>
    </row>
    <row r="10" spans="1:18" x14ac:dyDescent="0.2">
      <c r="A10" s="36"/>
      <c r="B10" s="18"/>
      <c r="C10" s="18"/>
      <c r="D10" s="54"/>
      <c r="E10" s="22"/>
      <c r="F10" s="54"/>
      <c r="G10" s="51"/>
      <c r="H10" s="134"/>
      <c r="I10" s="20"/>
      <c r="J10" s="164"/>
      <c r="K10" s="167"/>
      <c r="L10" s="167"/>
      <c r="P10" s="26"/>
    </row>
    <row r="11" spans="1:18" s="7" customFormat="1" ht="16" x14ac:dyDescent="0.2">
      <c r="A11" s="44" t="s">
        <v>28</v>
      </c>
      <c r="B11" s="55"/>
      <c r="C11" s="56"/>
      <c r="D11" s="27"/>
      <c r="E11" s="56"/>
      <c r="F11" s="29">
        <v>1</v>
      </c>
      <c r="G11" s="29">
        <v>2</v>
      </c>
      <c r="H11" s="29">
        <v>3</v>
      </c>
      <c r="I11" s="29">
        <v>4</v>
      </c>
      <c r="J11" s="27"/>
      <c r="K11" s="56"/>
      <c r="L11" s="56"/>
      <c r="M11" s="71"/>
      <c r="N11" s="71"/>
      <c r="O11" s="6" t="s">
        <v>9</v>
      </c>
    </row>
    <row r="12" spans="1:18" s="4" customFormat="1" x14ac:dyDescent="0.2">
      <c r="A12" s="36"/>
      <c r="B12" s="57"/>
      <c r="C12" s="57" t="s">
        <v>8</v>
      </c>
      <c r="D12" s="29" t="s">
        <v>10</v>
      </c>
      <c r="E12" s="29" t="s">
        <v>13</v>
      </c>
      <c r="F12" s="29" t="s">
        <v>14</v>
      </c>
      <c r="G12" s="29" t="s">
        <v>15</v>
      </c>
      <c r="H12" s="29" t="s">
        <v>16</v>
      </c>
      <c r="I12" s="29" t="s">
        <v>34</v>
      </c>
      <c r="J12" s="57" t="s">
        <v>35</v>
      </c>
      <c r="K12" s="34"/>
      <c r="L12" s="34"/>
      <c r="M12" s="48" t="s">
        <v>20</v>
      </c>
      <c r="N12" s="48"/>
      <c r="O12" s="14" t="s">
        <v>12</v>
      </c>
      <c r="P12" s="14" t="s">
        <v>11</v>
      </c>
    </row>
    <row r="13" spans="1:18" ht="12" customHeight="1" x14ac:dyDescent="0.2">
      <c r="A13" s="36"/>
      <c r="B13" s="58"/>
      <c r="C13" s="59"/>
      <c r="D13" s="63"/>
      <c r="E13" s="64"/>
      <c r="F13" s="31"/>
      <c r="G13" s="31"/>
      <c r="H13" s="32"/>
      <c r="I13" s="60"/>
      <c r="J13" s="49"/>
      <c r="K13" s="59"/>
      <c r="L13" s="50"/>
      <c r="M13" s="18"/>
      <c r="N13" s="18"/>
      <c r="O13" s="73"/>
      <c r="P13" s="118"/>
      <c r="Q13" s="119"/>
      <c r="R13" s="5"/>
    </row>
    <row r="14" spans="1:18" ht="12" customHeight="1" x14ac:dyDescent="0.2">
      <c r="A14" s="36"/>
      <c r="B14" s="37" t="s">
        <v>7</v>
      </c>
      <c r="C14" s="18"/>
      <c r="D14" s="25"/>
      <c r="E14" s="84"/>
      <c r="F14" s="30"/>
      <c r="G14" s="30"/>
      <c r="H14" s="85"/>
      <c r="I14" s="25"/>
      <c r="J14" s="70"/>
      <c r="K14" s="18"/>
      <c r="L14" s="39"/>
      <c r="M14" s="18"/>
      <c r="N14" s="18"/>
      <c r="O14" s="86"/>
      <c r="P14" s="120"/>
      <c r="Q14" s="121"/>
      <c r="R14" s="5"/>
    </row>
    <row r="15" spans="1:18" ht="12" customHeight="1" x14ac:dyDescent="0.2">
      <c r="A15" s="36"/>
      <c r="B15" s="76"/>
      <c r="C15" s="152" t="s">
        <v>143</v>
      </c>
      <c r="D15" s="25"/>
      <c r="E15" s="65"/>
      <c r="F15" s="3"/>
      <c r="G15" s="3"/>
      <c r="H15" s="78"/>
      <c r="I15" s="33"/>
      <c r="J15" s="70"/>
      <c r="K15" s="18"/>
      <c r="L15" s="39"/>
      <c r="M15" s="18"/>
      <c r="N15" s="18"/>
      <c r="O15" s="43"/>
      <c r="P15" s="120"/>
      <c r="Q15" s="121"/>
      <c r="R15" s="5"/>
    </row>
    <row r="16" spans="1:18" ht="12" customHeight="1" x14ac:dyDescent="0.2">
      <c r="A16" s="36"/>
      <c r="B16" s="76"/>
      <c r="C16" s="18" t="s">
        <v>144</v>
      </c>
      <c r="D16" s="25" t="s">
        <v>149</v>
      </c>
      <c r="E16" s="65">
        <v>2</v>
      </c>
      <c r="F16" s="3">
        <v>500</v>
      </c>
      <c r="G16" s="3">
        <v>800</v>
      </c>
      <c r="H16" s="78">
        <v>1000</v>
      </c>
      <c r="I16" s="33"/>
      <c r="J16" s="70"/>
      <c r="K16" s="18"/>
      <c r="L16" s="39"/>
      <c r="M16" s="18"/>
      <c r="N16" s="18"/>
      <c r="O16" s="43">
        <v>800</v>
      </c>
      <c r="P16" s="120" t="s">
        <v>156</v>
      </c>
      <c r="Q16" s="121"/>
      <c r="R16" s="5"/>
    </row>
    <row r="17" spans="1:18" ht="12" customHeight="1" x14ac:dyDescent="0.2">
      <c r="A17" s="36"/>
      <c r="B17" s="76"/>
      <c r="C17" s="18" t="s">
        <v>145</v>
      </c>
      <c r="D17" s="25" t="s">
        <v>149</v>
      </c>
      <c r="E17" s="65">
        <v>2</v>
      </c>
      <c r="F17" s="233">
        <v>500</v>
      </c>
      <c r="G17" s="233">
        <v>2000</v>
      </c>
      <c r="H17" s="234">
        <v>4000</v>
      </c>
      <c r="I17" s="33"/>
      <c r="J17" s="70"/>
      <c r="K17" s="18"/>
      <c r="L17" s="39"/>
      <c r="M17" s="18"/>
      <c r="N17" s="18"/>
      <c r="O17" s="43">
        <v>2000</v>
      </c>
      <c r="P17" s="120" t="s">
        <v>157</v>
      </c>
      <c r="Q17" s="121"/>
      <c r="R17" s="5"/>
    </row>
    <row r="18" spans="1:18" ht="12" customHeight="1" x14ac:dyDescent="0.2">
      <c r="A18" s="36"/>
      <c r="B18" s="76"/>
      <c r="C18" s="18" t="s">
        <v>146</v>
      </c>
      <c r="D18" s="25" t="s">
        <v>149</v>
      </c>
      <c r="E18" s="65">
        <v>2</v>
      </c>
      <c r="F18" s="233">
        <v>5</v>
      </c>
      <c r="G18" s="233">
        <v>20</v>
      </c>
      <c r="H18" s="234">
        <v>40</v>
      </c>
      <c r="I18" s="33"/>
      <c r="J18" s="70"/>
      <c r="K18" s="18"/>
      <c r="L18" s="39"/>
      <c r="M18" s="18"/>
      <c r="N18" s="18"/>
      <c r="O18" s="43">
        <v>20</v>
      </c>
      <c r="P18" s="120" t="s">
        <v>158</v>
      </c>
      <c r="Q18" s="121"/>
      <c r="R18" s="5"/>
    </row>
    <row r="19" spans="1:18" ht="12" customHeight="1" x14ac:dyDescent="0.2">
      <c r="A19" s="36"/>
      <c r="B19" s="76"/>
      <c r="C19" s="18" t="s">
        <v>147</v>
      </c>
      <c r="D19" s="25" t="s">
        <v>150</v>
      </c>
      <c r="E19" s="65">
        <v>2</v>
      </c>
      <c r="F19" s="3">
        <v>50</v>
      </c>
      <c r="G19" s="3">
        <v>100</v>
      </c>
      <c r="H19" s="78">
        <v>150</v>
      </c>
      <c r="I19" s="33"/>
      <c r="J19" s="70"/>
      <c r="K19" s="18"/>
      <c r="L19" s="39"/>
      <c r="M19" s="18"/>
      <c r="N19" s="18"/>
      <c r="O19" s="43">
        <v>100</v>
      </c>
      <c r="P19" s="120" t="s">
        <v>159</v>
      </c>
      <c r="Q19" s="121"/>
      <c r="R19" s="5"/>
    </row>
    <row r="20" spans="1:18" ht="12" customHeight="1" x14ac:dyDescent="0.2">
      <c r="A20" s="36"/>
      <c r="B20" s="76"/>
      <c r="C20" s="18" t="s">
        <v>148</v>
      </c>
      <c r="D20" s="25" t="s">
        <v>151</v>
      </c>
      <c r="E20" s="65">
        <v>2</v>
      </c>
      <c r="F20" s="235">
        <v>0.5</v>
      </c>
      <c r="G20" s="235">
        <v>0.8</v>
      </c>
      <c r="H20" s="177">
        <v>0.9</v>
      </c>
      <c r="I20" s="33"/>
      <c r="J20" s="70"/>
      <c r="K20" s="18"/>
      <c r="L20" s="39"/>
      <c r="M20" s="18"/>
      <c r="N20" s="18"/>
      <c r="O20" s="92">
        <v>0.8</v>
      </c>
      <c r="P20" s="120" t="s">
        <v>160</v>
      </c>
      <c r="Q20" s="121"/>
      <c r="R20" s="5"/>
    </row>
    <row r="21" spans="1:18" ht="12" customHeight="1" x14ac:dyDescent="0.2">
      <c r="A21" s="36"/>
      <c r="B21" s="76"/>
      <c r="C21" s="18"/>
      <c r="D21" s="25"/>
      <c r="E21" s="65"/>
      <c r="F21" s="3"/>
      <c r="G21" s="235"/>
      <c r="H21" s="78"/>
      <c r="I21" s="33"/>
      <c r="J21" s="70"/>
      <c r="K21" s="18"/>
      <c r="L21" s="39"/>
      <c r="M21" s="18"/>
      <c r="N21" s="18"/>
      <c r="O21" s="43"/>
      <c r="P21" s="120"/>
      <c r="Q21" s="121"/>
      <c r="R21" s="5"/>
    </row>
    <row r="22" spans="1:18" ht="12" customHeight="1" x14ac:dyDescent="0.2">
      <c r="A22" s="36"/>
      <c r="B22" s="76"/>
      <c r="C22" s="152" t="s">
        <v>152</v>
      </c>
      <c r="D22" s="25"/>
      <c r="E22" s="65"/>
      <c r="F22" s="79"/>
      <c r="G22" s="235"/>
      <c r="H22" s="175"/>
      <c r="I22" s="33"/>
      <c r="J22" s="70"/>
      <c r="K22" s="18"/>
      <c r="L22" s="39"/>
      <c r="M22" s="18"/>
      <c r="N22" s="18"/>
      <c r="O22" s="43"/>
      <c r="P22" s="120"/>
      <c r="Q22" s="121"/>
      <c r="R22" s="5"/>
    </row>
    <row r="23" spans="1:18" ht="12" customHeight="1" x14ac:dyDescent="0.2">
      <c r="A23" s="36"/>
      <c r="B23" s="76"/>
      <c r="C23" s="183" t="s">
        <v>244</v>
      </c>
      <c r="D23" s="25" t="s">
        <v>149</v>
      </c>
      <c r="E23" s="65">
        <v>2</v>
      </c>
      <c r="F23" s="3">
        <v>2500</v>
      </c>
      <c r="G23" s="3">
        <v>4000</v>
      </c>
      <c r="H23" s="78">
        <v>5000</v>
      </c>
      <c r="I23" s="33"/>
      <c r="J23" s="70"/>
      <c r="K23" s="18"/>
      <c r="L23" s="39"/>
      <c r="M23" s="18"/>
      <c r="N23" s="18"/>
      <c r="O23" s="43">
        <v>4000</v>
      </c>
      <c r="P23" s="120" t="s">
        <v>161</v>
      </c>
      <c r="Q23" s="121"/>
      <c r="R23" s="5"/>
    </row>
    <row r="24" spans="1:18" ht="12" customHeight="1" x14ac:dyDescent="0.2">
      <c r="A24" s="36"/>
      <c r="B24" s="76"/>
      <c r="C24" s="183" t="s">
        <v>245</v>
      </c>
      <c r="D24" s="25" t="s">
        <v>149</v>
      </c>
      <c r="E24" s="65">
        <v>2</v>
      </c>
      <c r="F24" s="233">
        <v>200</v>
      </c>
      <c r="G24" s="233">
        <v>500</v>
      </c>
      <c r="H24" s="234">
        <v>1000</v>
      </c>
      <c r="I24" s="33"/>
      <c r="J24" s="70"/>
      <c r="K24" s="18"/>
      <c r="L24" s="39"/>
      <c r="M24" s="18"/>
      <c r="N24" s="18"/>
      <c r="O24" s="43">
        <v>500</v>
      </c>
      <c r="P24" s="120" t="s">
        <v>162</v>
      </c>
      <c r="Q24" s="121"/>
      <c r="R24" s="5"/>
    </row>
    <row r="25" spans="1:18" ht="12" customHeight="1" x14ac:dyDescent="0.2">
      <c r="A25" s="36"/>
      <c r="B25" s="76"/>
      <c r="C25" s="183" t="s">
        <v>246</v>
      </c>
      <c r="D25" s="25" t="s">
        <v>149</v>
      </c>
      <c r="E25" s="65">
        <v>2</v>
      </c>
      <c r="F25" s="233">
        <v>5</v>
      </c>
      <c r="G25" s="233">
        <v>20</v>
      </c>
      <c r="H25" s="234">
        <v>40</v>
      </c>
      <c r="I25" s="178"/>
      <c r="J25" s="131"/>
      <c r="L25" s="179"/>
      <c r="O25" s="43">
        <v>20</v>
      </c>
      <c r="P25" s="120" t="s">
        <v>163</v>
      </c>
      <c r="Q25" s="121"/>
      <c r="R25" s="5"/>
    </row>
    <row r="26" spans="1:18" ht="12" customHeight="1" x14ac:dyDescent="0.2">
      <c r="A26" s="36"/>
      <c r="B26" s="76"/>
      <c r="C26" s="183" t="s">
        <v>247</v>
      </c>
      <c r="D26" s="25" t="s">
        <v>150</v>
      </c>
      <c r="E26" s="65">
        <v>2</v>
      </c>
      <c r="F26" s="3">
        <v>50</v>
      </c>
      <c r="G26" s="3">
        <v>100</v>
      </c>
      <c r="H26" s="78">
        <v>150</v>
      </c>
      <c r="I26" s="178"/>
      <c r="J26" s="131"/>
      <c r="L26" s="179"/>
      <c r="O26" s="43">
        <v>100</v>
      </c>
      <c r="P26" s="120" t="s">
        <v>164</v>
      </c>
      <c r="Q26" s="121"/>
      <c r="R26" s="5"/>
    </row>
    <row r="27" spans="1:18" ht="12" customHeight="1" x14ac:dyDescent="0.2">
      <c r="A27" s="36"/>
      <c r="B27" s="76"/>
      <c r="C27" s="183" t="s">
        <v>248</v>
      </c>
      <c r="D27" s="25" t="s">
        <v>151</v>
      </c>
      <c r="E27" s="65">
        <v>2</v>
      </c>
      <c r="F27" s="235">
        <v>0.4</v>
      </c>
      <c r="G27" s="235">
        <v>0.6</v>
      </c>
      <c r="H27" s="177">
        <v>0.8</v>
      </c>
      <c r="I27" s="178"/>
      <c r="J27" s="131"/>
      <c r="L27" s="179"/>
      <c r="O27" s="92">
        <v>0.6</v>
      </c>
      <c r="P27" s="120" t="s">
        <v>165</v>
      </c>
      <c r="Q27" s="121"/>
      <c r="R27" s="5"/>
    </row>
    <row r="28" spans="1:18" ht="12" customHeight="1" x14ac:dyDescent="0.2">
      <c r="A28" s="36"/>
      <c r="B28" s="76"/>
      <c r="C28" s="18"/>
      <c r="D28" s="25"/>
      <c r="E28" s="65"/>
      <c r="F28" s="176"/>
      <c r="G28" s="235"/>
      <c r="H28" s="177"/>
      <c r="I28" s="178"/>
      <c r="J28" s="131"/>
      <c r="L28" s="179"/>
      <c r="O28" s="43"/>
      <c r="P28" s="120"/>
      <c r="Q28" s="121"/>
      <c r="R28" s="5"/>
    </row>
    <row r="29" spans="1:18" ht="12" customHeight="1" x14ac:dyDescent="0.2">
      <c r="A29" s="36"/>
      <c r="B29" s="76"/>
      <c r="C29" s="152" t="s">
        <v>153</v>
      </c>
      <c r="D29" s="25"/>
      <c r="E29" s="65"/>
      <c r="F29" s="176"/>
      <c r="G29" s="235"/>
      <c r="H29" s="177"/>
      <c r="I29" s="178"/>
      <c r="J29" s="131"/>
      <c r="L29" s="179"/>
      <c r="O29" s="43"/>
      <c r="P29" s="120"/>
      <c r="Q29" s="121"/>
      <c r="R29" s="5"/>
    </row>
    <row r="30" spans="1:18" ht="12" customHeight="1" x14ac:dyDescent="0.2">
      <c r="A30" s="36"/>
      <c r="B30" s="76"/>
      <c r="C30" s="183" t="s">
        <v>249</v>
      </c>
      <c r="D30" s="25" t="s">
        <v>149</v>
      </c>
      <c r="E30" s="65">
        <v>2</v>
      </c>
      <c r="F30" s="3">
        <v>2000</v>
      </c>
      <c r="G30" s="3">
        <v>30000</v>
      </c>
      <c r="H30" s="78">
        <v>50000</v>
      </c>
      <c r="I30" s="178"/>
      <c r="J30" s="131"/>
      <c r="L30" s="179"/>
      <c r="O30" s="43">
        <v>30000</v>
      </c>
      <c r="P30" s="120" t="s">
        <v>166</v>
      </c>
      <c r="Q30" s="121"/>
      <c r="R30" s="5"/>
    </row>
    <row r="31" spans="1:18" ht="12" customHeight="1" x14ac:dyDescent="0.2">
      <c r="A31" s="36"/>
      <c r="B31" s="76"/>
      <c r="C31" s="183" t="s">
        <v>250</v>
      </c>
      <c r="D31" s="25" t="s">
        <v>149</v>
      </c>
      <c r="E31" s="65">
        <v>2</v>
      </c>
      <c r="F31" s="233">
        <v>10</v>
      </c>
      <c r="G31" s="233">
        <v>20</v>
      </c>
      <c r="H31" s="234">
        <v>30</v>
      </c>
      <c r="I31" s="178"/>
      <c r="J31" s="131"/>
      <c r="L31" s="179"/>
      <c r="O31" s="43">
        <v>20</v>
      </c>
      <c r="P31" s="120" t="s">
        <v>167</v>
      </c>
      <c r="Q31" s="121"/>
      <c r="R31" s="5"/>
    </row>
    <row r="32" spans="1:18" ht="12" customHeight="1" x14ac:dyDescent="0.2">
      <c r="A32" s="36"/>
      <c r="B32" s="76"/>
      <c r="C32" s="183" t="s">
        <v>251</v>
      </c>
      <c r="D32" s="25" t="s">
        <v>149</v>
      </c>
      <c r="E32" s="65">
        <v>2</v>
      </c>
      <c r="F32" s="233">
        <v>10</v>
      </c>
      <c r="G32" s="233">
        <v>20</v>
      </c>
      <c r="H32" s="234">
        <v>40</v>
      </c>
      <c r="I32" s="178"/>
      <c r="J32" s="131"/>
      <c r="L32" s="179"/>
      <c r="O32" s="43">
        <v>20</v>
      </c>
      <c r="P32" s="120" t="s">
        <v>168</v>
      </c>
      <c r="Q32" s="121"/>
      <c r="R32" s="5"/>
    </row>
    <row r="33" spans="1:18" ht="12" customHeight="1" x14ac:dyDescent="0.2">
      <c r="A33" s="36"/>
      <c r="B33" s="76"/>
      <c r="C33" s="183" t="s">
        <v>252</v>
      </c>
      <c r="D33" s="25" t="s">
        <v>150</v>
      </c>
      <c r="E33" s="65">
        <v>2</v>
      </c>
      <c r="F33" s="3">
        <v>50</v>
      </c>
      <c r="G33" s="3">
        <v>100</v>
      </c>
      <c r="H33" s="78">
        <v>150</v>
      </c>
      <c r="I33" s="33"/>
      <c r="J33" s="70"/>
      <c r="K33" s="18"/>
      <c r="L33" s="39"/>
      <c r="M33" s="18"/>
      <c r="N33" s="18"/>
      <c r="O33" s="43">
        <v>100</v>
      </c>
      <c r="P33" s="120" t="s">
        <v>169</v>
      </c>
      <c r="Q33" s="121"/>
      <c r="R33" s="5"/>
    </row>
    <row r="34" spans="1:18" ht="12" customHeight="1" x14ac:dyDescent="0.2">
      <c r="A34" s="36"/>
      <c r="B34" s="76"/>
      <c r="C34" s="183" t="s">
        <v>253</v>
      </c>
      <c r="D34" s="25" t="s">
        <v>151</v>
      </c>
      <c r="E34" s="65">
        <v>2</v>
      </c>
      <c r="F34" s="235">
        <v>0.3</v>
      </c>
      <c r="G34" s="235">
        <v>0.4</v>
      </c>
      <c r="H34" s="177">
        <v>0.7</v>
      </c>
      <c r="I34" s="33"/>
      <c r="J34" s="70"/>
      <c r="K34" s="18"/>
      <c r="L34" s="39"/>
      <c r="M34" s="18"/>
      <c r="N34" s="18"/>
      <c r="O34" s="92">
        <v>0.4</v>
      </c>
      <c r="P34" s="120" t="s">
        <v>170</v>
      </c>
      <c r="Q34" s="121"/>
      <c r="R34" s="5"/>
    </row>
    <row r="35" spans="1:18" ht="12" customHeight="1" x14ac:dyDescent="0.2">
      <c r="A35" s="36"/>
      <c r="B35" s="76"/>
      <c r="C35" s="18"/>
      <c r="D35" s="25"/>
      <c r="E35" s="65"/>
      <c r="F35" s="3"/>
      <c r="G35" s="3"/>
      <c r="H35" s="78"/>
      <c r="I35" s="33"/>
      <c r="J35" s="70"/>
      <c r="K35" s="18"/>
      <c r="L35" s="39"/>
      <c r="M35" s="18"/>
      <c r="N35" s="18"/>
      <c r="O35" s="43"/>
      <c r="P35" s="120"/>
      <c r="Q35" s="121"/>
      <c r="R35" s="5"/>
    </row>
    <row r="36" spans="1:18" ht="12" customHeight="1" x14ac:dyDescent="0.2">
      <c r="A36" s="36"/>
      <c r="B36" s="76"/>
      <c r="C36" s="183" t="s">
        <v>154</v>
      </c>
      <c r="D36" s="232" t="s">
        <v>155</v>
      </c>
      <c r="E36" s="65">
        <v>2</v>
      </c>
      <c r="F36" s="178">
        <v>1</v>
      </c>
      <c r="G36" s="236">
        <v>2</v>
      </c>
      <c r="H36" s="237">
        <v>4</v>
      </c>
      <c r="I36" s="178"/>
      <c r="J36" s="131"/>
      <c r="L36" s="179"/>
      <c r="O36" s="43">
        <v>2</v>
      </c>
      <c r="P36" s="120" t="s">
        <v>171</v>
      </c>
      <c r="Q36" s="121"/>
      <c r="R36" s="5"/>
    </row>
    <row r="37" spans="1:18" ht="12" customHeight="1" x14ac:dyDescent="0.2">
      <c r="A37" s="36"/>
      <c r="B37" s="76"/>
      <c r="C37" s="18"/>
      <c r="D37" s="25"/>
      <c r="E37" s="65"/>
      <c r="F37" s="3"/>
      <c r="G37" s="3"/>
      <c r="H37" s="78"/>
      <c r="I37" s="33"/>
      <c r="J37" s="70"/>
      <c r="K37" s="18"/>
      <c r="L37" s="39"/>
      <c r="M37" s="18"/>
      <c r="N37" s="18"/>
      <c r="O37" s="43"/>
      <c r="P37" s="120"/>
      <c r="Q37" s="121"/>
      <c r="R37" s="5"/>
    </row>
    <row r="38" spans="1:18" ht="12" customHeight="1" x14ac:dyDescent="0.2">
      <c r="A38" s="36"/>
      <c r="B38" s="76" t="s">
        <v>36</v>
      </c>
      <c r="C38" s="2"/>
      <c r="D38" s="3"/>
      <c r="E38" s="65"/>
      <c r="F38" s="3"/>
      <c r="G38" s="3"/>
      <c r="H38" s="78"/>
      <c r="I38" s="33"/>
      <c r="J38" s="70"/>
      <c r="K38" s="18"/>
      <c r="L38" s="39"/>
      <c r="M38" s="18"/>
      <c r="N38" s="18"/>
      <c r="O38" s="74"/>
      <c r="P38" s="120"/>
      <c r="Q38" s="121"/>
      <c r="R38" s="5"/>
    </row>
    <row r="39" spans="1:18" ht="12" customHeight="1" x14ac:dyDescent="0.2">
      <c r="A39" s="36"/>
      <c r="B39" s="76"/>
      <c r="C39" s="2" t="s">
        <v>81</v>
      </c>
      <c r="D39" s="77" t="s">
        <v>18</v>
      </c>
      <c r="E39" s="65">
        <v>2</v>
      </c>
      <c r="F39" s="3"/>
      <c r="G39" s="3">
        <v>0.5</v>
      </c>
      <c r="H39" s="78"/>
      <c r="I39" s="33"/>
      <c r="J39" s="70"/>
      <c r="K39" s="18"/>
      <c r="L39" s="39"/>
      <c r="M39" s="18"/>
      <c r="N39" s="18"/>
      <c r="O39" s="74">
        <v>0.5</v>
      </c>
      <c r="P39" s="120" t="s">
        <v>1</v>
      </c>
      <c r="Q39" s="121"/>
      <c r="R39" s="5"/>
    </row>
    <row r="40" spans="1:18" ht="12" customHeight="1" x14ac:dyDescent="0.2">
      <c r="A40" s="36"/>
      <c r="B40" s="76"/>
      <c r="C40" s="2" t="s">
        <v>82</v>
      </c>
      <c r="D40" s="3" t="s">
        <v>18</v>
      </c>
      <c r="E40" s="65">
        <v>2</v>
      </c>
      <c r="F40" s="169"/>
      <c r="G40" s="3">
        <v>5</v>
      </c>
      <c r="H40" s="78"/>
      <c r="I40" s="165"/>
      <c r="J40" s="70"/>
      <c r="K40" s="18"/>
      <c r="L40" s="39"/>
      <c r="M40" s="18"/>
      <c r="N40" s="18"/>
      <c r="O40" s="43">
        <v>5</v>
      </c>
      <c r="P40" s="120" t="s">
        <v>21</v>
      </c>
      <c r="Q40" s="121"/>
      <c r="R40" s="5"/>
    </row>
    <row r="41" spans="1:18" ht="12" customHeight="1" x14ac:dyDescent="0.2">
      <c r="A41" s="36"/>
      <c r="B41" s="76"/>
      <c r="C41" s="18" t="s">
        <v>83</v>
      </c>
      <c r="D41" s="3" t="s">
        <v>18</v>
      </c>
      <c r="E41" s="65">
        <v>2</v>
      </c>
      <c r="F41" s="3">
        <v>1</v>
      </c>
      <c r="G41" s="3">
        <v>1.2</v>
      </c>
      <c r="H41" s="78">
        <v>1.5</v>
      </c>
      <c r="I41" s="33"/>
      <c r="J41" s="70"/>
      <c r="K41" s="18"/>
      <c r="L41" s="39"/>
      <c r="M41" s="18"/>
      <c r="N41" s="18"/>
      <c r="O41" s="74">
        <v>1.2</v>
      </c>
      <c r="P41" s="120" t="s">
        <v>22</v>
      </c>
      <c r="Q41" s="121"/>
      <c r="R41" s="5"/>
    </row>
    <row r="42" spans="1:18" ht="12" customHeight="1" x14ac:dyDescent="0.2">
      <c r="A42" s="36"/>
      <c r="B42" s="76"/>
      <c r="C42" s="18" t="s">
        <v>25</v>
      </c>
      <c r="D42" s="3" t="s">
        <v>19</v>
      </c>
      <c r="E42" s="65">
        <v>2</v>
      </c>
      <c r="F42" s="79">
        <v>0.5</v>
      </c>
      <c r="G42" s="79">
        <v>0.75</v>
      </c>
      <c r="H42" s="80">
        <v>0.9</v>
      </c>
      <c r="I42" s="33"/>
      <c r="J42" s="70" t="s">
        <v>99</v>
      </c>
      <c r="K42" s="18"/>
      <c r="L42" s="39"/>
      <c r="M42" s="18"/>
      <c r="N42" s="18"/>
      <c r="O42" s="92">
        <v>0.75</v>
      </c>
      <c r="P42" s="120" t="s">
        <v>25</v>
      </c>
      <c r="Q42" s="121"/>
      <c r="R42" s="5"/>
    </row>
    <row r="43" spans="1:18" ht="12" customHeight="1" x14ac:dyDescent="0.2">
      <c r="A43" s="36"/>
      <c r="B43" s="76"/>
      <c r="C43" s="18" t="s">
        <v>47</v>
      </c>
      <c r="D43" s="3" t="s">
        <v>19</v>
      </c>
      <c r="E43" s="65">
        <v>2</v>
      </c>
      <c r="F43" s="79">
        <v>0.5</v>
      </c>
      <c r="G43" s="79">
        <v>0.6</v>
      </c>
      <c r="H43" s="80">
        <v>0.75</v>
      </c>
      <c r="I43" s="33"/>
      <c r="J43" s="70"/>
      <c r="K43" s="18"/>
      <c r="L43" s="39"/>
      <c r="M43" s="18"/>
      <c r="N43" s="18"/>
      <c r="O43" s="92">
        <v>0.6</v>
      </c>
      <c r="P43" s="120" t="s">
        <v>48</v>
      </c>
      <c r="Q43" s="121"/>
      <c r="R43" s="5"/>
    </row>
    <row r="44" spans="1:18" ht="12" customHeight="1" x14ac:dyDescent="0.2">
      <c r="A44" s="36"/>
      <c r="B44" s="76"/>
      <c r="C44" s="2"/>
      <c r="D44" s="3"/>
      <c r="E44" s="65"/>
      <c r="F44" s="3"/>
      <c r="G44" s="3"/>
      <c r="H44" s="78"/>
      <c r="I44" s="33"/>
      <c r="J44" s="70"/>
      <c r="K44" s="18"/>
      <c r="L44" s="39"/>
      <c r="M44" s="18"/>
      <c r="N44" s="18"/>
      <c r="O44" s="43"/>
      <c r="P44" s="120"/>
      <c r="Q44" s="121"/>
      <c r="R44" s="5"/>
    </row>
    <row r="45" spans="1:18" ht="12" customHeight="1" x14ac:dyDescent="0.2">
      <c r="A45" s="36"/>
      <c r="B45" s="76" t="s">
        <v>26</v>
      </c>
      <c r="C45" s="2"/>
      <c r="D45" s="3"/>
      <c r="E45" s="65"/>
      <c r="F45" s="3"/>
      <c r="G45" s="3"/>
      <c r="H45" s="78"/>
      <c r="I45" s="33"/>
      <c r="J45" s="70"/>
      <c r="K45" s="18"/>
      <c r="L45" s="39"/>
      <c r="M45" s="18"/>
      <c r="N45" s="18"/>
      <c r="O45" s="43"/>
      <c r="P45" s="120"/>
      <c r="Q45" s="121"/>
      <c r="R45" s="5"/>
    </row>
    <row r="46" spans="1:18" ht="12" customHeight="1" x14ac:dyDescent="0.2">
      <c r="A46" s="36"/>
      <c r="B46" s="76"/>
      <c r="C46" s="18" t="s">
        <v>69</v>
      </c>
      <c r="D46" s="3" t="s">
        <v>19</v>
      </c>
      <c r="E46" s="65">
        <v>2</v>
      </c>
      <c r="F46" s="79">
        <v>0.06</v>
      </c>
      <c r="G46" s="180">
        <v>0.1</v>
      </c>
      <c r="H46" s="80">
        <v>0.15</v>
      </c>
      <c r="I46" s="33"/>
      <c r="J46" s="70" t="s">
        <v>100</v>
      </c>
      <c r="K46" s="18"/>
      <c r="L46" s="39"/>
      <c r="M46" s="18"/>
      <c r="N46" s="18"/>
      <c r="O46" s="92">
        <v>0.1</v>
      </c>
      <c r="P46" s="120" t="s">
        <v>70</v>
      </c>
      <c r="Q46" s="121"/>
      <c r="R46" s="5"/>
    </row>
    <row r="47" spans="1:18" ht="12" customHeight="1" x14ac:dyDescent="0.2">
      <c r="A47" s="36"/>
      <c r="B47" s="76"/>
      <c r="C47" s="18" t="s">
        <v>71</v>
      </c>
      <c r="D47" s="3" t="s">
        <v>19</v>
      </c>
      <c r="E47" s="65">
        <v>2</v>
      </c>
      <c r="F47" s="79">
        <v>0.2</v>
      </c>
      <c r="G47" s="79">
        <v>0.3</v>
      </c>
      <c r="H47" s="80">
        <v>0.5</v>
      </c>
      <c r="I47" s="33"/>
      <c r="J47" s="70" t="s">
        <v>101</v>
      </c>
      <c r="K47" s="18"/>
      <c r="L47" s="39"/>
      <c r="M47" s="18"/>
      <c r="N47" s="18"/>
      <c r="O47" s="92">
        <v>0.3</v>
      </c>
      <c r="P47" s="120" t="s">
        <v>72</v>
      </c>
      <c r="Q47" s="121"/>
      <c r="R47" s="5"/>
    </row>
    <row r="48" spans="1:18" ht="12" customHeight="1" x14ac:dyDescent="0.2">
      <c r="A48" s="36"/>
      <c r="B48" s="76"/>
      <c r="C48" s="2"/>
      <c r="D48" s="3"/>
      <c r="E48" s="65"/>
      <c r="F48" s="79"/>
      <c r="G48" s="79"/>
      <c r="H48" s="80"/>
      <c r="I48" s="33"/>
      <c r="J48" s="70"/>
      <c r="K48" s="18"/>
      <c r="L48" s="39"/>
      <c r="M48" s="18"/>
      <c r="N48" s="18"/>
      <c r="O48" s="92"/>
      <c r="P48" s="120"/>
      <c r="Q48" s="121"/>
      <c r="R48" s="5"/>
    </row>
    <row r="49" spans="1:18" ht="12" customHeight="1" x14ac:dyDescent="0.2">
      <c r="A49" s="36"/>
      <c r="B49" s="76" t="s">
        <v>73</v>
      </c>
      <c r="C49" s="2"/>
      <c r="D49" s="3"/>
      <c r="E49" s="65"/>
      <c r="F49" s="79"/>
      <c r="G49" s="79"/>
      <c r="H49" s="80"/>
      <c r="I49" s="33"/>
      <c r="J49" s="70"/>
      <c r="K49" s="18"/>
      <c r="L49" s="39"/>
      <c r="M49" s="18"/>
      <c r="N49" s="18"/>
      <c r="O49" s="92"/>
      <c r="P49" s="120"/>
      <c r="Q49" s="121"/>
      <c r="R49" s="5"/>
    </row>
    <row r="50" spans="1:18" ht="12" customHeight="1" x14ac:dyDescent="0.2">
      <c r="A50" s="36"/>
      <c r="B50" s="76"/>
      <c r="C50" s="18" t="s">
        <v>74</v>
      </c>
      <c r="D50" s="3" t="s">
        <v>19</v>
      </c>
      <c r="E50" s="65">
        <v>2</v>
      </c>
      <c r="F50" s="79">
        <v>0.1</v>
      </c>
      <c r="G50" s="79">
        <v>0.2</v>
      </c>
      <c r="H50" s="80">
        <v>0.3</v>
      </c>
      <c r="I50" s="33"/>
      <c r="J50" s="290" t="s">
        <v>102</v>
      </c>
      <c r="K50" s="18"/>
      <c r="L50" s="39"/>
      <c r="M50" s="18"/>
      <c r="N50" s="18"/>
      <c r="O50" s="92">
        <v>0.2</v>
      </c>
      <c r="P50" s="120" t="s">
        <v>75</v>
      </c>
      <c r="Q50" s="121"/>
      <c r="R50" s="5"/>
    </row>
    <row r="51" spans="1:18" ht="12" customHeight="1" x14ac:dyDescent="0.2">
      <c r="A51" s="36"/>
      <c r="B51" s="76"/>
      <c r="C51" s="18" t="s">
        <v>76</v>
      </c>
      <c r="D51" s="3" t="s">
        <v>19</v>
      </c>
      <c r="E51" s="65">
        <v>2</v>
      </c>
      <c r="F51" s="79">
        <v>0.08</v>
      </c>
      <c r="G51" s="79">
        <v>0.1</v>
      </c>
      <c r="H51" s="80">
        <v>0.2</v>
      </c>
      <c r="I51" s="33"/>
      <c r="J51" s="70" t="s">
        <v>103</v>
      </c>
      <c r="K51" s="18"/>
      <c r="L51" s="39"/>
      <c r="M51" s="18"/>
      <c r="N51" s="18"/>
      <c r="O51" s="92">
        <v>0.1</v>
      </c>
      <c r="P51" s="120" t="s">
        <v>77</v>
      </c>
      <c r="Q51" s="121"/>
      <c r="R51" s="5"/>
    </row>
    <row r="52" spans="1:18" x14ac:dyDescent="0.2">
      <c r="A52" s="36"/>
      <c r="B52" s="76"/>
      <c r="C52" s="18" t="s">
        <v>78</v>
      </c>
      <c r="D52" s="3" t="s">
        <v>19</v>
      </c>
      <c r="E52" s="65">
        <v>2</v>
      </c>
      <c r="F52" s="79">
        <v>0.01</v>
      </c>
      <c r="G52" s="79">
        <v>0.02</v>
      </c>
      <c r="H52" s="80">
        <v>0.03</v>
      </c>
      <c r="I52" s="33"/>
      <c r="J52" s="70" t="s">
        <v>104</v>
      </c>
      <c r="K52" s="151"/>
      <c r="L52" s="39"/>
      <c r="M52" s="18"/>
      <c r="N52" s="18"/>
      <c r="O52" s="92">
        <v>0.02</v>
      </c>
      <c r="P52" s="120" t="s">
        <v>79</v>
      </c>
      <c r="Q52" s="121"/>
      <c r="R52" t="s">
        <v>107</v>
      </c>
    </row>
    <row r="53" spans="1:18" x14ac:dyDescent="0.2">
      <c r="A53" s="36"/>
      <c r="B53" s="76"/>
      <c r="C53" s="18" t="s">
        <v>96</v>
      </c>
      <c r="D53" s="3" t="s">
        <v>19</v>
      </c>
      <c r="E53" s="65">
        <v>2</v>
      </c>
      <c r="F53" s="79">
        <v>0.15</v>
      </c>
      <c r="G53" s="79">
        <v>0.16</v>
      </c>
      <c r="H53" s="80">
        <v>0.2</v>
      </c>
      <c r="I53" s="33"/>
      <c r="J53" s="70" t="s">
        <v>105</v>
      </c>
      <c r="K53" s="18"/>
      <c r="L53" s="39"/>
      <c r="M53" s="18"/>
      <c r="N53" s="18"/>
      <c r="O53" s="92">
        <v>0.16</v>
      </c>
      <c r="P53" s="120" t="s">
        <v>93</v>
      </c>
      <c r="Q53" s="121"/>
      <c r="R53" s="5"/>
    </row>
    <row r="54" spans="1:18" x14ac:dyDescent="0.2">
      <c r="A54" s="36"/>
      <c r="B54" s="76"/>
      <c r="C54" s="18" t="s">
        <v>94</v>
      </c>
      <c r="D54" s="3" t="s">
        <v>19</v>
      </c>
      <c r="E54" s="65">
        <v>2</v>
      </c>
      <c r="F54" s="79">
        <v>0.01</v>
      </c>
      <c r="G54" s="79">
        <v>0.02</v>
      </c>
      <c r="H54" s="80">
        <v>2.5000000000000001E-2</v>
      </c>
      <c r="I54" s="33"/>
      <c r="J54" s="70" t="s">
        <v>105</v>
      </c>
      <c r="K54" s="18"/>
      <c r="L54" s="39"/>
      <c r="M54" s="18"/>
      <c r="N54" s="18"/>
      <c r="O54" s="92">
        <v>0.02</v>
      </c>
      <c r="P54" s="120" t="s">
        <v>95</v>
      </c>
      <c r="Q54" s="121"/>
      <c r="R54" s="5"/>
    </row>
    <row r="55" spans="1:18" x14ac:dyDescent="0.2">
      <c r="A55" s="36"/>
      <c r="B55" s="76"/>
      <c r="C55" s="2"/>
      <c r="D55" s="3"/>
      <c r="E55" s="65"/>
      <c r="F55" s="3"/>
      <c r="G55" s="3"/>
      <c r="H55" s="78"/>
      <c r="I55" s="33"/>
      <c r="J55" s="70"/>
      <c r="K55" s="18"/>
      <c r="L55" s="39"/>
      <c r="M55" s="18"/>
      <c r="N55" s="18"/>
      <c r="O55" s="43"/>
      <c r="P55" s="120"/>
      <c r="Q55" s="121"/>
      <c r="R55" s="5"/>
    </row>
    <row r="56" spans="1:18" x14ac:dyDescent="0.2">
      <c r="A56" s="36"/>
      <c r="B56" s="76" t="s">
        <v>27</v>
      </c>
      <c r="C56" s="2"/>
      <c r="D56" s="3"/>
      <c r="E56" s="65"/>
      <c r="F56" s="3"/>
      <c r="G56" s="3"/>
      <c r="H56" s="78"/>
      <c r="I56" s="33"/>
      <c r="J56" s="70"/>
      <c r="K56" s="18"/>
      <c r="L56" s="39"/>
      <c r="M56" s="18"/>
      <c r="N56" s="18"/>
      <c r="O56" s="43"/>
      <c r="P56" s="120"/>
      <c r="Q56" s="121"/>
      <c r="R56" s="5"/>
    </row>
    <row r="57" spans="1:18" x14ac:dyDescent="0.2">
      <c r="A57" s="36"/>
      <c r="B57" s="76"/>
      <c r="C57" s="18" t="s">
        <v>59</v>
      </c>
      <c r="D57" s="3" t="s">
        <v>2</v>
      </c>
      <c r="E57" s="65">
        <v>2</v>
      </c>
      <c r="F57" s="3">
        <v>3</v>
      </c>
      <c r="G57" s="3">
        <v>5</v>
      </c>
      <c r="H57" s="78">
        <v>7</v>
      </c>
      <c r="I57" s="33"/>
      <c r="J57" s="38" t="s">
        <v>106</v>
      </c>
      <c r="K57" s="18"/>
      <c r="L57" s="39"/>
      <c r="M57" s="18"/>
      <c r="N57" s="18"/>
      <c r="O57" s="43">
        <v>5</v>
      </c>
      <c r="P57" s="120" t="s">
        <v>60</v>
      </c>
      <c r="Q57" s="121"/>
      <c r="R57" s="5"/>
    </row>
    <row r="58" spans="1:18" x14ac:dyDescent="0.2">
      <c r="A58" s="36"/>
      <c r="B58" s="76"/>
      <c r="C58" s="18" t="s">
        <v>53</v>
      </c>
      <c r="D58" s="3" t="s">
        <v>19</v>
      </c>
      <c r="E58" s="65">
        <v>2</v>
      </c>
      <c r="F58" s="79">
        <v>0.3</v>
      </c>
      <c r="G58" s="79">
        <v>0.5</v>
      </c>
      <c r="H58" s="80">
        <v>0.8</v>
      </c>
      <c r="I58" s="33"/>
      <c r="J58" s="131"/>
      <c r="K58" s="18"/>
      <c r="L58" s="39"/>
      <c r="M58" s="18"/>
      <c r="N58" s="18"/>
      <c r="O58" s="124">
        <v>0.5</v>
      </c>
      <c r="P58" s="120" t="s">
        <v>50</v>
      </c>
      <c r="Q58" s="121"/>
      <c r="R58" s="5"/>
    </row>
    <row r="59" spans="1:18" x14ac:dyDescent="0.2">
      <c r="A59" s="36"/>
      <c r="B59" s="76"/>
      <c r="C59" s="18"/>
      <c r="D59" s="3"/>
      <c r="E59" s="65"/>
      <c r="F59" s="79"/>
      <c r="G59" s="79"/>
      <c r="H59" s="80"/>
      <c r="I59" s="33"/>
      <c r="J59" s="131"/>
      <c r="K59" s="18"/>
      <c r="L59" s="39"/>
      <c r="M59" s="18"/>
      <c r="N59" s="18"/>
      <c r="O59" s="124"/>
      <c r="P59" s="120"/>
      <c r="Q59" s="121"/>
      <c r="R59" s="5"/>
    </row>
    <row r="60" spans="1:18" x14ac:dyDescent="0.2">
      <c r="A60" s="36"/>
      <c r="B60" s="76" t="s">
        <v>270</v>
      </c>
      <c r="C60" s="18"/>
      <c r="D60" s="3"/>
      <c r="E60" s="65"/>
      <c r="F60" s="79"/>
      <c r="G60" s="79"/>
      <c r="H60" s="80"/>
      <c r="I60" s="33"/>
      <c r="J60" s="131"/>
      <c r="K60" s="18"/>
      <c r="L60" s="39"/>
      <c r="M60" s="18"/>
      <c r="N60" s="18"/>
      <c r="O60" s="124"/>
      <c r="P60" s="120"/>
      <c r="Q60" s="121"/>
      <c r="R60" s="5"/>
    </row>
    <row r="61" spans="1:18" x14ac:dyDescent="0.2">
      <c r="A61" s="36"/>
      <c r="B61" s="76"/>
      <c r="C61" s="183" t="s">
        <v>271</v>
      </c>
      <c r="D61" s="20" t="s">
        <v>272</v>
      </c>
      <c r="E61" s="65">
        <v>2</v>
      </c>
      <c r="F61" s="79"/>
      <c r="G61" s="233">
        <v>2024</v>
      </c>
      <c r="H61" s="80"/>
      <c r="I61" s="33"/>
      <c r="J61" s="131"/>
      <c r="K61" s="18"/>
      <c r="L61" s="39"/>
      <c r="M61" s="18"/>
      <c r="N61" s="18"/>
      <c r="O61" s="338">
        <v>2024</v>
      </c>
      <c r="P61" s="120" t="s">
        <v>275</v>
      </c>
      <c r="Q61" s="121"/>
      <c r="R61" s="5"/>
    </row>
    <row r="62" spans="1:18" x14ac:dyDescent="0.2">
      <c r="A62" s="36"/>
      <c r="B62" s="76"/>
      <c r="C62" s="183"/>
      <c r="D62" s="3"/>
      <c r="E62" s="65"/>
      <c r="F62" s="79"/>
      <c r="G62" s="79"/>
      <c r="H62" s="80"/>
      <c r="I62" s="33"/>
      <c r="J62" s="131"/>
      <c r="K62" s="18"/>
      <c r="L62" s="39"/>
      <c r="M62" s="18"/>
      <c r="N62" s="18"/>
      <c r="O62" s="124"/>
      <c r="P62" s="120"/>
      <c r="Q62" s="121"/>
      <c r="R62" s="5"/>
    </row>
    <row r="63" spans="1:18" x14ac:dyDescent="0.2">
      <c r="A63" s="36"/>
      <c r="B63" s="76" t="s">
        <v>273</v>
      </c>
      <c r="C63" s="18"/>
      <c r="D63" s="3"/>
      <c r="E63" s="65"/>
      <c r="F63" s="79"/>
      <c r="G63" s="79"/>
      <c r="H63" s="80"/>
      <c r="I63" s="33"/>
      <c r="J63" s="131"/>
      <c r="K63" s="18"/>
      <c r="L63" s="39"/>
      <c r="M63" s="18"/>
      <c r="N63" s="18"/>
      <c r="O63" s="124"/>
      <c r="P63" s="120"/>
      <c r="Q63" s="121"/>
      <c r="R63" s="5"/>
    </row>
    <row r="64" spans="1:18" x14ac:dyDescent="0.2">
      <c r="A64" s="36"/>
      <c r="B64" s="76"/>
      <c r="C64" s="183" t="s">
        <v>277</v>
      </c>
      <c r="D64" s="20" t="s">
        <v>274</v>
      </c>
      <c r="E64" s="65">
        <v>2</v>
      </c>
      <c r="F64" s="79"/>
      <c r="G64" s="233">
        <v>1</v>
      </c>
      <c r="H64" s="80"/>
      <c r="I64" s="33"/>
      <c r="J64" s="131"/>
      <c r="K64" s="18"/>
      <c r="L64" s="39"/>
      <c r="M64" s="18"/>
      <c r="N64" s="18"/>
      <c r="O64" s="338">
        <v>1</v>
      </c>
      <c r="P64" s="120" t="s">
        <v>279</v>
      </c>
      <c r="Q64" s="121"/>
      <c r="R64" s="5"/>
    </row>
    <row r="65" spans="1:19" x14ac:dyDescent="0.2">
      <c r="A65" s="36"/>
      <c r="B65" s="76"/>
      <c r="C65" s="183" t="s">
        <v>278</v>
      </c>
      <c r="D65" s="20" t="s">
        <v>274</v>
      </c>
      <c r="E65" s="65">
        <v>2</v>
      </c>
      <c r="F65" s="79"/>
      <c r="G65" s="233">
        <v>1</v>
      </c>
      <c r="H65" s="80"/>
      <c r="I65" s="33"/>
      <c r="J65" s="131"/>
      <c r="K65" s="18"/>
      <c r="L65" s="39"/>
      <c r="M65" s="18"/>
      <c r="N65" s="18"/>
      <c r="O65" s="338">
        <v>1</v>
      </c>
      <c r="P65" s="120" t="s">
        <v>280</v>
      </c>
      <c r="Q65" s="121"/>
      <c r="R65" s="5"/>
    </row>
    <row r="66" spans="1:19" x14ac:dyDescent="0.2">
      <c r="A66" s="36"/>
      <c r="B66" s="76"/>
      <c r="C66" s="183" t="s">
        <v>153</v>
      </c>
      <c r="D66" s="20" t="s">
        <v>274</v>
      </c>
      <c r="E66" s="65">
        <v>2</v>
      </c>
      <c r="F66" s="79"/>
      <c r="G66" s="233">
        <v>1</v>
      </c>
      <c r="H66" s="80"/>
      <c r="I66" s="33"/>
      <c r="J66" s="131"/>
      <c r="K66" s="18"/>
      <c r="L66" s="39"/>
      <c r="M66" s="18"/>
      <c r="N66" s="18"/>
      <c r="O66" s="338">
        <v>1</v>
      </c>
      <c r="P66" s="120" t="s">
        <v>281</v>
      </c>
      <c r="Q66" s="121"/>
      <c r="R66" s="5"/>
    </row>
    <row r="67" spans="1:19" x14ac:dyDescent="0.2">
      <c r="A67" s="36"/>
      <c r="B67" s="61"/>
      <c r="C67" s="337" t="s">
        <v>264</v>
      </c>
      <c r="D67" s="284" t="s">
        <v>274</v>
      </c>
      <c r="E67" s="66">
        <v>2</v>
      </c>
      <c r="F67" s="67"/>
      <c r="G67" s="67">
        <v>0</v>
      </c>
      <c r="H67" s="68"/>
      <c r="I67" s="69"/>
      <c r="J67" s="52"/>
      <c r="K67" s="62"/>
      <c r="L67" s="53"/>
      <c r="M67" s="18"/>
      <c r="N67" s="18"/>
      <c r="O67" s="339">
        <v>0</v>
      </c>
      <c r="P67" s="122" t="s">
        <v>276</v>
      </c>
      <c r="Q67" s="123"/>
      <c r="R67" s="5"/>
    </row>
    <row r="68" spans="1:19" x14ac:dyDescent="0.2">
      <c r="A68" s="36"/>
      <c r="B68" s="40"/>
      <c r="C68" s="2"/>
      <c r="D68" s="3"/>
      <c r="E68" s="42"/>
      <c r="F68" s="15"/>
      <c r="G68" s="15"/>
      <c r="H68" s="25"/>
      <c r="I68" s="30"/>
      <c r="J68" s="30"/>
      <c r="K68" s="19"/>
      <c r="O68" s="20"/>
      <c r="P68" s="5"/>
      <c r="Q68" s="5"/>
      <c r="R68" s="5"/>
    </row>
    <row r="69" spans="1:19" x14ac:dyDescent="0.2">
      <c r="A69" s="36"/>
      <c r="B69" s="40" t="s">
        <v>66</v>
      </c>
      <c r="C69" s="2"/>
      <c r="D69" s="3"/>
      <c r="E69" s="42"/>
      <c r="F69" s="15"/>
      <c r="G69" s="15"/>
      <c r="H69" s="25"/>
      <c r="I69" s="30"/>
      <c r="J69" s="30"/>
      <c r="K69" s="19"/>
      <c r="O69" s="20"/>
      <c r="P69" s="5"/>
      <c r="Q69" s="5"/>
      <c r="R69" s="5"/>
    </row>
    <row r="70" spans="1:19" ht="16" x14ac:dyDescent="0.2">
      <c r="A70" s="16" t="s">
        <v>17</v>
      </c>
      <c r="C70" s="2"/>
      <c r="D70" s="3" t="s">
        <v>62</v>
      </c>
      <c r="E70" s="137" t="s">
        <v>63</v>
      </c>
      <c r="F70" s="138" t="s">
        <v>64</v>
      </c>
      <c r="G70" s="138" t="s">
        <v>65</v>
      </c>
      <c r="H70" s="25" t="s">
        <v>67</v>
      </c>
      <c r="I70" s="30" t="s">
        <v>11</v>
      </c>
      <c r="J70" s="30"/>
      <c r="K70" s="19"/>
      <c r="O70" s="20"/>
      <c r="P70" s="5"/>
      <c r="Q70" s="5"/>
    </row>
    <row r="71" spans="1:19" x14ac:dyDescent="0.2">
      <c r="A71" s="36"/>
      <c r="B71" s="40"/>
      <c r="C71" s="139" t="s">
        <v>4</v>
      </c>
      <c r="D71" s="140">
        <v>1</v>
      </c>
      <c r="E71" s="140">
        <v>1</v>
      </c>
      <c r="F71" s="140">
        <v>1</v>
      </c>
      <c r="G71" s="140">
        <v>1</v>
      </c>
      <c r="H71" s="141">
        <f>D71*E71*F71*G71</f>
        <v>1</v>
      </c>
      <c r="I71" s="142" t="s">
        <v>40</v>
      </c>
      <c r="J71" s="32"/>
      <c r="K71" s="19"/>
      <c r="O71" s="20"/>
      <c r="P71" s="5"/>
      <c r="Q71" s="5"/>
    </row>
    <row r="72" spans="1:19" x14ac:dyDescent="0.2">
      <c r="B72" s="40"/>
      <c r="C72" s="95" t="s">
        <v>0</v>
      </c>
      <c r="D72" s="79">
        <v>0.8</v>
      </c>
      <c r="E72" s="79">
        <v>0.6</v>
      </c>
      <c r="F72" s="143">
        <v>0.8</v>
      </c>
      <c r="G72" s="143">
        <v>0.8</v>
      </c>
      <c r="H72" s="144">
        <f t="shared" ref="H72:H73" si="0">D72*E72*F72*G72</f>
        <v>0.30720000000000003</v>
      </c>
      <c r="I72" s="15" t="s">
        <v>24</v>
      </c>
      <c r="J72" s="85"/>
      <c r="K72" s="19"/>
      <c r="L72" s="115"/>
      <c r="O72" s="20"/>
      <c r="P72" s="5"/>
      <c r="Q72" s="5"/>
    </row>
    <row r="73" spans="1:19" x14ac:dyDescent="0.2">
      <c r="B73" s="40"/>
      <c r="C73" s="145" t="s">
        <v>68</v>
      </c>
      <c r="D73" s="146">
        <v>0.7</v>
      </c>
      <c r="E73" s="146">
        <v>0.75</v>
      </c>
      <c r="F73" s="147">
        <v>0.7</v>
      </c>
      <c r="G73" s="147">
        <v>0.8</v>
      </c>
      <c r="H73" s="148">
        <f t="shared" si="0"/>
        <v>0.29399999999999998</v>
      </c>
      <c r="I73" s="149" t="s">
        <v>41</v>
      </c>
      <c r="J73" s="68"/>
      <c r="K73" s="19"/>
      <c r="L73" s="115"/>
      <c r="O73" s="20"/>
      <c r="P73" s="5"/>
      <c r="Q73" s="5"/>
    </row>
    <row r="74" spans="1:19" x14ac:dyDescent="0.2">
      <c r="E74"/>
      <c r="F74" s="1"/>
      <c r="J74" s="26"/>
      <c r="M74" s="23"/>
      <c r="N74" s="23"/>
      <c r="O74" s="23"/>
      <c r="P74" s="35"/>
      <c r="Q74" s="35"/>
    </row>
    <row r="75" spans="1:19" x14ac:dyDescent="0.2">
      <c r="E75"/>
      <c r="F75" s="1"/>
      <c r="J75" s="26"/>
      <c r="M75" s="23"/>
      <c r="N75" s="35"/>
      <c r="O75" s="5"/>
      <c r="S75" s="5" t="s">
        <v>113</v>
      </c>
    </row>
    <row r="76" spans="1:19" x14ac:dyDescent="0.2">
      <c r="B76" s="4" t="str">
        <f>CONCATENATE("Total Addressable Market ",projectedYear)</f>
        <v>Total Addressable Market 2024</v>
      </c>
      <c r="C76" s="4"/>
      <c r="D76" s="14"/>
      <c r="E76" s="91"/>
      <c r="F76" s="87"/>
      <c r="G76" s="87"/>
      <c r="J76" s="89"/>
      <c r="K76" s="90"/>
      <c r="L76" s="88"/>
      <c r="M76" s="88"/>
      <c r="N76" s="5"/>
      <c r="O76" s="5"/>
      <c r="S76" s="181">
        <f>M80+M82+M84</f>
        <v>9.0316800000000003E-2</v>
      </c>
    </row>
    <row r="77" spans="1:19" x14ac:dyDescent="0.2">
      <c r="C77" s="4"/>
      <c r="D77" s="14"/>
      <c r="E77" s="91"/>
      <c r="F77" s="87"/>
      <c r="G77" s="89"/>
      <c r="J77" s="89"/>
      <c r="K77" s="90"/>
      <c r="L77" s="88"/>
      <c r="M77" s="116"/>
      <c r="O77" s="94" t="s">
        <v>57</v>
      </c>
      <c r="P77" s="96"/>
      <c r="Q77" s="94" t="s">
        <v>52</v>
      </c>
    </row>
    <row r="78" spans="1:19" x14ac:dyDescent="0.2">
      <c r="C78" s="11" t="s">
        <v>172</v>
      </c>
      <c r="D78"/>
      <c r="E78"/>
      <c r="F78" s="87"/>
      <c r="G78" s="89"/>
      <c r="I78" s="132" t="s">
        <v>109</v>
      </c>
      <c r="J78" s="89"/>
      <c r="K78" s="90"/>
      <c r="L78" s="88"/>
      <c r="M78" s="94" t="s">
        <v>56</v>
      </c>
      <c r="N78" s="117" t="s">
        <v>55</v>
      </c>
      <c r="O78" s="94" t="s">
        <v>9</v>
      </c>
      <c r="P78" s="94" t="s">
        <v>80</v>
      </c>
      <c r="Q78" s="94" t="s">
        <v>80</v>
      </c>
      <c r="S78" s="5" t="s">
        <v>114</v>
      </c>
    </row>
    <row r="79" spans="1:19" x14ac:dyDescent="0.2">
      <c r="C79" s="2" t="s">
        <v>173</v>
      </c>
      <c r="D79" s="2" t="s">
        <v>149</v>
      </c>
      <c r="E79" s="2">
        <f>big_number</f>
        <v>800</v>
      </c>
      <c r="F79" s="87"/>
      <c r="G79" s="89"/>
      <c r="I79" s="89"/>
      <c r="J79" s="89"/>
      <c r="K79" s="90"/>
      <c r="L79" s="88"/>
      <c r="N79" s="88"/>
      <c r="O79" s="87"/>
      <c r="P79" s="129"/>
      <c r="S79" s="182">
        <f>(Q80+Q82+Q84)/S76</f>
        <v>68</v>
      </c>
    </row>
    <row r="80" spans="1:19" x14ac:dyDescent="0.2">
      <c r="C80" s="13" t="s">
        <v>174</v>
      </c>
      <c r="D80" s="13" t="s">
        <v>19</v>
      </c>
      <c r="E80" s="13">
        <f>big_fraction</f>
        <v>0.8</v>
      </c>
      <c r="F80" s="87"/>
      <c r="G80" s="89"/>
      <c r="J80" s="89"/>
      <c r="K80" s="90"/>
      <c r="L80" s="108" t="s">
        <v>43</v>
      </c>
      <c r="M80" s="154">
        <f>L81*K83*J85*I87</f>
        <v>9.0316800000000003E-3</v>
      </c>
      <c r="N80" s="88">
        <f>SweetspotTAM*KingMktShare</f>
        <v>1088</v>
      </c>
      <c r="O80" s="88">
        <f>N80*SalesMult</f>
        <v>5440</v>
      </c>
      <c r="P80" s="130">
        <f>O80*E$129/Investment</f>
        <v>219.35483870967741</v>
      </c>
      <c r="Q80" s="125">
        <f>M80*P80</f>
        <v>1.9811427096774192</v>
      </c>
    </row>
    <row r="81" spans="3:23" x14ac:dyDescent="0.2">
      <c r="C81" t="s">
        <v>175</v>
      </c>
      <c r="D81" t="s">
        <v>149</v>
      </c>
      <c r="E81">
        <f>E79*E80</f>
        <v>640</v>
      </c>
      <c r="F81" s="87"/>
      <c r="G81" s="89"/>
      <c r="I81" s="89"/>
      <c r="J81" s="89"/>
      <c r="K81" s="90"/>
      <c r="L81" s="95">
        <f>KingChance</f>
        <v>0.1</v>
      </c>
      <c r="M81" s="115"/>
      <c r="N81" s="88"/>
      <c r="O81" s="88"/>
      <c r="P81" s="130"/>
    </row>
    <row r="82" spans="3:23" x14ac:dyDescent="0.2">
      <c r="C82" t="s">
        <v>176</v>
      </c>
      <c r="D82" t="s">
        <v>177</v>
      </c>
      <c r="E82">
        <f>big_hires</f>
        <v>2000</v>
      </c>
      <c r="F82" s="87"/>
      <c r="G82" s="89"/>
      <c r="I82" s="89"/>
      <c r="J82" s="89"/>
      <c r="K82" s="106" t="s">
        <v>6</v>
      </c>
      <c r="L82" s="109" t="s">
        <v>44</v>
      </c>
      <c r="M82" s="154">
        <f>I87*J85*K83*L83</f>
        <v>2.7095040000000001E-2</v>
      </c>
      <c r="N82" s="88">
        <f>SweetspotTAM*PrinceMktShare</f>
        <v>544</v>
      </c>
      <c r="O82" s="88">
        <f>N82*SalesMult</f>
        <v>2720</v>
      </c>
      <c r="P82" s="130">
        <f>O82*E$129/Investment</f>
        <v>109.6774193548387</v>
      </c>
      <c r="Q82" s="125">
        <f>M82*P82</f>
        <v>2.9717140645161289</v>
      </c>
    </row>
    <row r="83" spans="3:23" ht="15" thickBot="1" x14ac:dyDescent="0.25">
      <c r="C83" t="s">
        <v>178</v>
      </c>
      <c r="D83" t="s">
        <v>97</v>
      </c>
      <c r="E83">
        <f>E81*E82/1000000</f>
        <v>1.28</v>
      </c>
      <c r="F83" s="87"/>
      <c r="G83" s="89"/>
      <c r="I83" s="89"/>
      <c r="J83" s="89"/>
      <c r="K83" s="104">
        <f>MainstreamSuccess</f>
        <v>0.29399999999999998</v>
      </c>
      <c r="L83" s="95">
        <f>PrinceChance</f>
        <v>0.3</v>
      </c>
      <c r="M83" s="115"/>
      <c r="N83" s="88"/>
      <c r="O83" s="88"/>
      <c r="P83" s="130"/>
      <c r="Q83" s="4"/>
    </row>
    <row r="84" spans="3:23" ht="15" thickBot="1" x14ac:dyDescent="0.25">
      <c r="C84" t="s">
        <v>179</v>
      </c>
      <c r="D84" t="s">
        <v>180</v>
      </c>
      <c r="E84">
        <f>big_apps</f>
        <v>20</v>
      </c>
      <c r="F84" s="87"/>
      <c r="G84" s="89"/>
      <c r="I84" s="89"/>
      <c r="J84" s="101" t="s">
        <v>0</v>
      </c>
      <c r="K84" s="105"/>
      <c r="L84" s="109" t="s">
        <v>51</v>
      </c>
      <c r="M84" s="154">
        <f>I87*J85*K83*L85</f>
        <v>5.4190080000000002E-2</v>
      </c>
      <c r="N84" s="88">
        <f>SweetspotTAM*SerfMktShare</f>
        <v>108.8</v>
      </c>
      <c r="O84" s="88">
        <f>N84*SalesMult</f>
        <v>544</v>
      </c>
      <c r="P84" s="130">
        <f>O84*E$129/Investment</f>
        <v>21.93548387096774</v>
      </c>
      <c r="Q84" s="125">
        <f>M84*P84</f>
        <v>1.1886856258064515</v>
      </c>
      <c r="U84" s="320" t="s">
        <v>261</v>
      </c>
      <c r="V84" s="321" t="s">
        <v>262</v>
      </c>
      <c r="W84" s="322" t="s">
        <v>263</v>
      </c>
    </row>
    <row r="85" spans="3:23" x14ac:dyDescent="0.2">
      <c r="C85" t="s">
        <v>181</v>
      </c>
      <c r="D85" t="s">
        <v>97</v>
      </c>
      <c r="E85">
        <f>E83*E84</f>
        <v>25.6</v>
      </c>
      <c r="F85" s="87"/>
      <c r="G85" s="89"/>
      <c r="I85" s="89"/>
      <c r="J85" s="98">
        <f>CrossChasm</f>
        <v>0.30720000000000003</v>
      </c>
      <c r="K85" s="105"/>
      <c r="L85" s="2">
        <f>1-L83-L81</f>
        <v>0.6</v>
      </c>
      <c r="M85" s="115"/>
      <c r="N85" s="88"/>
      <c r="O85" s="88"/>
      <c r="P85" s="129"/>
      <c r="Q85" s="4"/>
      <c r="U85" s="323" t="s">
        <v>277</v>
      </c>
      <c r="V85" s="324">
        <f>E87</f>
        <v>2560</v>
      </c>
      <c r="W85" s="325">
        <f>sweetSpot_Large</f>
        <v>1</v>
      </c>
    </row>
    <row r="86" spans="3:23" x14ac:dyDescent="0.2">
      <c r="C86" s="13" t="s">
        <v>182</v>
      </c>
      <c r="D86" s="13" t="s">
        <v>86</v>
      </c>
      <c r="E86" s="13">
        <f>big_fee</f>
        <v>100</v>
      </c>
      <c r="F86" s="87"/>
      <c r="G86" s="89"/>
      <c r="I86" s="112" t="s">
        <v>4</v>
      </c>
      <c r="J86" s="99"/>
      <c r="K86" s="107" t="s">
        <v>5</v>
      </c>
      <c r="L86" s="110"/>
      <c r="M86" s="115">
        <f>I87*J85*K87</f>
        <v>0.2168832</v>
      </c>
      <c r="N86" s="88">
        <f>SweetspotTAM*NicheSize*NicheMarketShare</f>
        <v>17.408000000000001</v>
      </c>
      <c r="O86" s="88">
        <f>N86*SalesMult*NicheMultDisc</f>
        <v>43.52</v>
      </c>
      <c r="P86" s="130">
        <f>O86*NicheMultDisc*E$130/Investment</f>
        <v>1.4038709677419356</v>
      </c>
      <c r="Q86" s="125">
        <f>M86*P86</f>
        <v>0.30447602787096778</v>
      </c>
      <c r="U86" s="323" t="s">
        <v>282</v>
      </c>
      <c r="V86" s="324">
        <f>E98</f>
        <v>2400</v>
      </c>
      <c r="W86" s="325">
        <f>sweetSpot_Med</f>
        <v>1</v>
      </c>
    </row>
    <row r="87" spans="3:23" x14ac:dyDescent="0.2">
      <c r="C87" t="s">
        <v>85</v>
      </c>
      <c r="D87" t="s">
        <v>183</v>
      </c>
      <c r="E87">
        <f>E86*E85</f>
        <v>2560</v>
      </c>
      <c r="F87" s="87"/>
      <c r="G87" s="89"/>
      <c r="I87" s="114">
        <f>EarlySuccess</f>
        <v>1</v>
      </c>
      <c r="J87" s="100"/>
      <c r="K87" s="103">
        <f>1-MainstreamSuccess</f>
        <v>0.70599999999999996</v>
      </c>
      <c r="L87" s="88"/>
      <c r="M87" s="115"/>
      <c r="N87" s="88"/>
      <c r="O87" s="88"/>
      <c r="P87" s="129"/>
      <c r="Q87" s="4"/>
      <c r="U87" s="323" t="s">
        <v>153</v>
      </c>
      <c r="V87" s="324">
        <f>E109</f>
        <v>480</v>
      </c>
      <c r="W87" s="325">
        <f>sweetSpot_Small</f>
        <v>1</v>
      </c>
    </row>
    <row r="88" spans="3:23" ht="15" thickBot="1" x14ac:dyDescent="0.25">
      <c r="D88"/>
      <c r="E88"/>
      <c r="F88" s="87"/>
      <c r="G88" s="89"/>
      <c r="I88" s="99"/>
      <c r="J88" s="102" t="s">
        <v>54</v>
      </c>
      <c r="K88" s="111"/>
      <c r="L88" s="110"/>
      <c r="M88" s="115">
        <f>I87*J89</f>
        <v>0.69279999999999997</v>
      </c>
      <c r="N88" s="88">
        <v>0</v>
      </c>
      <c r="O88" s="88">
        <v>0</v>
      </c>
      <c r="P88" s="129">
        <v>0</v>
      </c>
      <c r="Q88" s="125">
        <f>M88*P88</f>
        <v>0</v>
      </c>
      <c r="U88" s="326" t="s">
        <v>264</v>
      </c>
      <c r="V88" s="327">
        <f>E113</f>
        <v>5760.8</v>
      </c>
      <c r="W88" s="328">
        <f>sweetSpot_Intl</f>
        <v>0</v>
      </c>
    </row>
    <row r="89" spans="3:23" x14ac:dyDescent="0.2">
      <c r="C89" s="11" t="s">
        <v>152</v>
      </c>
      <c r="D89"/>
      <c r="E89"/>
      <c r="F89" s="87"/>
      <c r="G89" s="89"/>
      <c r="I89" s="113"/>
      <c r="J89" s="97">
        <f>1-CrossChasm</f>
        <v>0.69279999999999997</v>
      </c>
      <c r="K89" s="90"/>
      <c r="L89" s="88"/>
      <c r="M89" s="115"/>
      <c r="N89" s="88"/>
      <c r="O89" s="88"/>
      <c r="P89" s="129"/>
      <c r="Q89" s="4"/>
    </row>
    <row r="90" spans="3:23" x14ac:dyDescent="0.2">
      <c r="C90" t="s">
        <v>173</v>
      </c>
      <c r="D90" t="s">
        <v>149</v>
      </c>
      <c r="E90">
        <f>medium_number</f>
        <v>4000</v>
      </c>
      <c r="F90" s="87"/>
      <c r="G90" s="89"/>
      <c r="I90" s="99"/>
      <c r="J90" s="89"/>
      <c r="K90" s="90"/>
      <c r="L90" s="88"/>
      <c r="M90" s="115"/>
      <c r="N90" s="88"/>
      <c r="O90" s="88"/>
      <c r="P90" s="129"/>
      <c r="Q90" s="4"/>
    </row>
    <row r="91" spans="3:23" x14ac:dyDescent="0.2">
      <c r="C91" t="s">
        <v>174</v>
      </c>
      <c r="D91" t="s">
        <v>19</v>
      </c>
      <c r="E91">
        <f>medium_fraction</f>
        <v>0.6</v>
      </c>
      <c r="F91" s="87"/>
      <c r="G91" s="89"/>
      <c r="I91" s="102" t="s">
        <v>3</v>
      </c>
      <c r="J91" s="101"/>
      <c r="K91" s="111"/>
      <c r="L91" s="110"/>
      <c r="M91" s="115">
        <f>I92</f>
        <v>0</v>
      </c>
      <c r="N91" s="88">
        <v>0</v>
      </c>
      <c r="O91" s="88">
        <v>0</v>
      </c>
      <c r="P91" s="129">
        <v>0</v>
      </c>
      <c r="Q91" s="125">
        <f>M91*P91</f>
        <v>0</v>
      </c>
      <c r="U91" s="5" t="s">
        <v>265</v>
      </c>
      <c r="V91" s="160" t="s">
        <v>18</v>
      </c>
      <c r="W91" s="329">
        <f>SUMPRODUCT(V85:V88,W85:W88)</f>
        <v>5440</v>
      </c>
    </row>
    <row r="92" spans="3:23" x14ac:dyDescent="0.2">
      <c r="C92" t="s">
        <v>175</v>
      </c>
      <c r="D92" t="s">
        <v>149</v>
      </c>
      <c r="E92">
        <f>E90*E91</f>
        <v>2400</v>
      </c>
      <c r="F92" s="87"/>
      <c r="G92" s="89"/>
      <c r="I92" s="97">
        <f>1-EarlySuccess</f>
        <v>0</v>
      </c>
      <c r="J92" s="89"/>
      <c r="K92" s="90"/>
      <c r="L92" s="88"/>
      <c r="M92" s="88"/>
      <c r="N92" s="87"/>
      <c r="O92" s="87"/>
      <c r="P92" s="87"/>
      <c r="Q92" s="4"/>
      <c r="W92" s="329"/>
    </row>
    <row r="93" spans="3:23" x14ac:dyDescent="0.2">
      <c r="C93" t="s">
        <v>176</v>
      </c>
      <c r="D93" t="s">
        <v>177</v>
      </c>
      <c r="E93">
        <f>medium_hires</f>
        <v>500</v>
      </c>
      <c r="F93" s="21"/>
      <c r="G93" s="89"/>
      <c r="I93" s="89"/>
      <c r="J93" s="89"/>
      <c r="K93" s="90"/>
      <c r="L93" s="88"/>
      <c r="M93" s="279">
        <f>SUM(M80:M91)</f>
        <v>1</v>
      </c>
      <c r="N93" s="280"/>
      <c r="O93" s="280"/>
      <c r="P93" s="281"/>
      <c r="Q93" s="282">
        <f t="array" ref="Q93">SUM(M80:M91*P80:P91)</f>
        <v>6.4460184278709676</v>
      </c>
      <c r="U93" s="5" t="s">
        <v>85</v>
      </c>
      <c r="V93" s="160" t="s">
        <v>18</v>
      </c>
      <c r="W93" s="329">
        <f>SUM(V85:V88)</f>
        <v>11200.8</v>
      </c>
    </row>
    <row r="94" spans="3:23" x14ac:dyDescent="0.2">
      <c r="C94" t="s">
        <v>178</v>
      </c>
      <c r="D94" t="s">
        <v>97</v>
      </c>
      <c r="E94">
        <f>E92*E93/1000000</f>
        <v>1.2</v>
      </c>
      <c r="F94" s="136"/>
      <c r="G94" s="89"/>
      <c r="I94" s="126"/>
      <c r="J94" s="126"/>
      <c r="K94" s="127"/>
      <c r="L94" s="128"/>
      <c r="M94" s="184" t="s">
        <v>241</v>
      </c>
      <c r="N94" s="4"/>
      <c r="Q94" s="125">
        <f>IF(SUM(M80:M86)=0,0,Q93/SUM(M80:M86))</f>
        <v>20.983132903225805</v>
      </c>
    </row>
    <row r="95" spans="3:23" x14ac:dyDescent="0.2">
      <c r="C95" t="s">
        <v>179</v>
      </c>
      <c r="D95" t="s">
        <v>180</v>
      </c>
      <c r="E95">
        <f>medium_apps</f>
        <v>20</v>
      </c>
      <c r="F95" s="136"/>
      <c r="H95" s="3"/>
      <c r="I95" s="126"/>
      <c r="J95" s="126"/>
      <c r="K95" s="127"/>
      <c r="L95" s="128"/>
      <c r="M95" s="184" t="s">
        <v>256</v>
      </c>
      <c r="N95" s="87"/>
      <c r="O95" s="87"/>
      <c r="P95" s="87"/>
      <c r="Q95" s="314">
        <f>IF(SUM(M80:M84)=0,0,SUM(Q80:Q84)/SUM(M80:M84))</f>
        <v>68</v>
      </c>
    </row>
    <row r="96" spans="3:23" x14ac:dyDescent="0.2">
      <c r="C96" t="s">
        <v>181</v>
      </c>
      <c r="D96" t="s">
        <v>97</v>
      </c>
      <c r="E96">
        <f>E94*E95</f>
        <v>24</v>
      </c>
      <c r="F96" s="136"/>
      <c r="H96" s="134"/>
      <c r="I96" s="126"/>
      <c r="J96" s="126"/>
      <c r="K96" s="127"/>
      <c r="L96" s="128"/>
      <c r="M96" s="315" t="s">
        <v>257</v>
      </c>
      <c r="N96" s="184"/>
      <c r="O96" s="184"/>
      <c r="P96" s="316"/>
      <c r="Q96" s="317">
        <f>SUM(M80:M86)</f>
        <v>0.30720000000000003</v>
      </c>
    </row>
    <row r="97" spans="3:22" x14ac:dyDescent="0.2">
      <c r="C97" s="13" t="s">
        <v>182</v>
      </c>
      <c r="D97" s="13" t="s">
        <v>86</v>
      </c>
      <c r="E97" s="13">
        <f>medium_fee</f>
        <v>100</v>
      </c>
      <c r="F97" s="136"/>
      <c r="H97" s="134"/>
      <c r="I97" s="126"/>
      <c r="J97" s="126"/>
      <c r="K97" s="127"/>
      <c r="L97" s="128"/>
      <c r="M97" s="315" t="s">
        <v>258</v>
      </c>
      <c r="N97" s="184"/>
      <c r="O97" s="184"/>
      <c r="P97" s="316"/>
      <c r="Q97" s="317">
        <f>SUM(M80:M84)</f>
        <v>9.0316800000000003E-2</v>
      </c>
    </row>
    <row r="98" spans="3:22" x14ac:dyDescent="0.2">
      <c r="C98" t="s">
        <v>85</v>
      </c>
      <c r="D98" t="s">
        <v>183</v>
      </c>
      <c r="E98">
        <f>E97*E96</f>
        <v>2400</v>
      </c>
      <c r="F98" s="136"/>
      <c r="H98" s="20"/>
      <c r="I98" s="126"/>
      <c r="J98" s="126"/>
      <c r="K98" s="127"/>
      <c r="L98" s="128"/>
      <c r="M98" s="206" t="s">
        <v>259</v>
      </c>
      <c r="N98" s="87"/>
      <c r="O98" s="87"/>
      <c r="P98" s="87"/>
      <c r="Q98" s="318">
        <f>pFailCrossChasm</f>
        <v>0.69279999999999997</v>
      </c>
    </row>
    <row r="99" spans="3:22" x14ac:dyDescent="0.2">
      <c r="D99"/>
      <c r="E99"/>
      <c r="F99" s="136"/>
      <c r="H99" s="134"/>
      <c r="I99" s="126"/>
      <c r="J99" s="126"/>
      <c r="K99" s="127"/>
      <c r="L99" s="128"/>
      <c r="M99" s="319" t="s">
        <v>260</v>
      </c>
      <c r="N99" s="5"/>
      <c r="O99" s="5"/>
      <c r="P99" s="5"/>
      <c r="Q99" s="115">
        <f>pFailEarlyStage</f>
        <v>0</v>
      </c>
    </row>
    <row r="100" spans="3:22" x14ac:dyDescent="0.2">
      <c r="C100" s="11" t="s">
        <v>153</v>
      </c>
      <c r="D100"/>
      <c r="E100"/>
      <c r="F100" s="136"/>
      <c r="G100" s="89"/>
      <c r="H100" s="20"/>
      <c r="I100" s="126"/>
      <c r="J100" s="126"/>
      <c r="K100" s="127"/>
      <c r="L100" s="128"/>
      <c r="M100" s="184"/>
      <c r="N100" s="4"/>
      <c r="Q100" s="125"/>
    </row>
    <row r="101" spans="3:22" x14ac:dyDescent="0.2">
      <c r="C101" t="s">
        <v>173</v>
      </c>
      <c r="D101" t="s">
        <v>149</v>
      </c>
      <c r="E101">
        <f>small_number</f>
        <v>30000</v>
      </c>
      <c r="F101" s="136"/>
      <c r="G101" s="89"/>
      <c r="H101" s="20"/>
      <c r="I101" s="126"/>
      <c r="J101" s="126"/>
      <c r="K101" s="127"/>
      <c r="L101" s="128"/>
      <c r="M101" s="184"/>
      <c r="N101" s="4"/>
      <c r="Q101" s="125"/>
    </row>
    <row r="102" spans="3:22" x14ac:dyDescent="0.2">
      <c r="C102" t="s">
        <v>174</v>
      </c>
      <c r="D102" t="s">
        <v>19</v>
      </c>
      <c r="E102">
        <f>small_fraction</f>
        <v>0.4</v>
      </c>
      <c r="F102" s="136"/>
      <c r="G102" s="89"/>
      <c r="H102" s="20"/>
      <c r="I102" s="20"/>
      <c r="J102" s="164"/>
      <c r="K102" s="167"/>
      <c r="L102" s="167"/>
      <c r="M102" s="5"/>
      <c r="N102" s="5"/>
      <c r="O102" s="5"/>
      <c r="P102" s="5"/>
    </row>
    <row r="103" spans="3:22" x14ac:dyDescent="0.2">
      <c r="C103" t="s">
        <v>175</v>
      </c>
      <c r="D103" t="s">
        <v>149</v>
      </c>
      <c r="E103">
        <f>E101*E102</f>
        <v>12000</v>
      </c>
      <c r="G103" s="89"/>
      <c r="H103" s="20"/>
      <c r="J103" s="89"/>
      <c r="K103" s="90"/>
      <c r="L103" s="88"/>
      <c r="M103" s="116"/>
      <c r="O103" s="94" t="s">
        <v>57</v>
      </c>
      <c r="P103" s="96"/>
      <c r="Q103" s="94" t="s">
        <v>52</v>
      </c>
      <c r="U103" s="330" t="s">
        <v>266</v>
      </c>
      <c r="V103" s="331">
        <f>0</f>
        <v>0</v>
      </c>
    </row>
    <row r="104" spans="3:22" x14ac:dyDescent="0.2">
      <c r="C104" t="s">
        <v>176</v>
      </c>
      <c r="D104" t="s">
        <v>177</v>
      </c>
      <c r="E104">
        <f>small_hires</f>
        <v>20</v>
      </c>
      <c r="F104" s="136"/>
      <c r="H104" s="20"/>
      <c r="I104" s="132" t="s">
        <v>90</v>
      </c>
      <c r="J104" s="89"/>
      <c r="K104" s="90"/>
      <c r="L104" s="88"/>
      <c r="M104" s="94" t="s">
        <v>56</v>
      </c>
      <c r="N104" s="117" t="s">
        <v>55</v>
      </c>
      <c r="O104" s="94" t="s">
        <v>9</v>
      </c>
      <c r="P104" s="94" t="s">
        <v>80</v>
      </c>
      <c r="Q104" s="94" t="s">
        <v>80</v>
      </c>
      <c r="U104" s="332" t="s">
        <v>267</v>
      </c>
      <c r="V104" s="333">
        <f>EarlySuccess*(1-CrossChasm)</f>
        <v>0.69279999999999997</v>
      </c>
    </row>
    <row r="105" spans="3:22" x14ac:dyDescent="0.2">
      <c r="C105" t="s">
        <v>178</v>
      </c>
      <c r="D105" t="s">
        <v>97</v>
      </c>
      <c r="E105">
        <f>E103*E104/1000000</f>
        <v>0.24</v>
      </c>
      <c r="F105" s="161"/>
      <c r="H105" s="20"/>
      <c r="I105" s="89"/>
      <c r="J105" s="89"/>
      <c r="K105" s="90"/>
      <c r="L105" s="88"/>
      <c r="N105" s="88"/>
      <c r="O105" s="87"/>
      <c r="P105" s="129"/>
      <c r="U105" s="332" t="s">
        <v>268</v>
      </c>
      <c r="V105" s="334">
        <f>0</f>
        <v>0</v>
      </c>
    </row>
    <row r="106" spans="3:22" x14ac:dyDescent="0.2">
      <c r="C106" t="s">
        <v>179</v>
      </c>
      <c r="D106" t="s">
        <v>180</v>
      </c>
      <c r="E106">
        <f>small_apps</f>
        <v>20</v>
      </c>
      <c r="F106" s="136"/>
      <c r="H106" s="20"/>
      <c r="J106" s="89"/>
      <c r="K106" s="90"/>
      <c r="L106" s="108" t="s">
        <v>43</v>
      </c>
      <c r="M106" s="154">
        <f>L107*K109*J111*I113</f>
        <v>9.0316800000000003E-3</v>
      </c>
      <c r="N106" s="88">
        <f>TotalTAM*KingMktShare</f>
        <v>2240.16</v>
      </c>
      <c r="O106" s="88">
        <f>N106*SalesMult</f>
        <v>11200.8</v>
      </c>
      <c r="P106" s="130">
        <f>O106*E$129/Investment</f>
        <v>451.64516129032256</v>
      </c>
      <c r="Q106" s="125">
        <f>M106*P106</f>
        <v>4.0791145703225808</v>
      </c>
      <c r="U106" s="335" t="s">
        <v>269</v>
      </c>
      <c r="V106" s="336">
        <f>1-EarlySuccess</f>
        <v>0</v>
      </c>
    </row>
    <row r="107" spans="3:22" x14ac:dyDescent="0.2">
      <c r="C107" t="s">
        <v>181</v>
      </c>
      <c r="D107" t="s">
        <v>97</v>
      </c>
      <c r="E107">
        <f>E105*E106</f>
        <v>4.8</v>
      </c>
      <c r="F107" s="136"/>
      <c r="H107" s="20"/>
      <c r="I107" s="89"/>
      <c r="J107" s="89"/>
      <c r="K107" s="90"/>
      <c r="L107" s="95">
        <f>KingChance</f>
        <v>0.1</v>
      </c>
      <c r="M107" s="115"/>
      <c r="N107" s="88"/>
      <c r="O107" s="88"/>
      <c r="P107" s="130"/>
    </row>
    <row r="108" spans="3:22" x14ac:dyDescent="0.2">
      <c r="C108" s="13" t="s">
        <v>182</v>
      </c>
      <c r="D108" s="13" t="s">
        <v>86</v>
      </c>
      <c r="E108" s="13">
        <f>small_fee</f>
        <v>100</v>
      </c>
      <c r="F108" s="136"/>
      <c r="H108" s="6"/>
      <c r="I108" s="89"/>
      <c r="J108" s="89"/>
      <c r="K108" s="106" t="s">
        <v>6</v>
      </c>
      <c r="L108" s="109" t="s">
        <v>44</v>
      </c>
      <c r="M108" s="154">
        <f>I113*J111*K109*L109</f>
        <v>2.7095040000000001E-2</v>
      </c>
      <c r="N108" s="88">
        <f>TotalTAM*PrinceMktShare</f>
        <v>1120.08</v>
      </c>
      <c r="O108" s="88">
        <f>N108*SalesMult</f>
        <v>5600.4</v>
      </c>
      <c r="P108" s="130">
        <f>O108*E$129/Investment</f>
        <v>225.82258064516128</v>
      </c>
      <c r="Q108" s="125">
        <f>M108*P108</f>
        <v>6.1186718554838713</v>
      </c>
    </row>
    <row r="109" spans="3:22" x14ac:dyDescent="0.2">
      <c r="C109" t="s">
        <v>85</v>
      </c>
      <c r="D109" t="s">
        <v>183</v>
      </c>
      <c r="E109">
        <f>E108*E107</f>
        <v>480</v>
      </c>
      <c r="F109" s="136"/>
      <c r="H109" s="6"/>
      <c r="I109" s="89"/>
      <c r="J109" s="89"/>
      <c r="K109" s="104">
        <f>MainstreamSuccess</f>
        <v>0.29399999999999998</v>
      </c>
      <c r="L109" s="95">
        <f>PrinceChance</f>
        <v>0.3</v>
      </c>
      <c r="M109" s="115"/>
      <c r="N109" s="88"/>
      <c r="O109" s="88"/>
      <c r="P109" s="130"/>
      <c r="Q109" s="4"/>
    </row>
    <row r="110" spans="3:22" x14ac:dyDescent="0.2">
      <c r="D110"/>
      <c r="E110"/>
      <c r="F110" s="136"/>
      <c r="H110" s="6"/>
      <c r="I110" s="89"/>
      <c r="J110" s="101" t="s">
        <v>0</v>
      </c>
      <c r="K110" s="105"/>
      <c r="L110" s="109" t="s">
        <v>51</v>
      </c>
      <c r="M110" s="154">
        <f>I113*J111*K109*L111</f>
        <v>5.4190080000000002E-2</v>
      </c>
      <c r="N110" s="88">
        <f>TotalTAM*SerfMktShare</f>
        <v>224.01599999999999</v>
      </c>
      <c r="O110" s="88">
        <f>N110*SalesMult</f>
        <v>1120.08</v>
      </c>
      <c r="P110" s="130">
        <f>O110*E$129/Investment</f>
        <v>45.164516129032251</v>
      </c>
      <c r="Q110" s="125">
        <f>M110*P110</f>
        <v>2.4474687421935482</v>
      </c>
    </row>
    <row r="111" spans="3:22" x14ac:dyDescent="0.2">
      <c r="C111" t="s">
        <v>184</v>
      </c>
      <c r="D111" t="str">
        <f>D109</f>
        <v>$M</v>
      </c>
      <c r="E111">
        <f>E92+E102+E109</f>
        <v>2880.4</v>
      </c>
      <c r="F111" s="136"/>
      <c r="H111" s="6"/>
      <c r="I111" s="89"/>
      <c r="J111" s="98">
        <f>CrossChasm</f>
        <v>0.30720000000000003</v>
      </c>
      <c r="K111" s="105"/>
      <c r="L111" s="2">
        <f>1-L109-L107</f>
        <v>0.6</v>
      </c>
      <c r="M111" s="115"/>
      <c r="N111" s="88"/>
      <c r="O111" s="88"/>
      <c r="P111" s="129"/>
      <c r="Q111" s="4"/>
    </row>
    <row r="112" spans="3:22" x14ac:dyDescent="0.2">
      <c r="C112" t="s">
        <v>154</v>
      </c>
      <c r="D112" t="s">
        <v>185</v>
      </c>
      <c r="E112">
        <f>international_multiplier</f>
        <v>2</v>
      </c>
      <c r="F112" s="174"/>
      <c r="H112" s="6"/>
      <c r="I112" s="112" t="s">
        <v>4</v>
      </c>
      <c r="J112" s="99"/>
      <c r="K112" s="107" t="s">
        <v>5</v>
      </c>
      <c r="L112" s="110"/>
      <c r="M112" s="115">
        <f>I113*J111*K113</f>
        <v>0.2168832</v>
      </c>
      <c r="N112" s="88">
        <f>SweetspotTAM*NicheSize*NicheMarketShare</f>
        <v>17.408000000000001</v>
      </c>
      <c r="O112" s="88">
        <f>N112*SalesMult*NicheMultDisc</f>
        <v>43.52</v>
      </c>
      <c r="P112" s="130">
        <f>NicheMultDisc*E$130/Investment</f>
        <v>3.2258064516129031E-2</v>
      </c>
      <c r="Q112" s="125">
        <f>M112*P112</f>
        <v>6.9962322580645157E-3</v>
      </c>
    </row>
    <row r="113" spans="2:17" x14ac:dyDescent="0.2">
      <c r="C113" s="5" t="s">
        <v>98</v>
      </c>
      <c r="D113" t="s">
        <v>183</v>
      </c>
      <c r="E113">
        <f>E111*E112</f>
        <v>5760.8</v>
      </c>
      <c r="F113" s="42"/>
      <c r="H113" s="6"/>
      <c r="I113" s="114">
        <f>EarlySuccess</f>
        <v>1</v>
      </c>
      <c r="J113" s="100"/>
      <c r="K113" s="103">
        <f>1-MainstreamSuccess</f>
        <v>0.70599999999999996</v>
      </c>
      <c r="L113" s="88"/>
      <c r="M113" s="115"/>
      <c r="N113" s="88"/>
      <c r="O113" s="88"/>
      <c r="P113" s="129"/>
      <c r="Q113" s="4"/>
    </row>
    <row r="114" spans="2:17" x14ac:dyDescent="0.2">
      <c r="C114" s="134"/>
      <c r="D114" s="138"/>
      <c r="E114" s="153"/>
      <c r="F114" s="42"/>
      <c r="H114" s="6"/>
      <c r="I114" s="99"/>
      <c r="J114" s="102" t="s">
        <v>54</v>
      </c>
      <c r="K114" s="111"/>
      <c r="L114" s="110"/>
      <c r="M114" s="115">
        <f>I113*J115</f>
        <v>0.69279999999999997</v>
      </c>
      <c r="N114" s="88">
        <v>0</v>
      </c>
      <c r="O114" s="88">
        <v>0</v>
      </c>
      <c r="P114" s="129">
        <v>0</v>
      </c>
      <c r="Q114" s="125">
        <f>M114*P114</f>
        <v>0</v>
      </c>
    </row>
    <row r="115" spans="2:17" x14ac:dyDescent="0.2">
      <c r="C115" s="134"/>
      <c r="D115" s="138"/>
      <c r="E115" s="153"/>
      <c r="F115" s="136"/>
      <c r="I115" s="113"/>
      <c r="J115" s="97">
        <f>1-CrossChasm</f>
        <v>0.69279999999999997</v>
      </c>
      <c r="K115" s="90"/>
      <c r="L115" s="88"/>
      <c r="M115" s="115"/>
      <c r="N115" s="88"/>
      <c r="O115" s="88"/>
      <c r="P115" s="129"/>
      <c r="Q115" s="4"/>
    </row>
    <row r="116" spans="2:17" ht="15" thickBot="1" x14ac:dyDescent="0.25">
      <c r="F116" s="136"/>
      <c r="I116" s="99"/>
      <c r="J116" s="89"/>
      <c r="K116" s="90"/>
      <c r="L116" s="88"/>
      <c r="M116" s="115"/>
      <c r="N116" s="88"/>
      <c r="O116" s="88"/>
      <c r="P116" s="129"/>
      <c r="Q116" s="4"/>
    </row>
    <row r="117" spans="2:17" ht="15" thickBot="1" x14ac:dyDescent="0.25">
      <c r="C117" t="s">
        <v>108</v>
      </c>
      <c r="D117" s="1" t="s">
        <v>84</v>
      </c>
      <c r="E117" s="170">
        <f>W91</f>
        <v>5440</v>
      </c>
      <c r="F117" s="172" t="s">
        <v>91</v>
      </c>
      <c r="I117" s="102" t="s">
        <v>3</v>
      </c>
      <c r="J117" s="101"/>
      <c r="K117" s="111"/>
      <c r="L117" s="110"/>
      <c r="M117" s="115">
        <f>I118</f>
        <v>0</v>
      </c>
      <c r="N117" s="88">
        <v>0</v>
      </c>
      <c r="O117" s="88">
        <v>0</v>
      </c>
      <c r="P117" s="129">
        <v>0</v>
      </c>
      <c r="Q117" s="125">
        <f>M117*P117</f>
        <v>0</v>
      </c>
    </row>
    <row r="118" spans="2:17" ht="15" thickBot="1" x14ac:dyDescent="0.25">
      <c r="C118" s="134"/>
      <c r="D118" s="138"/>
      <c r="E118" s="153"/>
      <c r="F118" s="88"/>
      <c r="I118" s="89">
        <f>1-EarlySuccess</f>
        <v>0</v>
      </c>
      <c r="J118" s="89"/>
      <c r="K118" s="90"/>
      <c r="L118" s="88"/>
      <c r="M118" s="88"/>
      <c r="N118" s="87"/>
      <c r="O118" s="87"/>
      <c r="P118" s="87"/>
      <c r="Q118" s="4"/>
    </row>
    <row r="119" spans="2:17" ht="15" thickBot="1" x14ac:dyDescent="0.25">
      <c r="C119" s="134" t="s">
        <v>85</v>
      </c>
      <c r="D119" s="1" t="s">
        <v>84</v>
      </c>
      <c r="E119" s="171">
        <f>W93</f>
        <v>11200.8</v>
      </c>
      <c r="F119" s="173" t="s">
        <v>92</v>
      </c>
      <c r="I119" s="89"/>
      <c r="J119" s="89"/>
      <c r="K119" s="90"/>
      <c r="L119" s="88"/>
      <c r="M119" s="279">
        <f>SUM(M106:M117)</f>
        <v>1</v>
      </c>
      <c r="N119" s="280"/>
      <c r="O119" s="280"/>
      <c r="P119" s="281"/>
      <c r="Q119" s="282">
        <f t="array" ref="Q119">SUM(M106:M117*P106:P117)</f>
        <v>12.652251400258065</v>
      </c>
    </row>
    <row r="120" spans="2:17" x14ac:dyDescent="0.2">
      <c r="E120" s="150"/>
      <c r="F120" s="88"/>
      <c r="I120" s="6"/>
      <c r="J120" s="28"/>
      <c r="K120" s="5"/>
      <c r="L120" s="5"/>
      <c r="M120" s="184" t="s">
        <v>241</v>
      </c>
      <c r="N120" s="4"/>
      <c r="Q120" s="125">
        <f>IF(SUM(M106:M112)=0,0,Q119/SUM(M106:M112))</f>
        <v>41.185714193548385</v>
      </c>
    </row>
    <row r="121" spans="2:17" x14ac:dyDescent="0.2">
      <c r="B121" s="4" t="s">
        <v>29</v>
      </c>
      <c r="D121"/>
      <c r="E121"/>
      <c r="F121" s="88"/>
      <c r="J121" s="28"/>
      <c r="K121" s="5"/>
      <c r="L121" s="5"/>
      <c r="M121" s="184" t="s">
        <v>256</v>
      </c>
      <c r="N121" s="87"/>
      <c r="O121" s="87"/>
      <c r="P121" s="87"/>
      <c r="Q121" s="314">
        <f>IF(SUM(M106:M110)=0,0,SUM(Q106:Q110)/SUM(M106:M110))</f>
        <v>140.01</v>
      </c>
    </row>
    <row r="122" spans="2:17" x14ac:dyDescent="0.2">
      <c r="B122"/>
      <c r="C122" t="s">
        <v>30</v>
      </c>
      <c r="D122" s="1" t="s">
        <v>18</v>
      </c>
      <c r="E122" s="94">
        <f>Investment</f>
        <v>0.5</v>
      </c>
      <c r="F122" s="88"/>
      <c r="J122" s="28"/>
      <c r="K122" s="5"/>
      <c r="L122" s="5"/>
      <c r="M122" s="315" t="s">
        <v>257</v>
      </c>
      <c r="N122" s="184"/>
      <c r="O122" s="184"/>
      <c r="P122" s="316"/>
      <c r="Q122" s="317">
        <f>SUM(M106:M112)</f>
        <v>0.30720000000000003</v>
      </c>
    </row>
    <row r="123" spans="2:17" x14ac:dyDescent="0.2">
      <c r="B123"/>
      <c r="C123" t="s">
        <v>31</v>
      </c>
      <c r="D123" s="1" t="s">
        <v>18</v>
      </c>
      <c r="E123" s="94">
        <f>InitialRoundSize</f>
        <v>1.2</v>
      </c>
      <c r="F123" s="88"/>
      <c r="J123" s="28"/>
      <c r="K123" s="5"/>
      <c r="L123" s="5"/>
      <c r="M123" s="315" t="s">
        <v>258</v>
      </c>
      <c r="N123" s="184"/>
      <c r="O123" s="184"/>
      <c r="P123" s="316"/>
      <c r="Q123" s="317">
        <f>SUM(M106:M110)</f>
        <v>9.0316800000000003E-2</v>
      </c>
    </row>
    <row r="124" spans="2:17" x14ac:dyDescent="0.2">
      <c r="B124"/>
      <c r="C124" t="s">
        <v>37</v>
      </c>
      <c r="D124" s="1" t="s">
        <v>18</v>
      </c>
      <c r="E124" s="155">
        <f>PreMoneyValue</f>
        <v>5</v>
      </c>
      <c r="F124" s="88"/>
      <c r="J124" s="28"/>
      <c r="K124" s="5"/>
      <c r="L124" s="5"/>
      <c r="M124" s="206" t="s">
        <v>259</v>
      </c>
      <c r="N124" s="87"/>
      <c r="O124" s="87"/>
      <c r="P124" s="87"/>
      <c r="Q124" s="318">
        <f>pFailCrossChasm</f>
        <v>0.69279999999999997</v>
      </c>
    </row>
    <row r="125" spans="2:17" x14ac:dyDescent="0.2">
      <c r="B125"/>
      <c r="C125" t="s">
        <v>32</v>
      </c>
      <c r="D125" s="1" t="s">
        <v>18</v>
      </c>
      <c r="E125" s="94">
        <f>E123+E124</f>
        <v>6.2</v>
      </c>
      <c r="F125" s="4"/>
      <c r="M125" s="319" t="s">
        <v>260</v>
      </c>
      <c r="N125" s="5"/>
      <c r="O125" s="5"/>
      <c r="P125" s="5"/>
      <c r="Q125" s="115">
        <f>pFailEarlyStage</f>
        <v>0</v>
      </c>
    </row>
    <row r="126" spans="2:17" x14ac:dyDescent="0.2">
      <c r="C126" s="5"/>
      <c r="D126" s="6"/>
      <c r="E126" s="156"/>
      <c r="F126" s="4"/>
    </row>
    <row r="127" spans="2:17" x14ac:dyDescent="0.2">
      <c r="B127"/>
      <c r="C127" t="s">
        <v>33</v>
      </c>
      <c r="D127" s="1" t="s">
        <v>19</v>
      </c>
      <c r="E127" s="157">
        <f>E122/E125</f>
        <v>8.0645161290322578E-2</v>
      </c>
      <c r="F127" s="4"/>
    </row>
    <row r="128" spans="2:17" x14ac:dyDescent="0.2">
      <c r="B128"/>
      <c r="C128" t="s">
        <v>38</v>
      </c>
      <c r="D128" s="1" t="s">
        <v>19</v>
      </c>
      <c r="E128" s="158">
        <f>Dilution</f>
        <v>0.75</v>
      </c>
      <c r="F128" s="88"/>
    </row>
    <row r="129" spans="2:6" x14ac:dyDescent="0.2">
      <c r="B129"/>
      <c r="C129" t="s">
        <v>39</v>
      </c>
      <c r="D129" s="1" t="s">
        <v>19</v>
      </c>
      <c r="E129" s="157">
        <f>E127*(1-E128)</f>
        <v>2.0161290322580645E-2</v>
      </c>
      <c r="F129" s="88"/>
    </row>
    <row r="130" spans="2:6" x14ac:dyDescent="0.2">
      <c r="C130" t="s">
        <v>49</v>
      </c>
      <c r="D130" s="6"/>
      <c r="E130" s="159">
        <f>E127*(1-NicheDilution)</f>
        <v>3.2258064516129031E-2</v>
      </c>
      <c r="F130" s="88" t="s">
        <v>88</v>
      </c>
    </row>
    <row r="131" spans="2:6" x14ac:dyDescent="0.2">
      <c r="C131" s="5"/>
      <c r="D131" s="6"/>
      <c r="E131" s="160"/>
    </row>
    <row r="132" spans="2:6" x14ac:dyDescent="0.2">
      <c r="C132" t="s">
        <v>45</v>
      </c>
      <c r="D132" s="1" t="s">
        <v>46</v>
      </c>
      <c r="E132" s="133">
        <f>SweetspotTAM*NicheSize</f>
        <v>870.4</v>
      </c>
    </row>
  </sheetData>
  <dataConsolidate/>
  <phoneticPr fontId="0" type="noConversion"/>
  <conditionalFormatting sqref="G74:G75 G55:G59 G15:G16 G19:G20 G37:G44 G35 G68">
    <cfRule type="expression" dxfId="60" priority="0" stopIfTrue="1">
      <formula>IF($E15=2, TRUE, FALSE)</formula>
    </cfRule>
  </conditionalFormatting>
  <conditionalFormatting sqref="F74:F75 F55:F59 F15:F16 F19:F21 F37:F44 F35 F68">
    <cfRule type="expression" dxfId="59" priority="471" stopIfTrue="1">
      <formula>IF($E15=1, TRUE, FALSE)</formula>
    </cfRule>
  </conditionalFormatting>
  <conditionalFormatting sqref="H74:H75 H55:H59 H15:H16 H19:H21 H37:H44 H35 H68">
    <cfRule type="expression" dxfId="58" priority="472" stopIfTrue="1">
      <formula>IF($E15=3, TRUE, FALSE)</formula>
    </cfRule>
  </conditionalFormatting>
  <conditionalFormatting sqref="I74:I76 I55:I59 I15:I16 I19:I21 I37:I44 I34:I35 I68">
    <cfRule type="expression" dxfId="57" priority="473" stopIfTrue="1">
      <formula>IF($E15=4, TRUE, FALSE)</formula>
    </cfRule>
  </conditionalFormatting>
  <conditionalFormatting sqref="B10:C10">
    <cfRule type="expression" dxfId="56" priority="474" stopIfTrue="1">
      <formula>IF(Alternative=$B10, TRUE, FALSE)</formula>
    </cfRule>
  </conditionalFormatting>
  <conditionalFormatting sqref="G69:G70">
    <cfRule type="expression" dxfId="55" priority="317" stopIfTrue="1">
      <formula>IF($E69=2, TRUE, FALSE)</formula>
    </cfRule>
  </conditionalFormatting>
  <conditionalFormatting sqref="F69:F70">
    <cfRule type="expression" dxfId="54" priority="314" stopIfTrue="1">
      <formula>IF($E69=1, TRUE, FALSE)</formula>
    </cfRule>
  </conditionalFormatting>
  <conditionalFormatting sqref="H69:H73">
    <cfRule type="expression" dxfId="53" priority="315" stopIfTrue="1">
      <formula>IF($E69=3, TRUE, FALSE)</formula>
    </cfRule>
  </conditionalFormatting>
  <conditionalFormatting sqref="I69:I70">
    <cfRule type="expression" dxfId="52" priority="316" stopIfTrue="1">
      <formula>IF($E69=4, TRUE, FALSE)</formula>
    </cfRule>
  </conditionalFormatting>
  <conditionalFormatting sqref="G45:G52">
    <cfRule type="expression" dxfId="51" priority="313" stopIfTrue="1">
      <formula>IF($E45=2, TRUE, FALSE)</formula>
    </cfRule>
  </conditionalFormatting>
  <conditionalFormatting sqref="F45:F52">
    <cfRule type="expression" dxfId="50" priority="310" stopIfTrue="1">
      <formula>IF($E45=1, TRUE, FALSE)</formula>
    </cfRule>
  </conditionalFormatting>
  <conditionalFormatting sqref="H45:H52">
    <cfRule type="expression" dxfId="49" priority="311" stopIfTrue="1">
      <formula>IF($E45=3, TRUE, FALSE)</formula>
    </cfRule>
  </conditionalFormatting>
  <conditionalFormatting sqref="I45:I52">
    <cfRule type="expression" dxfId="48" priority="312" stopIfTrue="1">
      <formula>IF($E45=4, TRUE, FALSE)</formula>
    </cfRule>
  </conditionalFormatting>
  <conditionalFormatting sqref="G71:G73">
    <cfRule type="expression" dxfId="47" priority="55" stopIfTrue="1">
      <formula>IF($G71=2, TRUE, FALSE)</formula>
    </cfRule>
  </conditionalFormatting>
  <conditionalFormatting sqref="F72:F73">
    <cfRule type="expression" dxfId="46" priority="54" stopIfTrue="1">
      <formula>IF($G72=1, TRUE, FALSE)</formula>
    </cfRule>
  </conditionalFormatting>
  <conditionalFormatting sqref="G53:G54">
    <cfRule type="expression" dxfId="45" priority="53" stopIfTrue="1">
      <formula>IF($E53=2, TRUE, FALSE)</formula>
    </cfRule>
  </conditionalFormatting>
  <conditionalFormatting sqref="F53:F54">
    <cfRule type="expression" dxfId="44" priority="50" stopIfTrue="1">
      <formula>IF($E53=1, TRUE, FALSE)</formula>
    </cfRule>
  </conditionalFormatting>
  <conditionalFormatting sqref="H53:H54">
    <cfRule type="expression" dxfId="43" priority="51" stopIfTrue="1">
      <formula>IF($E53=3, TRUE, FALSE)</formula>
    </cfRule>
  </conditionalFormatting>
  <conditionalFormatting sqref="I53:I54">
    <cfRule type="expression" dxfId="42" priority="52" stopIfTrue="1">
      <formula>IF($E53=4, TRUE, FALSE)</formula>
    </cfRule>
  </conditionalFormatting>
  <conditionalFormatting sqref="G17">
    <cfRule type="expression" dxfId="41" priority="49" stopIfTrue="1">
      <formula>IF($E17=2, TRUE, FALSE)</formula>
    </cfRule>
  </conditionalFormatting>
  <conditionalFormatting sqref="F17">
    <cfRule type="expression" dxfId="40" priority="46" stopIfTrue="1">
      <formula>IF($E17=1, TRUE, FALSE)</formula>
    </cfRule>
  </conditionalFormatting>
  <conditionalFormatting sqref="H17">
    <cfRule type="expression" dxfId="39" priority="47" stopIfTrue="1">
      <formula>IF($E17=3, TRUE, FALSE)</formula>
    </cfRule>
  </conditionalFormatting>
  <conditionalFormatting sqref="I17">
    <cfRule type="expression" dxfId="38" priority="48" stopIfTrue="1">
      <formula>IF($E17=4, TRUE, FALSE)</formula>
    </cfRule>
  </conditionalFormatting>
  <conditionalFormatting sqref="F18">
    <cfRule type="expression" dxfId="37" priority="42" stopIfTrue="1">
      <formula>IF($E18=1, TRUE, FALSE)</formula>
    </cfRule>
  </conditionalFormatting>
  <conditionalFormatting sqref="H18">
    <cfRule type="expression" dxfId="36" priority="43" stopIfTrue="1">
      <formula>IF($E18=3, TRUE, FALSE)</formula>
    </cfRule>
  </conditionalFormatting>
  <conditionalFormatting sqref="I18">
    <cfRule type="expression" dxfId="35" priority="44" stopIfTrue="1">
      <formula>IF($E18=4, TRUE, FALSE)</formula>
    </cfRule>
  </conditionalFormatting>
  <conditionalFormatting sqref="F22">
    <cfRule type="expression" dxfId="34" priority="38" stopIfTrue="1">
      <formula>IF($E22=1, TRUE, FALSE)</formula>
    </cfRule>
  </conditionalFormatting>
  <conditionalFormatting sqref="H22">
    <cfRule type="expression" dxfId="33" priority="39" stopIfTrue="1">
      <formula>IF($E22=3, TRUE, FALSE)</formula>
    </cfRule>
  </conditionalFormatting>
  <conditionalFormatting sqref="I22:I23">
    <cfRule type="expression" dxfId="32" priority="40" stopIfTrue="1">
      <formula>IF($E22=4, TRUE, FALSE)</formula>
    </cfRule>
  </conditionalFormatting>
  <conditionalFormatting sqref="G30 G33:G34">
    <cfRule type="expression" dxfId="31" priority="16" stopIfTrue="1">
      <formula>IF($E30=2, TRUE, FALSE)</formula>
    </cfRule>
  </conditionalFormatting>
  <conditionalFormatting sqref="I24">
    <cfRule type="expression" dxfId="30" priority="36" stopIfTrue="1">
      <formula>IF($E24=4, TRUE, FALSE)</formula>
    </cfRule>
  </conditionalFormatting>
  <conditionalFormatting sqref="F25">
    <cfRule type="expression" dxfId="29" priority="18" stopIfTrue="1">
      <formula>IF($E25=1, TRUE, FALSE)</formula>
    </cfRule>
  </conditionalFormatting>
  <conditionalFormatting sqref="H25">
    <cfRule type="expression" dxfId="28" priority="19" stopIfTrue="1">
      <formula>IF($E25=3, TRUE, FALSE)</formula>
    </cfRule>
  </conditionalFormatting>
  <conditionalFormatting sqref="I33">
    <cfRule type="expression" dxfId="27" priority="32" stopIfTrue="1">
      <formula>IF($E33=4, TRUE, FALSE)</formula>
    </cfRule>
  </conditionalFormatting>
  <conditionalFormatting sqref="G18">
    <cfRule type="expression" dxfId="26" priority="29" stopIfTrue="1">
      <formula>IF($E18=2, TRUE, FALSE)</formula>
    </cfRule>
  </conditionalFormatting>
  <conditionalFormatting sqref="G28:G29">
    <cfRule type="expression" dxfId="25" priority="5" stopIfTrue="1">
      <formula>IF($E28=2, TRUE, FALSE)</formula>
    </cfRule>
  </conditionalFormatting>
  <conditionalFormatting sqref="F23 F26:F27">
    <cfRule type="expression" dxfId="24" priority="23" stopIfTrue="1">
      <formula>IF($E23=1, TRUE, FALSE)</formula>
    </cfRule>
  </conditionalFormatting>
  <conditionalFormatting sqref="G23 G26:G27">
    <cfRule type="expression" dxfId="23" priority="25" stopIfTrue="1">
      <formula>IF($E23=2, TRUE, FALSE)</formula>
    </cfRule>
  </conditionalFormatting>
  <conditionalFormatting sqref="H23 H26:H27">
    <cfRule type="expression" dxfId="22" priority="24" stopIfTrue="1">
      <formula>IF($E23=3, TRUE, FALSE)</formula>
    </cfRule>
  </conditionalFormatting>
  <conditionalFormatting sqref="G24">
    <cfRule type="expression" dxfId="21" priority="22" stopIfTrue="1">
      <formula>IF($E24=2, TRUE, FALSE)</formula>
    </cfRule>
  </conditionalFormatting>
  <conditionalFormatting sqref="F24">
    <cfRule type="expression" dxfId="20" priority="20" stopIfTrue="1">
      <formula>IF($E24=1, TRUE, FALSE)</formula>
    </cfRule>
  </conditionalFormatting>
  <conditionalFormatting sqref="H24">
    <cfRule type="expression" dxfId="19" priority="21" stopIfTrue="1">
      <formula>IF($E24=3, TRUE, FALSE)</formula>
    </cfRule>
  </conditionalFormatting>
  <conditionalFormatting sqref="G25">
    <cfRule type="expression" dxfId="18" priority="17" stopIfTrue="1">
      <formula>IF($E25=2, TRUE, FALSE)</formula>
    </cfRule>
  </conditionalFormatting>
  <conditionalFormatting sqref="F30 F33:F34">
    <cfRule type="expression" dxfId="17" priority="14" stopIfTrue="1">
      <formula>IF($E30=1, TRUE, FALSE)</formula>
    </cfRule>
  </conditionalFormatting>
  <conditionalFormatting sqref="H30 H33:H34">
    <cfRule type="expression" dxfId="16" priority="15" stopIfTrue="1">
      <formula>IF($E30=3, TRUE, FALSE)</formula>
    </cfRule>
  </conditionalFormatting>
  <conditionalFormatting sqref="G31">
    <cfRule type="expression" dxfId="15" priority="13" stopIfTrue="1">
      <formula>IF($E31=2, TRUE, FALSE)</formula>
    </cfRule>
  </conditionalFormatting>
  <conditionalFormatting sqref="F31">
    <cfRule type="expression" dxfId="14" priority="11" stopIfTrue="1">
      <formula>IF($E31=1, TRUE, FALSE)</formula>
    </cfRule>
  </conditionalFormatting>
  <conditionalFormatting sqref="H31">
    <cfRule type="expression" dxfId="13" priority="12" stopIfTrue="1">
      <formula>IF($E31=3, TRUE, FALSE)</formula>
    </cfRule>
  </conditionalFormatting>
  <conditionalFormatting sqref="F32">
    <cfRule type="expression" dxfId="12" priority="9" stopIfTrue="1">
      <formula>IF($E32=1, TRUE, FALSE)</formula>
    </cfRule>
  </conditionalFormatting>
  <conditionalFormatting sqref="H32">
    <cfRule type="expression" dxfId="11" priority="10" stopIfTrue="1">
      <formula>IF($E32=3, TRUE, FALSE)</formula>
    </cfRule>
  </conditionalFormatting>
  <conditionalFormatting sqref="G32">
    <cfRule type="expression" dxfId="10" priority="8" stopIfTrue="1">
      <formula>IF($E32=2, TRUE, FALSE)</formula>
    </cfRule>
  </conditionalFormatting>
  <conditionalFormatting sqref="G22">
    <cfRule type="expression" dxfId="9" priority="7" stopIfTrue="1">
      <formula>IF($E22=2, TRUE, FALSE)</formula>
    </cfRule>
  </conditionalFormatting>
  <conditionalFormatting sqref="G21">
    <cfRule type="expression" dxfId="8" priority="6" stopIfTrue="1">
      <formula>IF($E21=2, TRUE, FALSE)</formula>
    </cfRule>
  </conditionalFormatting>
  <conditionalFormatting sqref="G60:G67">
    <cfRule type="expression" dxfId="7" priority="4" stopIfTrue="1">
      <formula>IF($E60=2, TRUE, FALSE)</formula>
    </cfRule>
  </conditionalFormatting>
  <conditionalFormatting sqref="F60:F67">
    <cfRule type="expression" dxfId="6" priority="1" stopIfTrue="1">
      <formula>IF($E60=1, TRUE, FALSE)</formula>
    </cfRule>
  </conditionalFormatting>
  <conditionalFormatting sqref="H60:H67">
    <cfRule type="expression" dxfId="5" priority="2" stopIfTrue="1">
      <formula>IF($E60=3, TRUE, FALSE)</formula>
    </cfRule>
  </conditionalFormatting>
  <conditionalFormatting sqref="I60:I67">
    <cfRule type="expression" dxfId="4" priority="3" stopIfTrue="1">
      <formula>IF($E60=4, TRUE, FALSE)</formula>
    </cfRule>
  </conditionalFormatting>
  <printOptions gridLinesSet="0"/>
  <pageMargins left="0.5" right="0.5" top="0.5" bottom="0.75" header="0.5" footer="0.5"/>
  <pageSetup orientation="portrait" horizontalDpi="4294967292" verticalDpi="4294967292"/>
  <headerFooter>
    <oddFooter>&amp;L&amp;D&amp;R&amp;P</oddFooter>
  </headerFooter>
  <colBreaks count="2" manualBreakCount="2">
    <brk id="7" max="1048575" man="1"/>
    <brk id="14" max="1048575" man="1"/>
  </col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valuateModel">
                <anchor moveWithCells="1" sizeWithCells="1">
                  <from>
                    <xdr:col>10</xdr:col>
                    <xdr:colOff>76200</xdr:colOff>
                    <xdr:row>3</xdr:row>
                    <xdr:rowOff>177800</xdr:rowOff>
                  </from>
                  <to>
                    <xdr:col>13</xdr:col>
                    <xdr:colOff>558800</xdr:colOff>
                    <xdr:row>8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F8FAB-73A1-7C4D-BFB0-798D34689E4B}">
  <sheetPr codeName="Sheet4"/>
  <dimension ref="B1:FC247"/>
  <sheetViews>
    <sheetView topLeftCell="BG1" workbookViewId="0">
      <selection activeCell="E4" sqref="E4"/>
    </sheetView>
  </sheetViews>
  <sheetFormatPr baseColWidth="10" defaultRowHeight="14" x14ac:dyDescent="0.2"/>
  <cols>
    <col min="1" max="2" width="10.7109375" style="184"/>
    <col min="3" max="3" width="14.85546875" style="184" bestFit="1" customWidth="1"/>
    <col min="4" max="18" width="10.7109375" style="184"/>
    <col min="19" max="19" width="14.85546875" style="184" bestFit="1" customWidth="1"/>
    <col min="20" max="20" width="14.85546875" style="184" customWidth="1"/>
    <col min="21" max="21" width="25.28515625" style="185" bestFit="1" customWidth="1"/>
    <col min="22" max="22" width="10.7109375" style="186"/>
    <col min="23" max="23" width="10.7109375" style="185"/>
    <col min="24" max="24" width="10.7109375" style="186"/>
    <col min="25" max="25" width="10.7109375" style="187"/>
    <col min="26" max="27" width="10.7109375" style="186"/>
    <col min="28" max="28" width="10.7109375" style="187"/>
    <col min="29" max="29" width="10.7109375" style="186"/>
    <col min="30" max="31" width="10.7109375" style="187"/>
    <col min="32" max="32" width="12.5703125" style="187" bestFit="1" customWidth="1"/>
    <col min="33" max="33" width="10.7109375" style="187"/>
    <col min="34" max="34" width="10.7109375" style="184"/>
    <col min="35" max="35" width="16.42578125" style="185" bestFit="1" customWidth="1"/>
    <col min="36" max="36" width="10.7109375" style="186"/>
    <col min="37" max="37" width="10.7109375" style="185"/>
    <col min="38" max="38" width="10.7109375" style="186"/>
    <col min="39" max="39" width="10.7109375" style="187"/>
    <col min="40" max="41" width="10.7109375" style="186"/>
    <col min="42" max="42" width="10.7109375" style="187"/>
    <col min="43" max="43" width="10.7109375" style="186"/>
    <col min="44" max="45" width="10.7109375" style="187"/>
    <col min="46" max="46" width="12.5703125" style="187" bestFit="1" customWidth="1"/>
    <col min="47" max="47" width="10.7109375" style="187"/>
    <col min="48" max="48" width="10.7109375" style="184"/>
    <col min="49" max="49" width="16.42578125" style="185" bestFit="1" customWidth="1"/>
    <col min="50" max="50" width="10.7109375" style="186"/>
    <col min="51" max="51" width="10.7109375" style="185"/>
    <col min="52" max="52" width="10.7109375" style="186"/>
    <col min="53" max="53" width="10.7109375" style="187"/>
    <col min="54" max="55" width="10.7109375" style="186"/>
    <col min="56" max="56" width="10.7109375" style="187"/>
    <col min="57" max="57" width="10.7109375" style="186"/>
    <col min="58" max="59" width="10.7109375" style="187"/>
    <col min="60" max="60" width="12.5703125" style="187" bestFit="1" customWidth="1"/>
    <col min="61" max="61" width="10.7109375" style="187"/>
    <col min="62" max="62" width="10.7109375" style="184"/>
    <col min="63" max="63" width="16.42578125" style="185" bestFit="1" customWidth="1"/>
    <col min="64" max="64" width="10.7109375" style="186"/>
    <col min="65" max="65" width="10.7109375" style="185"/>
    <col min="66" max="66" width="10.7109375" style="186"/>
    <col min="67" max="67" width="10.7109375" style="187"/>
    <col min="68" max="69" width="10.7109375" style="186"/>
    <col min="70" max="70" width="10.7109375" style="187"/>
    <col min="71" max="71" width="10.7109375" style="186"/>
    <col min="72" max="73" width="10.7109375" style="187"/>
    <col min="74" max="74" width="12.5703125" style="187" bestFit="1" customWidth="1"/>
    <col min="75" max="75" width="10.7109375" style="187"/>
    <col min="76" max="76" width="10.7109375" style="184"/>
    <col min="77" max="77" width="16.42578125" style="185" bestFit="1" customWidth="1"/>
    <col min="78" max="78" width="10.7109375" style="186"/>
    <col min="79" max="79" width="10.7109375" style="185"/>
    <col min="80" max="80" width="10.7109375" style="186"/>
    <col min="81" max="81" width="10.7109375" style="187"/>
    <col min="82" max="83" width="10.7109375" style="186"/>
    <col min="84" max="84" width="10.7109375" style="187"/>
    <col min="85" max="85" width="10.7109375" style="186"/>
    <col min="86" max="87" width="10.7109375" style="187"/>
    <col min="88" max="88" width="12.5703125" style="187" bestFit="1" customWidth="1"/>
    <col min="89" max="89" width="10.7109375" style="187"/>
    <col min="90" max="90" width="10.7109375" style="184"/>
    <col min="91" max="91" width="16.42578125" style="185" bestFit="1" customWidth="1"/>
    <col min="92" max="92" width="10.7109375" style="186"/>
    <col min="93" max="93" width="10.7109375" style="185"/>
    <col min="94" max="94" width="10.7109375" style="186"/>
    <col min="95" max="95" width="10.7109375" style="187"/>
    <col min="96" max="97" width="10.7109375" style="186"/>
    <col min="98" max="98" width="10.7109375" style="187"/>
    <col min="99" max="99" width="10.7109375" style="186"/>
    <col min="100" max="101" width="10.7109375" style="187"/>
    <col min="102" max="102" width="12.5703125" style="187" bestFit="1" customWidth="1"/>
    <col min="103" max="103" width="10.7109375" style="187"/>
    <col min="104" max="104" width="10.7109375" style="184"/>
    <col min="105" max="105" width="16.42578125" style="185" bestFit="1" customWidth="1"/>
    <col min="106" max="106" width="10.7109375" style="186"/>
    <col min="107" max="107" width="10.7109375" style="185"/>
    <col min="108" max="108" width="10.7109375" style="186"/>
    <col min="109" max="109" width="10.7109375" style="187"/>
    <col min="110" max="111" width="10.7109375" style="186"/>
    <col min="112" max="112" width="10.7109375" style="187"/>
    <col min="113" max="113" width="10.7109375" style="186"/>
    <col min="114" max="115" width="10.7109375" style="187"/>
    <col min="116" max="116" width="12.5703125" style="187" bestFit="1" customWidth="1"/>
    <col min="117" max="117" width="10.7109375" style="187"/>
    <col min="118" max="118" width="10.7109375" style="184"/>
    <col min="119" max="119" width="16.42578125" style="185" bestFit="1" customWidth="1"/>
    <col min="120" max="120" width="10.7109375" style="186"/>
    <col min="121" max="121" width="10.7109375" style="185"/>
    <col min="122" max="122" width="10.7109375" style="186"/>
    <col min="123" max="123" width="10.7109375" style="187"/>
    <col min="124" max="125" width="10.7109375" style="186"/>
    <col min="126" max="126" width="10.7109375" style="187"/>
    <col min="127" max="127" width="10.7109375" style="186"/>
    <col min="128" max="129" width="10.7109375" style="187"/>
    <col min="130" max="130" width="12.5703125" style="187" bestFit="1" customWidth="1"/>
    <col min="131" max="131" width="10.7109375" style="187"/>
    <col min="132" max="132" width="10.7109375" style="184"/>
    <col min="133" max="133" width="16.42578125" style="185" bestFit="1" customWidth="1"/>
    <col min="134" max="134" width="10.7109375" style="186"/>
    <col min="135" max="135" width="10.7109375" style="185"/>
    <col min="136" max="136" width="10.7109375" style="186"/>
    <col min="137" max="137" width="10.7109375" style="187"/>
    <col min="138" max="139" width="10.7109375" style="186"/>
    <col min="140" max="140" width="10.7109375" style="187"/>
    <col min="141" max="141" width="10.7109375" style="186"/>
    <col min="142" max="143" width="10.7109375" style="187"/>
    <col min="144" max="144" width="12.5703125" style="187" bestFit="1" customWidth="1"/>
    <col min="145" max="145" width="10.7109375" style="187"/>
    <col min="146" max="146" width="10.7109375" style="184"/>
    <col min="147" max="147" width="16.42578125" style="185" bestFit="1" customWidth="1"/>
    <col min="148" max="148" width="10.7109375" style="186"/>
    <col min="149" max="149" width="10.7109375" style="185"/>
    <col min="150" max="150" width="10.7109375" style="186"/>
    <col min="151" max="151" width="10.7109375" style="187"/>
    <col min="152" max="153" width="10.7109375" style="186"/>
    <col min="154" max="154" width="10.7109375" style="187"/>
    <col min="155" max="155" width="10.7109375" style="186"/>
    <col min="156" max="157" width="10.7109375" style="187"/>
    <col min="158" max="158" width="12.5703125" style="187" bestFit="1" customWidth="1"/>
    <col min="159" max="159" width="10.7109375" style="187"/>
    <col min="160" max="16384" width="10.7109375" style="184"/>
  </cols>
  <sheetData>
    <row r="1" spans="2:159" s="186" customFormat="1" ht="15" thickBot="1" x14ac:dyDescent="0.25"/>
    <row r="2" spans="2:159" ht="20" thickBot="1" x14ac:dyDescent="0.3">
      <c r="B2" s="222" t="s">
        <v>137</v>
      </c>
      <c r="C2" s="223" t="s">
        <v>242</v>
      </c>
      <c r="S2" s="218" t="s">
        <v>130</v>
      </c>
      <c r="T2" s="216"/>
      <c r="U2" s="343" t="s">
        <v>139</v>
      </c>
      <c r="V2" s="344"/>
      <c r="W2" s="344"/>
      <c r="X2" s="344"/>
      <c r="Y2" s="344"/>
      <c r="Z2" s="344"/>
      <c r="AA2" s="344"/>
      <c r="AB2" s="344"/>
      <c r="AC2" s="344"/>
      <c r="AD2" s="344"/>
      <c r="AE2" s="344"/>
      <c r="AF2" s="344"/>
      <c r="AG2" s="345"/>
      <c r="AH2" s="206"/>
      <c r="AI2" s="343" t="s">
        <v>140</v>
      </c>
      <c r="AJ2" s="344"/>
      <c r="AK2" s="344"/>
      <c r="AL2" s="344"/>
      <c r="AM2" s="344"/>
      <c r="AN2" s="344"/>
      <c r="AO2" s="344"/>
      <c r="AP2" s="344"/>
      <c r="AQ2" s="344"/>
      <c r="AR2" s="344"/>
      <c r="AS2" s="344"/>
      <c r="AT2" s="344"/>
      <c r="AU2" s="345"/>
      <c r="AW2" s="343" t="s">
        <v>141</v>
      </c>
      <c r="AX2" s="344"/>
      <c r="AY2" s="344"/>
      <c r="AZ2" s="344"/>
      <c r="BA2" s="344"/>
      <c r="BB2" s="344"/>
      <c r="BC2" s="344"/>
      <c r="BD2" s="344"/>
      <c r="BE2" s="344"/>
      <c r="BF2" s="344"/>
      <c r="BG2" s="344"/>
      <c r="BH2" s="344"/>
      <c r="BI2" s="345"/>
      <c r="BK2" s="343" t="s">
        <v>243</v>
      </c>
      <c r="BL2" s="344"/>
      <c r="BM2" s="344"/>
      <c r="BN2" s="344"/>
      <c r="BO2" s="344"/>
      <c r="BP2" s="344"/>
      <c r="BQ2" s="344"/>
      <c r="BR2" s="344"/>
      <c r="BS2" s="344"/>
      <c r="BT2" s="344"/>
      <c r="BU2" s="344"/>
      <c r="BV2" s="344"/>
      <c r="BW2" s="345"/>
      <c r="BY2" s="343" t="s">
        <v>131</v>
      </c>
      <c r="BZ2" s="344"/>
      <c r="CA2" s="344"/>
      <c r="CB2" s="344"/>
      <c r="CC2" s="344"/>
      <c r="CD2" s="344"/>
      <c r="CE2" s="344"/>
      <c r="CF2" s="344"/>
      <c r="CG2" s="344"/>
      <c r="CH2" s="344"/>
      <c r="CI2" s="344"/>
      <c r="CJ2" s="344"/>
      <c r="CK2" s="345"/>
      <c r="CM2" s="346" t="s">
        <v>132</v>
      </c>
      <c r="CN2" s="347"/>
      <c r="CO2" s="347"/>
      <c r="CP2" s="347"/>
      <c r="CQ2" s="347"/>
      <c r="CR2" s="347"/>
      <c r="CS2" s="347"/>
      <c r="CT2" s="347"/>
      <c r="CU2" s="347"/>
      <c r="CV2" s="347"/>
      <c r="CW2" s="347"/>
      <c r="CX2" s="347"/>
      <c r="CY2" s="348"/>
      <c r="DA2" s="346" t="s">
        <v>133</v>
      </c>
      <c r="DB2" s="347"/>
      <c r="DC2" s="347"/>
      <c r="DD2" s="347"/>
      <c r="DE2" s="347"/>
      <c r="DF2" s="347"/>
      <c r="DG2" s="347"/>
      <c r="DH2" s="347"/>
      <c r="DI2" s="347"/>
      <c r="DJ2" s="347"/>
      <c r="DK2" s="347"/>
      <c r="DL2" s="347"/>
      <c r="DM2" s="348"/>
      <c r="DO2" s="346" t="s">
        <v>134</v>
      </c>
      <c r="DP2" s="347"/>
      <c r="DQ2" s="347"/>
      <c r="DR2" s="347"/>
      <c r="DS2" s="347"/>
      <c r="DT2" s="347"/>
      <c r="DU2" s="347"/>
      <c r="DV2" s="347"/>
      <c r="DW2" s="347"/>
      <c r="DX2" s="347"/>
      <c r="DY2" s="347"/>
      <c r="DZ2" s="347"/>
      <c r="EA2" s="348"/>
      <c r="EC2" s="346" t="s">
        <v>135</v>
      </c>
      <c r="ED2" s="347"/>
      <c r="EE2" s="347"/>
      <c r="EF2" s="347"/>
      <c r="EG2" s="347"/>
      <c r="EH2" s="347"/>
      <c r="EI2" s="347"/>
      <c r="EJ2" s="347"/>
      <c r="EK2" s="347"/>
      <c r="EL2" s="347"/>
      <c r="EM2" s="347"/>
      <c r="EN2" s="347"/>
      <c r="EO2" s="348"/>
      <c r="EQ2" s="346" t="s">
        <v>136</v>
      </c>
      <c r="ER2" s="347"/>
      <c r="ES2" s="347"/>
      <c r="ET2" s="347"/>
      <c r="EU2" s="347"/>
      <c r="EV2" s="347"/>
      <c r="EW2" s="347"/>
      <c r="EX2" s="347"/>
      <c r="EY2" s="347"/>
      <c r="EZ2" s="347"/>
      <c r="FA2" s="347"/>
      <c r="FB2" s="347"/>
      <c r="FC2" s="348"/>
    </row>
    <row r="3" spans="2:159" x14ac:dyDescent="0.2">
      <c r="R3" s="226">
        <v>1</v>
      </c>
      <c r="S3" s="221" t="s">
        <v>110</v>
      </c>
      <c r="T3" s="216"/>
      <c r="U3" s="213"/>
      <c r="V3" s="215"/>
      <c r="W3" s="213"/>
      <c r="X3" s="214" t="s">
        <v>116</v>
      </c>
      <c r="Y3" s="214"/>
      <c r="Z3" s="213"/>
      <c r="AA3" s="214" t="s">
        <v>117</v>
      </c>
      <c r="AB3" s="215"/>
      <c r="AC3" s="214"/>
      <c r="AD3" s="214"/>
      <c r="AE3" s="340" t="s">
        <v>129</v>
      </c>
      <c r="AF3" s="341"/>
      <c r="AG3" s="342"/>
      <c r="AI3" s="213"/>
      <c r="AJ3" s="215"/>
      <c r="AK3" s="213"/>
      <c r="AL3" s="214" t="s">
        <v>116</v>
      </c>
      <c r="AM3" s="214"/>
      <c r="AN3" s="213"/>
      <c r="AO3" s="214" t="s">
        <v>117</v>
      </c>
      <c r="AP3" s="215"/>
      <c r="AQ3" s="214"/>
      <c r="AR3" s="214"/>
      <c r="AS3" s="340" t="s">
        <v>129</v>
      </c>
      <c r="AT3" s="341"/>
      <c r="AU3" s="342"/>
      <c r="AW3" s="213"/>
      <c r="AX3" s="215"/>
      <c r="AY3" s="213"/>
      <c r="AZ3" s="214" t="s">
        <v>116</v>
      </c>
      <c r="BA3" s="214"/>
      <c r="BB3" s="213"/>
      <c r="BC3" s="214" t="s">
        <v>117</v>
      </c>
      <c r="BD3" s="215"/>
      <c r="BE3" s="214"/>
      <c r="BF3" s="214"/>
      <c r="BG3" s="340" t="s">
        <v>129</v>
      </c>
      <c r="BH3" s="341"/>
      <c r="BI3" s="342"/>
      <c r="BK3" s="213"/>
      <c r="BL3" s="215"/>
      <c r="BM3" s="213"/>
      <c r="BN3" s="214" t="s">
        <v>116</v>
      </c>
      <c r="BO3" s="214"/>
      <c r="BP3" s="213"/>
      <c r="BQ3" s="214" t="s">
        <v>117</v>
      </c>
      <c r="BR3" s="215"/>
      <c r="BS3" s="214"/>
      <c r="BT3" s="214"/>
      <c r="BU3" s="340" t="s">
        <v>129</v>
      </c>
      <c r="BV3" s="341"/>
      <c r="BW3" s="342"/>
      <c r="BY3" s="213"/>
      <c r="BZ3" s="215"/>
      <c r="CA3" s="213"/>
      <c r="CB3" s="214" t="s">
        <v>116</v>
      </c>
      <c r="CC3" s="214"/>
      <c r="CD3" s="213"/>
      <c r="CE3" s="214" t="s">
        <v>117</v>
      </c>
      <c r="CF3" s="215"/>
      <c r="CG3" s="214"/>
      <c r="CH3" s="214"/>
      <c r="CI3" s="340" t="s">
        <v>129</v>
      </c>
      <c r="CJ3" s="341"/>
      <c r="CK3" s="342"/>
      <c r="CM3" s="213"/>
      <c r="CN3" s="215"/>
      <c r="CO3" s="213"/>
      <c r="CP3" s="214" t="s">
        <v>116</v>
      </c>
      <c r="CQ3" s="214"/>
      <c r="CR3" s="213"/>
      <c r="CS3" s="214" t="s">
        <v>117</v>
      </c>
      <c r="CT3" s="215"/>
      <c r="CU3" s="214"/>
      <c r="CV3" s="214"/>
      <c r="CW3" s="340" t="s">
        <v>129</v>
      </c>
      <c r="CX3" s="341"/>
      <c r="CY3" s="342"/>
      <c r="DA3" s="213"/>
      <c r="DB3" s="215"/>
      <c r="DC3" s="213"/>
      <c r="DD3" s="214" t="s">
        <v>116</v>
      </c>
      <c r="DE3" s="214"/>
      <c r="DF3" s="213"/>
      <c r="DG3" s="214" t="s">
        <v>117</v>
      </c>
      <c r="DH3" s="215"/>
      <c r="DI3" s="214"/>
      <c r="DJ3" s="214"/>
      <c r="DK3" s="340" t="s">
        <v>129</v>
      </c>
      <c r="DL3" s="341"/>
      <c r="DM3" s="342"/>
      <c r="DO3" s="213"/>
      <c r="DP3" s="215"/>
      <c r="DQ3" s="213"/>
      <c r="DR3" s="214" t="s">
        <v>116</v>
      </c>
      <c r="DS3" s="214"/>
      <c r="DT3" s="213"/>
      <c r="DU3" s="214" t="s">
        <v>117</v>
      </c>
      <c r="DV3" s="215"/>
      <c r="DW3" s="214"/>
      <c r="DX3" s="214"/>
      <c r="DY3" s="340" t="s">
        <v>129</v>
      </c>
      <c r="DZ3" s="341"/>
      <c r="EA3" s="342"/>
      <c r="EC3" s="213"/>
      <c r="ED3" s="215"/>
      <c r="EE3" s="213"/>
      <c r="EF3" s="214" t="s">
        <v>116</v>
      </c>
      <c r="EG3" s="214"/>
      <c r="EH3" s="213"/>
      <c r="EI3" s="214" t="s">
        <v>117</v>
      </c>
      <c r="EJ3" s="215"/>
      <c r="EK3" s="214"/>
      <c r="EL3" s="214"/>
      <c r="EM3" s="340" t="s">
        <v>129</v>
      </c>
      <c r="EN3" s="341"/>
      <c r="EO3" s="342"/>
      <c r="EQ3" s="213"/>
      <c r="ER3" s="215"/>
      <c r="ES3" s="213"/>
      <c r="ET3" s="214" t="s">
        <v>116</v>
      </c>
      <c r="EU3" s="214"/>
      <c r="EV3" s="213"/>
      <c r="EW3" s="214" t="s">
        <v>117</v>
      </c>
      <c r="EX3" s="215"/>
      <c r="EY3" s="214"/>
      <c r="EZ3" s="214"/>
      <c r="FA3" s="340" t="s">
        <v>129</v>
      </c>
      <c r="FB3" s="341"/>
      <c r="FC3" s="342"/>
    </row>
    <row r="4" spans="2:159" x14ac:dyDescent="0.2">
      <c r="R4" s="226">
        <v>2</v>
      </c>
      <c r="S4" s="219" t="s">
        <v>111</v>
      </c>
      <c r="T4" s="216"/>
      <c r="U4" s="211" t="s">
        <v>118</v>
      </c>
      <c r="V4" s="210" t="s">
        <v>119</v>
      </c>
      <c r="W4" s="207" t="s">
        <v>14</v>
      </c>
      <c r="X4" s="208" t="s">
        <v>120</v>
      </c>
      <c r="Y4" s="209" t="s">
        <v>16</v>
      </c>
      <c r="Z4" s="208" t="s">
        <v>14</v>
      </c>
      <c r="AA4" s="208" t="s">
        <v>15</v>
      </c>
      <c r="AB4" s="209" t="s">
        <v>16</v>
      </c>
      <c r="AC4" s="208" t="s">
        <v>121</v>
      </c>
      <c r="AD4" s="209" t="s">
        <v>122</v>
      </c>
      <c r="AE4" s="212" t="s">
        <v>127</v>
      </c>
      <c r="AF4" s="209" t="s">
        <v>128</v>
      </c>
      <c r="AG4" s="209" t="s">
        <v>9</v>
      </c>
      <c r="AI4" s="211" t="s">
        <v>118</v>
      </c>
      <c r="AJ4" s="210" t="s">
        <v>119</v>
      </c>
      <c r="AK4" s="207" t="s">
        <v>14</v>
      </c>
      <c r="AL4" s="208" t="s">
        <v>120</v>
      </c>
      <c r="AM4" s="209" t="s">
        <v>16</v>
      </c>
      <c r="AN4" s="208" t="s">
        <v>14</v>
      </c>
      <c r="AO4" s="208" t="s">
        <v>15</v>
      </c>
      <c r="AP4" s="209" t="s">
        <v>16</v>
      </c>
      <c r="AQ4" s="208" t="s">
        <v>121</v>
      </c>
      <c r="AR4" s="209" t="s">
        <v>122</v>
      </c>
      <c r="AS4" s="212" t="s">
        <v>127</v>
      </c>
      <c r="AT4" s="209" t="s">
        <v>128</v>
      </c>
      <c r="AU4" s="209" t="s">
        <v>9</v>
      </c>
      <c r="AW4" s="211" t="s">
        <v>118</v>
      </c>
      <c r="AX4" s="210" t="s">
        <v>119</v>
      </c>
      <c r="AY4" s="207" t="s">
        <v>14</v>
      </c>
      <c r="AZ4" s="208" t="s">
        <v>120</v>
      </c>
      <c r="BA4" s="209" t="s">
        <v>16</v>
      </c>
      <c r="BB4" s="208" t="s">
        <v>14</v>
      </c>
      <c r="BC4" s="208" t="s">
        <v>15</v>
      </c>
      <c r="BD4" s="209" t="s">
        <v>16</v>
      </c>
      <c r="BE4" s="208" t="s">
        <v>121</v>
      </c>
      <c r="BF4" s="209" t="s">
        <v>122</v>
      </c>
      <c r="BG4" s="212" t="s">
        <v>127</v>
      </c>
      <c r="BH4" s="209" t="s">
        <v>128</v>
      </c>
      <c r="BI4" s="209" t="s">
        <v>9</v>
      </c>
      <c r="BK4" s="211" t="s">
        <v>118</v>
      </c>
      <c r="BL4" s="210" t="s">
        <v>119</v>
      </c>
      <c r="BM4" s="207" t="s">
        <v>14</v>
      </c>
      <c r="BN4" s="208" t="s">
        <v>120</v>
      </c>
      <c r="BO4" s="209" t="s">
        <v>16</v>
      </c>
      <c r="BP4" s="208" t="s">
        <v>14</v>
      </c>
      <c r="BQ4" s="208" t="s">
        <v>15</v>
      </c>
      <c r="BR4" s="209" t="s">
        <v>16</v>
      </c>
      <c r="BS4" s="208" t="s">
        <v>121</v>
      </c>
      <c r="BT4" s="209" t="s">
        <v>122</v>
      </c>
      <c r="BU4" s="212" t="s">
        <v>127</v>
      </c>
      <c r="BV4" s="209" t="s">
        <v>128</v>
      </c>
      <c r="BW4" s="209" t="s">
        <v>9</v>
      </c>
      <c r="BY4" s="211" t="s">
        <v>118</v>
      </c>
      <c r="BZ4" s="210" t="s">
        <v>119</v>
      </c>
      <c r="CA4" s="207" t="s">
        <v>14</v>
      </c>
      <c r="CB4" s="208" t="s">
        <v>120</v>
      </c>
      <c r="CC4" s="209" t="s">
        <v>16</v>
      </c>
      <c r="CD4" s="208" t="s">
        <v>14</v>
      </c>
      <c r="CE4" s="208" t="s">
        <v>15</v>
      </c>
      <c r="CF4" s="209" t="s">
        <v>16</v>
      </c>
      <c r="CG4" s="208" t="s">
        <v>121</v>
      </c>
      <c r="CH4" s="209" t="s">
        <v>122</v>
      </c>
      <c r="CI4" s="212" t="s">
        <v>127</v>
      </c>
      <c r="CJ4" s="209" t="s">
        <v>128</v>
      </c>
      <c r="CK4" s="209" t="s">
        <v>9</v>
      </c>
      <c r="CM4" s="211" t="s">
        <v>118</v>
      </c>
      <c r="CN4" s="210" t="s">
        <v>119</v>
      </c>
      <c r="CO4" s="207" t="s">
        <v>14</v>
      </c>
      <c r="CP4" s="208" t="s">
        <v>120</v>
      </c>
      <c r="CQ4" s="209" t="s">
        <v>16</v>
      </c>
      <c r="CR4" s="208" t="s">
        <v>14</v>
      </c>
      <c r="CS4" s="208" t="s">
        <v>15</v>
      </c>
      <c r="CT4" s="209" t="s">
        <v>16</v>
      </c>
      <c r="CU4" s="208" t="s">
        <v>121</v>
      </c>
      <c r="CV4" s="209" t="s">
        <v>122</v>
      </c>
      <c r="CW4" s="212" t="s">
        <v>127</v>
      </c>
      <c r="CX4" s="209" t="s">
        <v>128</v>
      </c>
      <c r="CY4" s="209" t="s">
        <v>9</v>
      </c>
      <c r="DA4" s="211" t="s">
        <v>118</v>
      </c>
      <c r="DB4" s="210" t="s">
        <v>119</v>
      </c>
      <c r="DC4" s="207" t="s">
        <v>14</v>
      </c>
      <c r="DD4" s="208" t="s">
        <v>120</v>
      </c>
      <c r="DE4" s="209" t="s">
        <v>16</v>
      </c>
      <c r="DF4" s="208" t="s">
        <v>14</v>
      </c>
      <c r="DG4" s="208" t="s">
        <v>15</v>
      </c>
      <c r="DH4" s="209" t="s">
        <v>16</v>
      </c>
      <c r="DI4" s="208" t="s">
        <v>121</v>
      </c>
      <c r="DJ4" s="209" t="s">
        <v>122</v>
      </c>
      <c r="DK4" s="212" t="s">
        <v>127</v>
      </c>
      <c r="DL4" s="209" t="s">
        <v>128</v>
      </c>
      <c r="DM4" s="209" t="s">
        <v>9</v>
      </c>
      <c r="DO4" s="211" t="s">
        <v>118</v>
      </c>
      <c r="DP4" s="210" t="s">
        <v>119</v>
      </c>
      <c r="DQ4" s="207" t="s">
        <v>14</v>
      </c>
      <c r="DR4" s="208" t="s">
        <v>120</v>
      </c>
      <c r="DS4" s="209" t="s">
        <v>16</v>
      </c>
      <c r="DT4" s="208" t="s">
        <v>14</v>
      </c>
      <c r="DU4" s="208" t="s">
        <v>15</v>
      </c>
      <c r="DV4" s="209" t="s">
        <v>16</v>
      </c>
      <c r="DW4" s="208" t="s">
        <v>121</v>
      </c>
      <c r="DX4" s="209" t="s">
        <v>122</v>
      </c>
      <c r="DY4" s="212" t="s">
        <v>127</v>
      </c>
      <c r="DZ4" s="209" t="s">
        <v>128</v>
      </c>
      <c r="EA4" s="209" t="s">
        <v>9</v>
      </c>
      <c r="EC4" s="211" t="s">
        <v>118</v>
      </c>
      <c r="ED4" s="210" t="s">
        <v>119</v>
      </c>
      <c r="EE4" s="207" t="s">
        <v>14</v>
      </c>
      <c r="EF4" s="208" t="s">
        <v>120</v>
      </c>
      <c r="EG4" s="209" t="s">
        <v>16</v>
      </c>
      <c r="EH4" s="208" t="s">
        <v>14</v>
      </c>
      <c r="EI4" s="208" t="s">
        <v>15</v>
      </c>
      <c r="EJ4" s="209" t="s">
        <v>16</v>
      </c>
      <c r="EK4" s="208" t="s">
        <v>121</v>
      </c>
      <c r="EL4" s="209" t="s">
        <v>122</v>
      </c>
      <c r="EM4" s="212" t="s">
        <v>127</v>
      </c>
      <c r="EN4" s="209" t="s">
        <v>128</v>
      </c>
      <c r="EO4" s="209" t="s">
        <v>9</v>
      </c>
      <c r="EQ4" s="211" t="s">
        <v>118</v>
      </c>
      <c r="ER4" s="210" t="s">
        <v>119</v>
      </c>
      <c r="ES4" s="207" t="s">
        <v>14</v>
      </c>
      <c r="ET4" s="208" t="s">
        <v>120</v>
      </c>
      <c r="EU4" s="209" t="s">
        <v>16</v>
      </c>
      <c r="EV4" s="208" t="s">
        <v>14</v>
      </c>
      <c r="EW4" s="208" t="s">
        <v>15</v>
      </c>
      <c r="EX4" s="209" t="s">
        <v>16</v>
      </c>
      <c r="EY4" s="208" t="s">
        <v>121</v>
      </c>
      <c r="EZ4" s="209" t="s">
        <v>122</v>
      </c>
      <c r="FA4" s="212" t="s">
        <v>127</v>
      </c>
      <c r="FB4" s="209" t="s">
        <v>128</v>
      </c>
      <c r="FC4" s="209" t="s">
        <v>9</v>
      </c>
    </row>
    <row r="5" spans="2:159" x14ac:dyDescent="0.2">
      <c r="R5" s="226">
        <v>3</v>
      </c>
      <c r="S5" s="219" t="s">
        <v>112</v>
      </c>
      <c r="T5" s="216"/>
      <c r="U5" s="217" t="s">
        <v>138</v>
      </c>
      <c r="V5" s="186" t="s">
        <v>2</v>
      </c>
      <c r="Z5" s="224">
        <v>1.8474960433548382</v>
      </c>
      <c r="AA5" s="224">
        <v>5.7455096732903215</v>
      </c>
      <c r="AB5" s="225">
        <v>15.715939915974195</v>
      </c>
      <c r="AE5" s="187">
        <v>9.765625E-4</v>
      </c>
      <c r="AF5" s="187">
        <v>9.765625E-4</v>
      </c>
      <c r="AG5" s="187">
        <v>0.3776200703999999</v>
      </c>
      <c r="AI5" s="217" t="s">
        <v>138</v>
      </c>
      <c r="AJ5" s="186" t="s">
        <v>2</v>
      </c>
      <c r="AN5" s="224">
        <v>4.575604551019353</v>
      </c>
      <c r="AO5" s="224">
        <v>12.76630578605419</v>
      </c>
      <c r="AP5" s="225">
        <v>31.905270116748387</v>
      </c>
      <c r="AS5" s="187">
        <v>9.765625E-4</v>
      </c>
      <c r="AT5" s="187">
        <v>9.765625E-4</v>
      </c>
      <c r="AU5" s="187">
        <v>1.6516756486606448</v>
      </c>
      <c r="AW5" s="217" t="s">
        <v>138</v>
      </c>
      <c r="AX5" s="186" t="s">
        <v>87</v>
      </c>
      <c r="BB5" s="186">
        <v>6520.4</v>
      </c>
      <c r="BC5" s="186">
        <v>11200.8</v>
      </c>
      <c r="BD5" s="187">
        <v>18880.8</v>
      </c>
      <c r="BG5" s="187">
        <v>9.765625E-4</v>
      </c>
      <c r="BH5" s="187">
        <v>9.765625E-4</v>
      </c>
      <c r="BI5" s="187">
        <v>3120.4</v>
      </c>
      <c r="BK5" s="217" t="s">
        <v>138</v>
      </c>
      <c r="BL5" s="186" t="s">
        <v>2</v>
      </c>
      <c r="BP5" s="186">
        <v>6.01398451612903</v>
      </c>
      <c r="BQ5" s="186">
        <v>18.702830967741932</v>
      </c>
      <c r="BR5" s="187">
        <v>51.158658580645159</v>
      </c>
      <c r="BU5" s="187">
        <v>9.765625E-4</v>
      </c>
      <c r="BV5" s="187">
        <v>9.765625E-4</v>
      </c>
      <c r="BW5" s="187">
        <v>1.2292319999999997</v>
      </c>
      <c r="BY5" s="217" t="s">
        <v>126</v>
      </c>
      <c r="CM5" s="217" t="s">
        <v>126</v>
      </c>
      <c r="DA5" s="217" t="s">
        <v>126</v>
      </c>
      <c r="DO5" s="217" t="s">
        <v>126</v>
      </c>
      <c r="EC5" s="217" t="s">
        <v>126</v>
      </c>
      <c r="EQ5" s="217" t="s">
        <v>126</v>
      </c>
    </row>
    <row r="6" spans="2:159" x14ac:dyDescent="0.2">
      <c r="R6" s="226">
        <v>4</v>
      </c>
      <c r="S6" s="219" t="s">
        <v>242</v>
      </c>
      <c r="T6" s="216"/>
      <c r="U6" s="185" t="s">
        <v>154</v>
      </c>
      <c r="V6" s="186" t="s">
        <v>155</v>
      </c>
      <c r="W6" s="185">
        <v>1</v>
      </c>
      <c r="X6" s="186">
        <v>2</v>
      </c>
      <c r="Y6" s="187">
        <v>4</v>
      </c>
      <c r="Z6" s="186">
        <v>6.4460184278709676</v>
      </c>
      <c r="AA6" s="186">
        <v>6.4460184278709676</v>
      </c>
      <c r="AB6" s="187">
        <v>6.4460184278709676</v>
      </c>
      <c r="AC6" s="186">
        <v>0</v>
      </c>
      <c r="AD6" s="187">
        <v>0</v>
      </c>
      <c r="AE6" s="187">
        <v>1.953125E-3</v>
      </c>
      <c r="AF6" s="187">
        <v>2.9296875E-3</v>
      </c>
      <c r="AG6" s="187">
        <v>0.52379558152258054</v>
      </c>
      <c r="AI6" s="185" t="s">
        <v>96</v>
      </c>
      <c r="AJ6" s="186" t="s">
        <v>19</v>
      </c>
      <c r="AK6" s="185">
        <v>0.15</v>
      </c>
      <c r="AL6" s="186">
        <v>0.16</v>
      </c>
      <c r="AM6" s="187">
        <v>0.2</v>
      </c>
      <c r="AN6" s="186">
        <v>12.652251400258065</v>
      </c>
      <c r="AO6" s="186">
        <v>12.652251400258065</v>
      </c>
      <c r="AP6" s="187">
        <v>12.652251400258065</v>
      </c>
      <c r="AQ6" s="186">
        <v>0</v>
      </c>
      <c r="AR6" s="187">
        <v>0</v>
      </c>
      <c r="AS6" s="187">
        <v>1.953125E-3</v>
      </c>
      <c r="AT6" s="187">
        <v>2.9296875E-3</v>
      </c>
      <c r="AU6" s="187">
        <v>1.8278913004180639</v>
      </c>
      <c r="AW6" s="185" t="s">
        <v>69</v>
      </c>
      <c r="AX6" s="186" t="s">
        <v>19</v>
      </c>
      <c r="AY6" s="185">
        <v>0.06</v>
      </c>
      <c r="AZ6" s="186">
        <v>0.1</v>
      </c>
      <c r="BA6" s="187">
        <v>0.15</v>
      </c>
      <c r="BB6" s="186">
        <v>11200.8</v>
      </c>
      <c r="BC6" s="186">
        <v>11200.8</v>
      </c>
      <c r="BD6" s="187">
        <v>11200.8</v>
      </c>
      <c r="BE6" s="186">
        <v>0</v>
      </c>
      <c r="BF6" s="187">
        <v>0</v>
      </c>
      <c r="BG6" s="187">
        <v>1.953125E-3</v>
      </c>
      <c r="BH6" s="187">
        <v>2.9296875E-3</v>
      </c>
      <c r="BI6" s="187">
        <v>3600.4</v>
      </c>
      <c r="BK6" s="185" t="s">
        <v>154</v>
      </c>
      <c r="BL6" s="186" t="s">
        <v>155</v>
      </c>
      <c r="BM6" s="185">
        <v>1</v>
      </c>
      <c r="BN6" s="186">
        <v>2</v>
      </c>
      <c r="BO6" s="187">
        <v>4</v>
      </c>
      <c r="BP6" s="186">
        <v>20.983132903225805</v>
      </c>
      <c r="BQ6" s="186">
        <v>20.983132903225805</v>
      </c>
      <c r="BR6" s="187">
        <v>20.983132903225805</v>
      </c>
      <c r="BS6" s="186">
        <v>0</v>
      </c>
      <c r="BT6" s="187">
        <v>0</v>
      </c>
      <c r="BU6" s="187">
        <v>1.953125E-3</v>
      </c>
      <c r="BV6" s="187">
        <v>2.9296875E-3</v>
      </c>
      <c r="BW6" s="187">
        <v>1.7050637419354835</v>
      </c>
    </row>
    <row r="7" spans="2:159" x14ac:dyDescent="0.2">
      <c r="R7" s="226">
        <v>5</v>
      </c>
      <c r="S7" s="219" t="str">
        <f t="shared" ref="S7:S12" si="0">"--Not Used--"</f>
        <v>--Not Used--</v>
      </c>
      <c r="T7" s="216"/>
      <c r="U7" s="185" t="s">
        <v>96</v>
      </c>
      <c r="V7" s="186" t="s">
        <v>19</v>
      </c>
      <c r="W7" s="185">
        <v>0.15</v>
      </c>
      <c r="X7" s="186">
        <v>0.16</v>
      </c>
      <c r="Y7" s="187">
        <v>0.2</v>
      </c>
      <c r="Z7" s="186">
        <v>6.4269886761290316</v>
      </c>
      <c r="AA7" s="186">
        <v>6.4460184278709676</v>
      </c>
      <c r="AB7" s="187">
        <v>6.5221374348387089</v>
      </c>
      <c r="AC7" s="186">
        <v>9.5148758709677317E-2</v>
      </c>
      <c r="AD7" s="187">
        <v>9.0532862839923945E-3</v>
      </c>
      <c r="AE7" s="187">
        <v>1.953125E-3</v>
      </c>
      <c r="AF7" s="187">
        <v>4.8828125E-3</v>
      </c>
      <c r="AG7" s="187">
        <v>0.52379558152258054</v>
      </c>
      <c r="AI7" s="185" t="s">
        <v>94</v>
      </c>
      <c r="AJ7" s="186" t="s">
        <v>19</v>
      </c>
      <c r="AK7" s="185">
        <v>0.01</v>
      </c>
      <c r="AL7" s="186">
        <v>0.02</v>
      </c>
      <c r="AM7" s="187">
        <v>2.5000000000000001E-2</v>
      </c>
      <c r="AN7" s="186">
        <v>12.652251400258065</v>
      </c>
      <c r="AO7" s="186">
        <v>12.652251400258065</v>
      </c>
      <c r="AP7" s="187">
        <v>12.652251400258065</v>
      </c>
      <c r="AQ7" s="186">
        <v>0</v>
      </c>
      <c r="AR7" s="187">
        <v>0</v>
      </c>
      <c r="AS7" s="187">
        <v>1.953125E-3</v>
      </c>
      <c r="AT7" s="187">
        <v>4.8828125E-3</v>
      </c>
      <c r="AU7" s="187">
        <v>2.0432426783380637</v>
      </c>
      <c r="AW7" s="185" t="s">
        <v>71</v>
      </c>
      <c r="AX7" s="186" t="s">
        <v>19</v>
      </c>
      <c r="AY7" s="185">
        <v>0.2</v>
      </c>
      <c r="AZ7" s="186">
        <v>0.3</v>
      </c>
      <c r="BA7" s="187">
        <v>0.5</v>
      </c>
      <c r="BB7" s="186">
        <v>11200.8</v>
      </c>
      <c r="BC7" s="186">
        <v>11200.8</v>
      </c>
      <c r="BD7" s="187">
        <v>11200.8</v>
      </c>
      <c r="BE7" s="186">
        <v>0</v>
      </c>
      <c r="BF7" s="187">
        <v>0</v>
      </c>
      <c r="BG7" s="187">
        <v>1.953125E-3</v>
      </c>
      <c r="BH7" s="187">
        <v>4.8828125E-3</v>
      </c>
      <c r="BI7" s="187">
        <v>3600.4</v>
      </c>
      <c r="BK7" s="185" t="s">
        <v>96</v>
      </c>
      <c r="BL7" s="186" t="s">
        <v>19</v>
      </c>
      <c r="BM7" s="185">
        <v>0.15</v>
      </c>
      <c r="BN7" s="186">
        <v>0.16</v>
      </c>
      <c r="BO7" s="187">
        <v>0.2</v>
      </c>
      <c r="BP7" s="186">
        <v>20.92118709677419</v>
      </c>
      <c r="BQ7" s="186">
        <v>20.983132903225805</v>
      </c>
      <c r="BR7" s="187">
        <v>21.230916129032252</v>
      </c>
      <c r="BS7" s="186">
        <v>0.30972903225806192</v>
      </c>
      <c r="BT7" s="187">
        <v>9.5932073423515563E-2</v>
      </c>
      <c r="BU7" s="187">
        <v>1.953125E-3</v>
      </c>
      <c r="BV7" s="187">
        <v>4.8828125E-3</v>
      </c>
      <c r="BW7" s="187">
        <v>1.7050637419354835</v>
      </c>
    </row>
    <row r="8" spans="2:159" x14ac:dyDescent="0.2">
      <c r="R8" s="226">
        <v>6</v>
      </c>
      <c r="S8" s="219" t="str">
        <f t="shared" si="0"/>
        <v>--Not Used--</v>
      </c>
      <c r="T8" s="216"/>
      <c r="U8" s="185" t="s">
        <v>47</v>
      </c>
      <c r="V8" s="186" t="s">
        <v>19</v>
      </c>
      <c r="W8" s="185">
        <v>0.5</v>
      </c>
      <c r="X8" s="186">
        <v>0.6</v>
      </c>
      <c r="Y8" s="187">
        <v>0.75</v>
      </c>
      <c r="Z8" s="186">
        <v>6.5221374348387089</v>
      </c>
      <c r="AA8" s="186">
        <v>6.4460184278709676</v>
      </c>
      <c r="AB8" s="187">
        <v>6.3318399174193543</v>
      </c>
      <c r="AC8" s="186">
        <v>-0.19029751741935463</v>
      </c>
      <c r="AD8" s="187">
        <v>3.6213145135969578E-2</v>
      </c>
      <c r="AE8" s="187">
        <v>1.953125E-3</v>
      </c>
      <c r="AF8" s="187">
        <v>6.8359375E-3</v>
      </c>
      <c r="AG8" s="187">
        <v>0.6293667839999999</v>
      </c>
      <c r="AI8" s="185" t="s">
        <v>47</v>
      </c>
      <c r="AJ8" s="186" t="s">
        <v>19</v>
      </c>
      <c r="AK8" s="185">
        <v>0.5</v>
      </c>
      <c r="AL8" s="186">
        <v>0.6</v>
      </c>
      <c r="AM8" s="187">
        <v>0.75</v>
      </c>
      <c r="AN8" s="186">
        <v>12.654000458322582</v>
      </c>
      <c r="AO8" s="186">
        <v>12.652251400258065</v>
      </c>
      <c r="AP8" s="187">
        <v>12.64962781316129</v>
      </c>
      <c r="AQ8" s="186">
        <v>-4.372645161291544E-3</v>
      </c>
      <c r="AR8" s="187">
        <v>1.9120025706566351E-5</v>
      </c>
      <c r="AS8" s="187">
        <v>1.953125E-3</v>
      </c>
      <c r="AT8" s="187">
        <v>6.8359375E-3</v>
      </c>
      <c r="AU8" s="187">
        <v>2.1608106789987089</v>
      </c>
      <c r="AW8" s="185" t="s">
        <v>74</v>
      </c>
      <c r="AX8" s="186" t="s">
        <v>19</v>
      </c>
      <c r="AY8" s="185">
        <v>0.1</v>
      </c>
      <c r="AZ8" s="186">
        <v>0.2</v>
      </c>
      <c r="BA8" s="187">
        <v>0.3</v>
      </c>
      <c r="BB8" s="186">
        <v>11200.8</v>
      </c>
      <c r="BC8" s="186">
        <v>11200.8</v>
      </c>
      <c r="BD8" s="187">
        <v>11200.8</v>
      </c>
      <c r="BE8" s="186">
        <v>0</v>
      </c>
      <c r="BF8" s="187">
        <v>0</v>
      </c>
      <c r="BG8" s="187">
        <v>1.953125E-3</v>
      </c>
      <c r="BH8" s="187">
        <v>6.8359375E-3</v>
      </c>
      <c r="BI8" s="187">
        <v>4120.3999999999996</v>
      </c>
      <c r="BK8" s="185" t="s">
        <v>47</v>
      </c>
      <c r="BL8" s="186" t="s">
        <v>19</v>
      </c>
      <c r="BM8" s="185">
        <v>0.5</v>
      </c>
      <c r="BN8" s="186">
        <v>0.6</v>
      </c>
      <c r="BO8" s="187">
        <v>0.75</v>
      </c>
      <c r="BP8" s="186">
        <v>21.230916129032252</v>
      </c>
      <c r="BQ8" s="186">
        <v>20.983132903225805</v>
      </c>
      <c r="BR8" s="187">
        <v>20.611458064516125</v>
      </c>
      <c r="BS8" s="186">
        <v>-0.61945806451612739</v>
      </c>
      <c r="BT8" s="187">
        <v>0.38372829369406664</v>
      </c>
      <c r="BU8" s="187">
        <v>1.953125E-3</v>
      </c>
      <c r="BV8" s="187">
        <v>6.8359375E-3</v>
      </c>
      <c r="BW8" s="187">
        <v>2.0487199999999994</v>
      </c>
    </row>
    <row r="9" spans="2:159" x14ac:dyDescent="0.2">
      <c r="R9" s="226">
        <v>7</v>
      </c>
      <c r="S9" s="219" t="str">
        <f t="shared" si="0"/>
        <v>--Not Used--</v>
      </c>
      <c r="T9" s="216"/>
      <c r="U9" s="185" t="s">
        <v>94</v>
      </c>
      <c r="V9" s="186" t="s">
        <v>19</v>
      </c>
      <c r="W9" s="185">
        <v>0.01</v>
      </c>
      <c r="X9" s="186">
        <v>0.02</v>
      </c>
      <c r="Y9" s="187">
        <v>2.5000000000000001E-2</v>
      </c>
      <c r="Z9" s="186">
        <v>6.2937804139354832</v>
      </c>
      <c r="AA9" s="186">
        <v>6.4460184278709676</v>
      </c>
      <c r="AB9" s="187">
        <v>6.5221374348387089</v>
      </c>
      <c r="AC9" s="186">
        <v>0.22835702090322574</v>
      </c>
      <c r="AD9" s="187">
        <v>5.2146928995796274E-2</v>
      </c>
      <c r="AE9" s="187">
        <v>9.765625E-4</v>
      </c>
      <c r="AF9" s="187">
        <v>7.8125E-3</v>
      </c>
      <c r="AG9" s="187">
        <v>0.71869626301935474</v>
      </c>
      <c r="AI9" s="185" t="s">
        <v>53</v>
      </c>
      <c r="AJ9" s="186" t="s">
        <v>19</v>
      </c>
      <c r="AK9" s="185">
        <v>0.3</v>
      </c>
      <c r="AL9" s="186">
        <v>0.5</v>
      </c>
      <c r="AM9" s="187">
        <v>0.8</v>
      </c>
      <c r="AN9" s="186">
        <v>12.649452907354839</v>
      </c>
      <c r="AO9" s="186">
        <v>12.652251400258065</v>
      </c>
      <c r="AP9" s="187">
        <v>12.656449139612903</v>
      </c>
      <c r="AQ9" s="186">
        <v>6.9962322580643388E-3</v>
      </c>
      <c r="AR9" s="187">
        <v>4.8947265808780034E-5</v>
      </c>
      <c r="AS9" s="187">
        <v>3.90625E-3</v>
      </c>
      <c r="AT9" s="187">
        <v>1.07421875E-2</v>
      </c>
      <c r="AU9" s="187">
        <v>2.2614119404180637</v>
      </c>
      <c r="AW9" s="185" t="s">
        <v>83</v>
      </c>
      <c r="AX9" s="186" t="s">
        <v>18</v>
      </c>
      <c r="AY9" s="185">
        <v>1</v>
      </c>
      <c r="AZ9" s="186">
        <v>1.2</v>
      </c>
      <c r="BA9" s="187">
        <v>1.5</v>
      </c>
      <c r="BB9" s="186">
        <v>11200.8</v>
      </c>
      <c r="BC9" s="186">
        <v>11200.8</v>
      </c>
      <c r="BD9" s="187">
        <v>11200.8</v>
      </c>
      <c r="BE9" s="186">
        <v>0</v>
      </c>
      <c r="BF9" s="187">
        <v>0</v>
      </c>
      <c r="BG9" s="187">
        <v>9.765625E-4</v>
      </c>
      <c r="BH9" s="187">
        <v>7.8125E-3</v>
      </c>
      <c r="BI9" s="187">
        <v>4240.3999999999996</v>
      </c>
      <c r="BK9" s="185" t="s">
        <v>94</v>
      </c>
      <c r="BL9" s="186" t="s">
        <v>19</v>
      </c>
      <c r="BM9" s="185">
        <v>0.01</v>
      </c>
      <c r="BN9" s="186">
        <v>0.02</v>
      </c>
      <c r="BO9" s="187">
        <v>2.5000000000000001E-2</v>
      </c>
      <c r="BP9" s="186">
        <v>20.487566451612899</v>
      </c>
      <c r="BQ9" s="186">
        <v>20.983132903225805</v>
      </c>
      <c r="BR9" s="187">
        <v>21.230916129032252</v>
      </c>
      <c r="BS9" s="186">
        <v>0.74334967741935287</v>
      </c>
      <c r="BT9" s="187">
        <v>0.55256874291945601</v>
      </c>
      <c r="BU9" s="187">
        <v>9.765625E-4</v>
      </c>
      <c r="BV9" s="187">
        <v>7.8125E-3</v>
      </c>
      <c r="BW9" s="187">
        <v>2.3395060645161285</v>
      </c>
    </row>
    <row r="10" spans="2:159" x14ac:dyDescent="0.2">
      <c r="R10" s="226">
        <v>8</v>
      </c>
      <c r="S10" s="219" t="str">
        <f t="shared" si="0"/>
        <v>--Not Used--</v>
      </c>
      <c r="T10" s="216"/>
      <c r="U10" s="185" t="s">
        <v>83</v>
      </c>
      <c r="V10" s="186" t="s">
        <v>18</v>
      </c>
      <c r="W10" s="185">
        <v>1</v>
      </c>
      <c r="X10" s="186">
        <v>1.2</v>
      </c>
      <c r="Y10" s="187">
        <v>1.5</v>
      </c>
      <c r="Z10" s="186">
        <v>6.6608857087999995</v>
      </c>
      <c r="AA10" s="186">
        <v>6.4460184278709676</v>
      </c>
      <c r="AB10" s="187">
        <v>6.1485098850461553</v>
      </c>
      <c r="AC10" s="186">
        <v>-0.51237582375384427</v>
      </c>
      <c r="AD10" s="187">
        <v>0.26252898476743047</v>
      </c>
      <c r="AE10" s="187">
        <v>9.765625E-4</v>
      </c>
      <c r="AF10" s="187">
        <v>8.7890625E-3</v>
      </c>
      <c r="AG10" s="187">
        <v>0.71869626301935474</v>
      </c>
      <c r="AI10" s="185" t="s">
        <v>83</v>
      </c>
      <c r="AJ10" s="186" t="s">
        <v>18</v>
      </c>
      <c r="AK10" s="185">
        <v>1</v>
      </c>
      <c r="AL10" s="186">
        <v>1.2</v>
      </c>
      <c r="AM10" s="187">
        <v>1.5</v>
      </c>
      <c r="AN10" s="186">
        <v>13.073993113599998</v>
      </c>
      <c r="AO10" s="186">
        <v>12.652251400258065</v>
      </c>
      <c r="AP10" s="187">
        <v>12.068301335630769</v>
      </c>
      <c r="AQ10" s="186">
        <v>-1.0056917779692292</v>
      </c>
      <c r="AR10" s="187">
        <v>1.0114159522749093</v>
      </c>
      <c r="AS10" s="187">
        <v>3.90625E-3</v>
      </c>
      <c r="AT10" s="187">
        <v>1.46484375E-2</v>
      </c>
      <c r="AU10" s="187">
        <v>2.3915765125780637</v>
      </c>
      <c r="AW10" s="185" t="s">
        <v>25</v>
      </c>
      <c r="AX10" s="186" t="s">
        <v>19</v>
      </c>
      <c r="AY10" s="185">
        <v>0.5</v>
      </c>
      <c r="AZ10" s="186">
        <v>0.75</v>
      </c>
      <c r="BA10" s="187">
        <v>0.9</v>
      </c>
      <c r="BB10" s="186">
        <v>11200.8</v>
      </c>
      <c r="BC10" s="186">
        <v>11200.8</v>
      </c>
      <c r="BD10" s="187">
        <v>11200.8</v>
      </c>
      <c r="BE10" s="186">
        <v>0</v>
      </c>
      <c r="BF10" s="187">
        <v>0</v>
      </c>
      <c r="BG10" s="187">
        <v>9.765625E-4</v>
      </c>
      <c r="BH10" s="187">
        <v>8.7890625E-3</v>
      </c>
      <c r="BI10" s="187">
        <v>4240.3999999999996</v>
      </c>
      <c r="BK10" s="185" t="s">
        <v>83</v>
      </c>
      <c r="BL10" s="186" t="s">
        <v>18</v>
      </c>
      <c r="BM10" s="185">
        <v>1</v>
      </c>
      <c r="BN10" s="186">
        <v>1.2</v>
      </c>
      <c r="BO10" s="187">
        <v>1.5</v>
      </c>
      <c r="BP10" s="186">
        <v>21.682570666666663</v>
      </c>
      <c r="BQ10" s="186">
        <v>20.983132903225805</v>
      </c>
      <c r="BR10" s="187">
        <v>20.014680615384616</v>
      </c>
      <c r="BS10" s="186">
        <v>-1.6678900512820469</v>
      </c>
      <c r="BT10" s="187">
        <v>2.7818572231656291</v>
      </c>
      <c r="BU10" s="187">
        <v>9.765625E-4</v>
      </c>
      <c r="BV10" s="187">
        <v>8.7890625E-3</v>
      </c>
      <c r="BW10" s="187">
        <v>2.3395060645161285</v>
      </c>
    </row>
    <row r="11" spans="2:159" x14ac:dyDescent="0.2">
      <c r="R11" s="226">
        <v>9</v>
      </c>
      <c r="S11" s="219" t="str">
        <f t="shared" si="0"/>
        <v>--Not Used--</v>
      </c>
      <c r="T11" s="216"/>
      <c r="U11" s="185" t="s">
        <v>250</v>
      </c>
      <c r="V11" s="186" t="s">
        <v>149</v>
      </c>
      <c r="W11" s="185">
        <v>10</v>
      </c>
      <c r="X11" s="186">
        <v>20</v>
      </c>
      <c r="Y11" s="187">
        <v>30</v>
      </c>
      <c r="Z11" s="186">
        <v>6.1616352619354844</v>
      </c>
      <c r="AA11" s="186">
        <v>6.4460184278709676</v>
      </c>
      <c r="AB11" s="187">
        <v>6.7304015938064525</v>
      </c>
      <c r="AC11" s="186">
        <v>0.56876633187096814</v>
      </c>
      <c r="AD11" s="187">
        <v>0.32349514026995629</v>
      </c>
      <c r="AE11" s="187">
        <v>3.90625E-3</v>
      </c>
      <c r="AF11" s="187">
        <v>1.26953125E-2</v>
      </c>
      <c r="AG11" s="187">
        <v>0.87299263587096765</v>
      </c>
      <c r="AI11" s="185" t="s">
        <v>148</v>
      </c>
      <c r="AJ11" s="186" t="s">
        <v>151</v>
      </c>
      <c r="AK11" s="185">
        <v>0.5</v>
      </c>
      <c r="AL11" s="186">
        <v>0.8</v>
      </c>
      <c r="AM11" s="187">
        <v>0.9</v>
      </c>
      <c r="AN11" s="186">
        <v>11.568449800258064</v>
      </c>
      <c r="AO11" s="186">
        <v>12.652251400258065</v>
      </c>
      <c r="AP11" s="187">
        <v>13.013518600258063</v>
      </c>
      <c r="AQ11" s="186">
        <v>1.4450687999999996</v>
      </c>
      <c r="AR11" s="187">
        <v>2.0882238367334387</v>
      </c>
      <c r="AS11" s="187">
        <v>9.765625E-4</v>
      </c>
      <c r="AT11" s="187">
        <v>1.5625E-2</v>
      </c>
      <c r="AU11" s="187">
        <v>2.4348097080154827</v>
      </c>
      <c r="AW11" s="185" t="s">
        <v>47</v>
      </c>
      <c r="AX11" s="186" t="s">
        <v>19</v>
      </c>
      <c r="AY11" s="185">
        <v>0.5</v>
      </c>
      <c r="AZ11" s="186">
        <v>0.6</v>
      </c>
      <c r="BA11" s="187">
        <v>0.75</v>
      </c>
      <c r="BB11" s="186">
        <v>11200.8</v>
      </c>
      <c r="BC11" s="186">
        <v>11200.8</v>
      </c>
      <c r="BD11" s="187">
        <v>11200.8</v>
      </c>
      <c r="BE11" s="186">
        <v>0</v>
      </c>
      <c r="BF11" s="187">
        <v>0</v>
      </c>
      <c r="BG11" s="187">
        <v>1.953125E-3</v>
      </c>
      <c r="BH11" s="187">
        <v>1.07421875E-2</v>
      </c>
      <c r="BI11" s="187">
        <v>4320.3999999999996</v>
      </c>
      <c r="BK11" s="185" t="s">
        <v>250</v>
      </c>
      <c r="BL11" s="186" t="s">
        <v>149</v>
      </c>
      <c r="BM11" s="185">
        <v>10</v>
      </c>
      <c r="BN11" s="186">
        <v>20</v>
      </c>
      <c r="BO11" s="187">
        <v>30</v>
      </c>
      <c r="BP11" s="186">
        <v>20.057406451612902</v>
      </c>
      <c r="BQ11" s="186">
        <v>20.983132903225805</v>
      </c>
      <c r="BR11" s="187">
        <v>21.908859354838711</v>
      </c>
      <c r="BS11" s="186">
        <v>1.8514529032258089</v>
      </c>
      <c r="BT11" s="187">
        <v>3.4278778528632765</v>
      </c>
      <c r="BU11" s="187">
        <v>3.90625E-3</v>
      </c>
      <c r="BV11" s="187">
        <v>1.26953125E-2</v>
      </c>
      <c r="BW11" s="187">
        <v>2.8417729032258059</v>
      </c>
    </row>
    <row r="12" spans="2:159" ht="15" thickBot="1" x14ac:dyDescent="0.25">
      <c r="R12" s="226">
        <v>10</v>
      </c>
      <c r="S12" s="220" t="str">
        <f t="shared" si="0"/>
        <v>--Not Used--</v>
      </c>
      <c r="T12" s="216"/>
      <c r="U12" s="185" t="s">
        <v>252</v>
      </c>
      <c r="V12" s="186" t="s">
        <v>150</v>
      </c>
      <c r="W12" s="185">
        <v>50</v>
      </c>
      <c r="X12" s="186">
        <v>100</v>
      </c>
      <c r="Y12" s="187">
        <v>150</v>
      </c>
      <c r="Z12" s="186">
        <v>6.1616352619354844</v>
      </c>
      <c r="AA12" s="186">
        <v>6.4460184278709676</v>
      </c>
      <c r="AB12" s="187">
        <v>6.7304015938064525</v>
      </c>
      <c r="AC12" s="186">
        <v>0.56876633187096814</v>
      </c>
      <c r="AD12" s="187">
        <v>0.32349514026995629</v>
      </c>
      <c r="AE12" s="187">
        <v>3.90625E-3</v>
      </c>
      <c r="AF12" s="187">
        <v>1.66015625E-2</v>
      </c>
      <c r="AG12" s="187">
        <v>0.87299263587096765</v>
      </c>
      <c r="AI12" s="185" t="s">
        <v>250</v>
      </c>
      <c r="AJ12" s="186" t="s">
        <v>149</v>
      </c>
      <c r="AK12" s="185">
        <v>10</v>
      </c>
      <c r="AL12" s="186">
        <v>20</v>
      </c>
      <c r="AM12" s="187">
        <v>30</v>
      </c>
      <c r="AN12" s="186">
        <v>11.839400200258064</v>
      </c>
      <c r="AO12" s="186">
        <v>12.652251400258065</v>
      </c>
      <c r="AP12" s="187">
        <v>13.465102600258064</v>
      </c>
      <c r="AQ12" s="186">
        <v>1.6257023999999998</v>
      </c>
      <c r="AR12" s="187">
        <v>2.6429082933657591</v>
      </c>
      <c r="AS12" s="187">
        <v>1.953125E-3</v>
      </c>
      <c r="AT12" s="187">
        <v>1.7578125E-2</v>
      </c>
      <c r="AU12" s="187">
        <v>2.6949325804180635</v>
      </c>
      <c r="AW12" s="185" t="s">
        <v>76</v>
      </c>
      <c r="AX12" s="186" t="s">
        <v>19</v>
      </c>
      <c r="AY12" s="185">
        <v>0.08</v>
      </c>
      <c r="AZ12" s="186">
        <v>0.1</v>
      </c>
      <c r="BA12" s="187">
        <v>0.2</v>
      </c>
      <c r="BB12" s="186">
        <v>11200.8</v>
      </c>
      <c r="BC12" s="186">
        <v>11200.8</v>
      </c>
      <c r="BD12" s="187">
        <v>11200.8</v>
      </c>
      <c r="BE12" s="186">
        <v>0</v>
      </c>
      <c r="BF12" s="187">
        <v>0</v>
      </c>
      <c r="BG12" s="187">
        <v>3.90625E-3</v>
      </c>
      <c r="BH12" s="187">
        <v>1.46484375E-2</v>
      </c>
      <c r="BI12" s="187">
        <v>4600.3999999999996</v>
      </c>
      <c r="BK12" s="185" t="s">
        <v>252</v>
      </c>
      <c r="BL12" s="186" t="s">
        <v>150</v>
      </c>
      <c r="BM12" s="185">
        <v>50</v>
      </c>
      <c r="BN12" s="186">
        <v>100</v>
      </c>
      <c r="BO12" s="187">
        <v>150</v>
      </c>
      <c r="BP12" s="186">
        <v>20.057406451612902</v>
      </c>
      <c r="BQ12" s="186">
        <v>20.983132903225805</v>
      </c>
      <c r="BR12" s="187">
        <v>21.908859354838711</v>
      </c>
      <c r="BS12" s="186">
        <v>1.8514529032258089</v>
      </c>
      <c r="BT12" s="187">
        <v>3.4278778528632765</v>
      </c>
      <c r="BU12" s="187">
        <v>3.90625E-3</v>
      </c>
      <c r="BV12" s="187">
        <v>1.66015625E-2</v>
      </c>
      <c r="BW12" s="187">
        <v>2.8417729032258059</v>
      </c>
    </row>
    <row r="13" spans="2:159" x14ac:dyDescent="0.2">
      <c r="U13" s="185" t="s">
        <v>253</v>
      </c>
      <c r="V13" s="186" t="s">
        <v>151</v>
      </c>
      <c r="W13" s="185">
        <v>0.3</v>
      </c>
      <c r="X13" s="186">
        <v>0.4</v>
      </c>
      <c r="Y13" s="187">
        <v>0.7</v>
      </c>
      <c r="Z13" s="186">
        <v>6.3038268449032255</v>
      </c>
      <c r="AA13" s="186">
        <v>6.4460184278709676</v>
      </c>
      <c r="AB13" s="187">
        <v>6.8725931767741946</v>
      </c>
      <c r="AC13" s="186">
        <v>0.56876633187096903</v>
      </c>
      <c r="AD13" s="187">
        <v>0.32349514026995729</v>
      </c>
      <c r="AE13" s="187">
        <v>9.765625E-4</v>
      </c>
      <c r="AF13" s="187">
        <v>1.7578125E-2</v>
      </c>
      <c r="AG13" s="187">
        <v>0.88111349759999991</v>
      </c>
      <c r="AI13" s="185" t="s">
        <v>252</v>
      </c>
      <c r="AJ13" s="186" t="s">
        <v>150</v>
      </c>
      <c r="AK13" s="185">
        <v>50</v>
      </c>
      <c r="AL13" s="186">
        <v>100</v>
      </c>
      <c r="AM13" s="187">
        <v>150</v>
      </c>
      <c r="AN13" s="186">
        <v>11.839400200258064</v>
      </c>
      <c r="AO13" s="186">
        <v>12.652251400258065</v>
      </c>
      <c r="AP13" s="187">
        <v>13.465102600258064</v>
      </c>
      <c r="AQ13" s="186">
        <v>1.6257023999999998</v>
      </c>
      <c r="AR13" s="187">
        <v>2.6429082933657591</v>
      </c>
      <c r="AS13" s="187">
        <v>9.765625E-4</v>
      </c>
      <c r="AT13" s="187">
        <v>1.85546875E-2</v>
      </c>
      <c r="AU13" s="187">
        <v>2.7089695592051606</v>
      </c>
      <c r="AW13" s="185" t="s">
        <v>94</v>
      </c>
      <c r="AX13" s="186" t="s">
        <v>19</v>
      </c>
      <c r="AY13" s="185">
        <v>0.01</v>
      </c>
      <c r="AZ13" s="186">
        <v>0.02</v>
      </c>
      <c r="BA13" s="187">
        <v>2.5000000000000001E-2</v>
      </c>
      <c r="BB13" s="186">
        <v>11200.8</v>
      </c>
      <c r="BC13" s="186">
        <v>11200.8</v>
      </c>
      <c r="BD13" s="187">
        <v>11200.8</v>
      </c>
      <c r="BE13" s="186">
        <v>0</v>
      </c>
      <c r="BF13" s="187">
        <v>0</v>
      </c>
      <c r="BG13" s="187">
        <v>3.90625E-3</v>
      </c>
      <c r="BH13" s="187">
        <v>1.85546875E-2</v>
      </c>
      <c r="BI13" s="187">
        <v>4600.3999999999996</v>
      </c>
      <c r="BK13" s="185" t="s">
        <v>253</v>
      </c>
      <c r="BL13" s="186" t="s">
        <v>151</v>
      </c>
      <c r="BM13" s="185">
        <v>0.3</v>
      </c>
      <c r="BN13" s="186">
        <v>0.4</v>
      </c>
      <c r="BO13" s="187">
        <v>0.7</v>
      </c>
      <c r="BP13" s="186">
        <v>20.520269677419353</v>
      </c>
      <c r="BQ13" s="186">
        <v>20.983132903225805</v>
      </c>
      <c r="BR13" s="187">
        <v>22.371722580645162</v>
      </c>
      <c r="BS13" s="186">
        <v>1.8514529032258089</v>
      </c>
      <c r="BT13" s="187">
        <v>3.4278778528632765</v>
      </c>
      <c r="BU13" s="187">
        <v>9.765625E-4</v>
      </c>
      <c r="BV13" s="187">
        <v>1.7578125E-2</v>
      </c>
      <c r="BW13" s="187">
        <v>2.8682079999999996</v>
      </c>
    </row>
    <row r="14" spans="2:159" x14ac:dyDescent="0.2">
      <c r="U14" s="185" t="s">
        <v>53</v>
      </c>
      <c r="V14" s="186" t="s">
        <v>19</v>
      </c>
      <c r="W14" s="185">
        <v>0.3</v>
      </c>
      <c r="X14" s="186">
        <v>0.5</v>
      </c>
      <c r="Y14" s="187">
        <v>0.8</v>
      </c>
      <c r="Z14" s="186">
        <v>6.2511537700335484</v>
      </c>
      <c r="AA14" s="186">
        <v>6.4460184278709676</v>
      </c>
      <c r="AB14" s="187">
        <v>6.921001031349677</v>
      </c>
      <c r="AC14" s="186">
        <v>0.66984726131612859</v>
      </c>
      <c r="AD14" s="187">
        <v>0.44869535349271789</v>
      </c>
      <c r="AE14" s="187">
        <v>1.953125E-3</v>
      </c>
      <c r="AF14" s="187">
        <v>1.953125E-2</v>
      </c>
      <c r="AG14" s="187">
        <v>0.8815878144</v>
      </c>
      <c r="AI14" s="185" t="s">
        <v>253</v>
      </c>
      <c r="AJ14" s="186" t="s">
        <v>151</v>
      </c>
      <c r="AK14" s="185">
        <v>0.3</v>
      </c>
      <c r="AL14" s="186">
        <v>0.4</v>
      </c>
      <c r="AM14" s="187">
        <v>0.7</v>
      </c>
      <c r="AN14" s="186">
        <v>12.245600008258066</v>
      </c>
      <c r="AO14" s="186">
        <v>12.652251400258065</v>
      </c>
      <c r="AP14" s="187">
        <v>13.872205576258066</v>
      </c>
      <c r="AQ14" s="186">
        <v>1.6266055680000004</v>
      </c>
      <c r="AR14" s="187">
        <v>2.645845673848604</v>
      </c>
      <c r="AS14" s="187">
        <v>1.953125E-3</v>
      </c>
      <c r="AT14" s="187">
        <v>2.05078125E-2</v>
      </c>
      <c r="AU14" s="187">
        <v>2.7481285929290316</v>
      </c>
      <c r="AW14" s="185" t="s">
        <v>59</v>
      </c>
      <c r="AX14" s="186" t="s">
        <v>2</v>
      </c>
      <c r="AY14" s="185">
        <v>3</v>
      </c>
      <c r="AZ14" s="186">
        <v>5</v>
      </c>
      <c r="BA14" s="187">
        <v>7</v>
      </c>
      <c r="BB14" s="186">
        <v>11200.8</v>
      </c>
      <c r="BC14" s="186">
        <v>11200.8</v>
      </c>
      <c r="BD14" s="187">
        <v>11200.8</v>
      </c>
      <c r="BE14" s="186">
        <v>0</v>
      </c>
      <c r="BF14" s="187">
        <v>0</v>
      </c>
      <c r="BG14" s="187">
        <v>1.953125E-3</v>
      </c>
      <c r="BH14" s="187">
        <v>2.05078125E-2</v>
      </c>
      <c r="BI14" s="187">
        <v>4600.8</v>
      </c>
      <c r="BK14" s="185" t="s">
        <v>53</v>
      </c>
      <c r="BL14" s="186" t="s">
        <v>19</v>
      </c>
      <c r="BM14" s="185">
        <v>0.3</v>
      </c>
      <c r="BN14" s="186">
        <v>0.5</v>
      </c>
      <c r="BO14" s="187">
        <v>0.8</v>
      </c>
      <c r="BP14" s="186">
        <v>20.348807845161289</v>
      </c>
      <c r="BQ14" s="186">
        <v>20.983132903225805</v>
      </c>
      <c r="BR14" s="187">
        <v>22.529300232258063</v>
      </c>
      <c r="BS14" s="186">
        <v>2.1804923870967734</v>
      </c>
      <c r="BT14" s="187">
        <v>4.7545470501869849</v>
      </c>
      <c r="BU14" s="187">
        <v>1.953125E-3</v>
      </c>
      <c r="BV14" s="187">
        <v>1.953125E-2</v>
      </c>
      <c r="BW14" s="187">
        <v>2.8697519999999996</v>
      </c>
    </row>
    <row r="15" spans="2:159" x14ac:dyDescent="0.2">
      <c r="U15" s="185" t="s">
        <v>251</v>
      </c>
      <c r="V15" s="186" t="s">
        <v>149</v>
      </c>
      <c r="W15" s="185">
        <v>10</v>
      </c>
      <c r="X15" s="186">
        <v>20</v>
      </c>
      <c r="Y15" s="187">
        <v>40</v>
      </c>
      <c r="Z15" s="186">
        <v>6.1616352619354844</v>
      </c>
      <c r="AA15" s="186">
        <v>6.4460184278709676</v>
      </c>
      <c r="AB15" s="187">
        <v>7.0147847597419348</v>
      </c>
      <c r="AC15" s="186">
        <v>0.85314949780645044</v>
      </c>
      <c r="AD15" s="187">
        <v>0.72786406560739858</v>
      </c>
      <c r="AE15" s="187">
        <v>1.953125E-3</v>
      </c>
      <c r="AF15" s="187">
        <v>2.1484375E-2</v>
      </c>
      <c r="AG15" s="187">
        <v>0.92577823710967733</v>
      </c>
      <c r="AI15" s="185" t="s">
        <v>144</v>
      </c>
      <c r="AJ15" s="186" t="s">
        <v>149</v>
      </c>
      <c r="AK15" s="185">
        <v>500</v>
      </c>
      <c r="AL15" s="186">
        <v>800</v>
      </c>
      <c r="AM15" s="187">
        <v>1000</v>
      </c>
      <c r="AN15" s="186">
        <v>11.568449800258064</v>
      </c>
      <c r="AO15" s="186">
        <v>12.652251400258065</v>
      </c>
      <c r="AP15" s="187">
        <v>13.374785800258064</v>
      </c>
      <c r="AQ15" s="186">
        <v>1.8063359999999999</v>
      </c>
      <c r="AR15" s="187">
        <v>3.2628497448959997</v>
      </c>
      <c r="AS15" s="187">
        <v>3.90625E-3</v>
      </c>
      <c r="AT15" s="187">
        <v>2.44140625E-2</v>
      </c>
      <c r="AU15" s="187">
        <v>2.7481612235148383</v>
      </c>
      <c r="AW15" s="185" t="s">
        <v>53</v>
      </c>
      <c r="AX15" s="186" t="s">
        <v>19</v>
      </c>
      <c r="AY15" s="185">
        <v>0.3</v>
      </c>
      <c r="AZ15" s="186">
        <v>0.5</v>
      </c>
      <c r="BA15" s="187">
        <v>0.8</v>
      </c>
      <c r="BB15" s="186">
        <v>11200.8</v>
      </c>
      <c r="BC15" s="186">
        <v>11200.8</v>
      </c>
      <c r="BD15" s="187">
        <v>11200.8</v>
      </c>
      <c r="BE15" s="186">
        <v>0</v>
      </c>
      <c r="BF15" s="187">
        <v>0</v>
      </c>
      <c r="BG15" s="187">
        <v>3.90625E-3</v>
      </c>
      <c r="BH15" s="187">
        <v>2.44140625E-2</v>
      </c>
      <c r="BI15" s="187">
        <v>4800.3999999999996</v>
      </c>
      <c r="BK15" s="185" t="s">
        <v>251</v>
      </c>
      <c r="BL15" s="186" t="s">
        <v>149</v>
      </c>
      <c r="BM15" s="185">
        <v>10</v>
      </c>
      <c r="BN15" s="186">
        <v>20</v>
      </c>
      <c r="BO15" s="187">
        <v>40</v>
      </c>
      <c r="BP15" s="186">
        <v>20.057406451612902</v>
      </c>
      <c r="BQ15" s="186">
        <v>20.983132903225805</v>
      </c>
      <c r="BR15" s="187">
        <v>22.83458580645161</v>
      </c>
      <c r="BS15" s="186">
        <v>2.777179354838708</v>
      </c>
      <c r="BT15" s="187">
        <v>7.7127251689423426</v>
      </c>
      <c r="BU15" s="187">
        <v>1.953125E-3</v>
      </c>
      <c r="BV15" s="187">
        <v>2.1484375E-2</v>
      </c>
      <c r="BW15" s="187">
        <v>3.0136010322580637</v>
      </c>
    </row>
    <row r="16" spans="2:159" x14ac:dyDescent="0.2">
      <c r="U16" s="185" t="s">
        <v>249</v>
      </c>
      <c r="V16" s="186" t="s">
        <v>149</v>
      </c>
      <c r="W16" s="185">
        <v>2000</v>
      </c>
      <c r="X16" s="186">
        <v>30000</v>
      </c>
      <c r="Y16" s="187">
        <v>50000</v>
      </c>
      <c r="Z16" s="186">
        <v>5.9151698514580646</v>
      </c>
      <c r="AA16" s="186">
        <v>6.4460184278709676</v>
      </c>
      <c r="AB16" s="187">
        <v>6.8251959824516133</v>
      </c>
      <c r="AC16" s="186">
        <v>0.91002613099354868</v>
      </c>
      <c r="AD16" s="187">
        <v>0.82814755909108739</v>
      </c>
      <c r="AE16" s="187">
        <v>3.90625E-3</v>
      </c>
      <c r="AF16" s="187">
        <v>2.5390625E-2</v>
      </c>
      <c r="AG16" s="187">
        <v>1.0719537482322579</v>
      </c>
      <c r="AI16" s="185" t="s">
        <v>251</v>
      </c>
      <c r="AJ16" s="186" t="s">
        <v>149</v>
      </c>
      <c r="AK16" s="185">
        <v>10</v>
      </c>
      <c r="AL16" s="186">
        <v>20</v>
      </c>
      <c r="AM16" s="187">
        <v>40</v>
      </c>
      <c r="AN16" s="186">
        <v>11.839400200258064</v>
      </c>
      <c r="AO16" s="186">
        <v>12.652251400258065</v>
      </c>
      <c r="AP16" s="187">
        <v>14.277953800258064</v>
      </c>
      <c r="AQ16" s="186">
        <v>2.4385536000000005</v>
      </c>
      <c r="AR16" s="187">
        <v>5.9465436600729626</v>
      </c>
      <c r="AS16" s="187">
        <v>3.90625E-3</v>
      </c>
      <c r="AT16" s="187">
        <v>2.83203125E-2</v>
      </c>
      <c r="AU16" s="187">
        <v>3.0418213458580636</v>
      </c>
      <c r="AW16" s="185" t="s">
        <v>78</v>
      </c>
      <c r="AX16" s="186" t="s">
        <v>19</v>
      </c>
      <c r="AY16" s="185">
        <v>0.01</v>
      </c>
      <c r="AZ16" s="186">
        <v>0.02</v>
      </c>
      <c r="BA16" s="187">
        <v>0.03</v>
      </c>
      <c r="BB16" s="186">
        <v>11200.8</v>
      </c>
      <c r="BC16" s="186">
        <v>11200.8</v>
      </c>
      <c r="BD16" s="187">
        <v>11200.8</v>
      </c>
      <c r="BE16" s="186">
        <v>0</v>
      </c>
      <c r="BF16" s="187">
        <v>0</v>
      </c>
      <c r="BG16" s="187">
        <v>3.90625E-3</v>
      </c>
      <c r="BH16" s="187">
        <v>2.83203125E-2</v>
      </c>
      <c r="BI16" s="187">
        <v>4800.3999999999996</v>
      </c>
      <c r="BK16" s="185" t="s">
        <v>249</v>
      </c>
      <c r="BL16" s="186" t="s">
        <v>149</v>
      </c>
      <c r="BM16" s="185">
        <v>2000</v>
      </c>
      <c r="BN16" s="186">
        <v>30000</v>
      </c>
      <c r="BO16" s="187">
        <v>50000</v>
      </c>
      <c r="BP16" s="186">
        <v>19.255110193548386</v>
      </c>
      <c r="BQ16" s="186">
        <v>20.983132903225805</v>
      </c>
      <c r="BR16" s="187">
        <v>22.217434838709675</v>
      </c>
      <c r="BS16" s="186">
        <v>2.9623246451612886</v>
      </c>
      <c r="BT16" s="187">
        <v>8.7753673033299542</v>
      </c>
      <c r="BU16" s="187">
        <v>3.90625E-3</v>
      </c>
      <c r="BV16" s="187">
        <v>2.5390625E-2</v>
      </c>
      <c r="BW16" s="187">
        <v>3.4894327741935474</v>
      </c>
    </row>
    <row r="17" spans="18:75" ht="15" thickBot="1" x14ac:dyDescent="0.25">
      <c r="U17" s="185" t="s">
        <v>78</v>
      </c>
      <c r="V17" s="186" t="s">
        <v>19</v>
      </c>
      <c r="W17" s="185">
        <v>0.01</v>
      </c>
      <c r="X17" s="186">
        <v>0.02</v>
      </c>
      <c r="Y17" s="187">
        <v>0.03</v>
      </c>
      <c r="Z17" s="186">
        <v>5.8516756149677418</v>
      </c>
      <c r="AA17" s="186">
        <v>6.4460184278709676</v>
      </c>
      <c r="AB17" s="187">
        <v>7.0403612407741933</v>
      </c>
      <c r="AC17" s="186">
        <v>1.1886856258064515</v>
      </c>
      <c r="AD17" s="187">
        <v>1.4129735169988753</v>
      </c>
      <c r="AE17" s="187">
        <v>3.90625E-3</v>
      </c>
      <c r="AF17" s="187">
        <v>2.9296875E-2</v>
      </c>
      <c r="AG17" s="187">
        <v>1.0719537482322579</v>
      </c>
      <c r="AI17" s="185" t="s">
        <v>78</v>
      </c>
      <c r="AJ17" s="186" t="s">
        <v>19</v>
      </c>
      <c r="AK17" s="185">
        <v>0.01</v>
      </c>
      <c r="AL17" s="186">
        <v>0.02</v>
      </c>
      <c r="AM17" s="187">
        <v>0.03</v>
      </c>
      <c r="AN17" s="186">
        <v>11.428517029161291</v>
      </c>
      <c r="AO17" s="186">
        <v>12.652251400258065</v>
      </c>
      <c r="AP17" s="187">
        <v>13.875985771354838</v>
      </c>
      <c r="AQ17" s="186">
        <v>2.4474687421935464</v>
      </c>
      <c r="AR17" s="187">
        <v>5.9901032440144597</v>
      </c>
      <c r="AS17" s="187">
        <v>7.8125E-3</v>
      </c>
      <c r="AT17" s="187">
        <v>3.61328125E-2</v>
      </c>
      <c r="AU17" s="187">
        <v>3.0418574725780636</v>
      </c>
      <c r="AW17" s="185" t="s">
        <v>96</v>
      </c>
      <c r="AX17" s="186" t="s">
        <v>19</v>
      </c>
      <c r="AY17" s="185">
        <v>0.15</v>
      </c>
      <c r="AZ17" s="186">
        <v>0.16</v>
      </c>
      <c r="BA17" s="187">
        <v>0.2</v>
      </c>
      <c r="BB17" s="186">
        <v>11200.8</v>
      </c>
      <c r="BC17" s="186">
        <v>11200.8</v>
      </c>
      <c r="BD17" s="187">
        <v>11200.8</v>
      </c>
      <c r="BE17" s="186">
        <v>0</v>
      </c>
      <c r="BF17" s="187">
        <v>0</v>
      </c>
      <c r="BG17" s="187">
        <v>3.90625E-3</v>
      </c>
      <c r="BH17" s="187">
        <v>3.22265625E-2</v>
      </c>
      <c r="BI17" s="187">
        <v>5080.8</v>
      </c>
      <c r="BK17" s="185" t="s">
        <v>78</v>
      </c>
      <c r="BL17" s="186" t="s">
        <v>19</v>
      </c>
      <c r="BM17" s="185">
        <v>0.01</v>
      </c>
      <c r="BN17" s="186">
        <v>0.02</v>
      </c>
      <c r="BO17" s="187">
        <v>0.03</v>
      </c>
      <c r="BP17" s="186">
        <v>19.048423225806449</v>
      </c>
      <c r="BQ17" s="186">
        <v>20.983132903225805</v>
      </c>
      <c r="BR17" s="187">
        <v>22.917842580645157</v>
      </c>
      <c r="BS17" s="186">
        <v>3.8694193548387084</v>
      </c>
      <c r="BT17" s="187">
        <v>14.972406143600406</v>
      </c>
      <c r="BU17" s="187">
        <v>3.90625E-3</v>
      </c>
      <c r="BV17" s="187">
        <v>2.9296875E-2</v>
      </c>
      <c r="BW17" s="187">
        <v>3.4894327741935474</v>
      </c>
    </row>
    <row r="18" spans="18:75" x14ac:dyDescent="0.2">
      <c r="R18" s="228" t="s">
        <v>13</v>
      </c>
      <c r="S18" s="229" t="s">
        <v>142</v>
      </c>
      <c r="T18" s="227"/>
      <c r="U18" s="185" t="s">
        <v>148</v>
      </c>
      <c r="V18" s="186" t="s">
        <v>151</v>
      </c>
      <c r="W18" s="185">
        <v>0.5</v>
      </c>
      <c r="X18" s="186">
        <v>0.8</v>
      </c>
      <c r="Y18" s="187">
        <v>0.9</v>
      </c>
      <c r="Z18" s="186">
        <v>5.3084857641290331</v>
      </c>
      <c r="AA18" s="186">
        <v>6.4460184278709676</v>
      </c>
      <c r="AB18" s="187">
        <v>6.8251959824516133</v>
      </c>
      <c r="AC18" s="186">
        <v>1.5167102183225802</v>
      </c>
      <c r="AD18" s="187">
        <v>2.3004098863641289</v>
      </c>
      <c r="AE18" s="187">
        <v>3.90625E-3</v>
      </c>
      <c r="AF18" s="187">
        <v>3.3203125E-2</v>
      </c>
      <c r="AG18" s="187">
        <v>1.1084976260129029</v>
      </c>
      <c r="AI18" s="185" t="s">
        <v>249</v>
      </c>
      <c r="AJ18" s="186" t="s">
        <v>149</v>
      </c>
      <c r="AK18" s="185">
        <v>2000</v>
      </c>
      <c r="AL18" s="186">
        <v>30000</v>
      </c>
      <c r="AM18" s="187">
        <v>50000</v>
      </c>
      <c r="AN18" s="186">
        <v>11.134929160258064</v>
      </c>
      <c r="AO18" s="186">
        <v>12.652251400258065</v>
      </c>
      <c r="AP18" s="187">
        <v>13.736053000258064</v>
      </c>
      <c r="AQ18" s="186">
        <v>2.6011238399999996</v>
      </c>
      <c r="AR18" s="187">
        <v>6.7658452310163435</v>
      </c>
      <c r="AS18" s="187">
        <v>9.765625E-4</v>
      </c>
      <c r="AT18" s="187">
        <v>3.7109375E-2</v>
      </c>
      <c r="AU18" s="187">
        <v>3.1790807396748382</v>
      </c>
      <c r="AW18" s="185" t="s">
        <v>148</v>
      </c>
      <c r="AX18" s="186" t="s">
        <v>151</v>
      </c>
      <c r="AY18" s="185">
        <v>0.5</v>
      </c>
      <c r="AZ18" s="186">
        <v>0.8</v>
      </c>
      <c r="BA18" s="187">
        <v>0.9</v>
      </c>
      <c r="BB18" s="186">
        <v>10240.799999999999</v>
      </c>
      <c r="BC18" s="186">
        <v>11200.8</v>
      </c>
      <c r="BD18" s="187">
        <v>11520.8</v>
      </c>
      <c r="BE18" s="186">
        <v>1280</v>
      </c>
      <c r="BF18" s="187">
        <v>1638400</v>
      </c>
      <c r="BG18" s="187">
        <v>3.90625E-3</v>
      </c>
      <c r="BH18" s="187">
        <v>3.61328125E-2</v>
      </c>
      <c r="BI18" s="187">
        <v>5080.8</v>
      </c>
      <c r="BK18" s="185" t="s">
        <v>148</v>
      </c>
      <c r="BL18" s="186" t="s">
        <v>151</v>
      </c>
      <c r="BM18" s="185">
        <v>0.5</v>
      </c>
      <c r="BN18" s="186">
        <v>0.8</v>
      </c>
      <c r="BO18" s="187">
        <v>0.9</v>
      </c>
      <c r="BP18" s="186">
        <v>17.280227096774194</v>
      </c>
      <c r="BQ18" s="186">
        <v>20.983132903225805</v>
      </c>
      <c r="BR18" s="187">
        <v>22.217434838709675</v>
      </c>
      <c r="BS18" s="186">
        <v>4.937207741935481</v>
      </c>
      <c r="BT18" s="187">
        <v>24.37602028702765</v>
      </c>
      <c r="BU18" s="187">
        <v>3.90625E-3</v>
      </c>
      <c r="BV18" s="187">
        <v>3.3203125E-2</v>
      </c>
      <c r="BW18" s="187">
        <v>3.6083907096774182</v>
      </c>
    </row>
    <row r="19" spans="18:75" ht="15" thickBot="1" x14ac:dyDescent="0.25">
      <c r="R19" s="230">
        <f>MATCH(C2,S3:S12,FALSE)</f>
        <v>4</v>
      </c>
      <c r="S19" s="231" t="str">
        <f>CONCATENATE("Tornado_Output",Tornado_TableIndex)</f>
        <v>Tornado_Output4</v>
      </c>
      <c r="T19" s="186"/>
      <c r="U19" s="185" t="s">
        <v>69</v>
      </c>
      <c r="V19" s="186" t="s">
        <v>19</v>
      </c>
      <c r="W19" s="185">
        <v>0.06</v>
      </c>
      <c r="X19" s="186">
        <v>0.1</v>
      </c>
      <c r="Y19" s="187">
        <v>0.15</v>
      </c>
      <c r="Z19" s="186">
        <v>5.7328070523870966</v>
      </c>
      <c r="AA19" s="186">
        <v>6.4460184278709676</v>
      </c>
      <c r="AB19" s="187">
        <v>7.3375326472258058</v>
      </c>
      <c r="AC19" s="186">
        <v>1.6047255948387091</v>
      </c>
      <c r="AD19" s="187">
        <v>2.5751442347304487</v>
      </c>
      <c r="AE19" s="187">
        <v>1.953125E-3</v>
      </c>
      <c r="AF19" s="187">
        <v>3.515625E-2</v>
      </c>
      <c r="AG19" s="187">
        <v>1.1978271050322578</v>
      </c>
      <c r="AI19" s="185" t="s">
        <v>247</v>
      </c>
      <c r="AJ19" s="186" t="s">
        <v>150</v>
      </c>
      <c r="AK19" s="185">
        <v>50</v>
      </c>
      <c r="AL19" s="186">
        <v>100</v>
      </c>
      <c r="AM19" s="187">
        <v>150</v>
      </c>
      <c r="AN19" s="186">
        <v>11.297499400258063</v>
      </c>
      <c r="AO19" s="186">
        <v>12.652251400258065</v>
      </c>
      <c r="AP19" s="187">
        <v>14.007003400258064</v>
      </c>
      <c r="AQ19" s="186">
        <v>2.7095040000000008</v>
      </c>
      <c r="AR19" s="187">
        <v>7.3414119260160042</v>
      </c>
      <c r="AS19" s="187">
        <v>1.953125E-3</v>
      </c>
      <c r="AT19" s="187">
        <v>3.90625E-2</v>
      </c>
      <c r="AU19" s="187">
        <v>3.3355117680309658</v>
      </c>
      <c r="AW19" s="185" t="s">
        <v>252</v>
      </c>
      <c r="AX19" s="186" t="s">
        <v>150</v>
      </c>
      <c r="AY19" s="185">
        <v>50</v>
      </c>
      <c r="AZ19" s="186">
        <v>100</v>
      </c>
      <c r="BA19" s="187">
        <v>150</v>
      </c>
      <c r="BB19" s="186">
        <v>10480.799999999999</v>
      </c>
      <c r="BC19" s="186">
        <v>11200.8</v>
      </c>
      <c r="BD19" s="187">
        <v>11920.8</v>
      </c>
      <c r="BE19" s="186">
        <v>1440</v>
      </c>
      <c r="BF19" s="187">
        <v>2073600</v>
      </c>
      <c r="BG19" s="187">
        <v>9.765625E-4</v>
      </c>
      <c r="BH19" s="187">
        <v>3.7109375E-2</v>
      </c>
      <c r="BI19" s="187">
        <v>5120.3999999999996</v>
      </c>
      <c r="BK19" s="185" t="s">
        <v>69</v>
      </c>
      <c r="BL19" s="186" t="s">
        <v>19</v>
      </c>
      <c r="BM19" s="185">
        <v>0.06</v>
      </c>
      <c r="BN19" s="186">
        <v>0.1</v>
      </c>
      <c r="BO19" s="187">
        <v>0.15</v>
      </c>
      <c r="BP19" s="186">
        <v>18.661481290322577</v>
      </c>
      <c r="BQ19" s="186">
        <v>20.983132903225805</v>
      </c>
      <c r="BR19" s="187">
        <v>23.885197419354835</v>
      </c>
      <c r="BS19" s="186">
        <v>5.2237161290322582</v>
      </c>
      <c r="BT19" s="187">
        <v>27.287210196711762</v>
      </c>
      <c r="BU19" s="187">
        <v>1.953125E-3</v>
      </c>
      <c r="BV19" s="187">
        <v>3.515625E-2</v>
      </c>
      <c r="BW19" s="187">
        <v>3.8991767741935468</v>
      </c>
    </row>
    <row r="20" spans="18:75" x14ac:dyDescent="0.2">
      <c r="U20" s="185" t="s">
        <v>244</v>
      </c>
      <c r="V20" s="186" t="s">
        <v>149</v>
      </c>
      <c r="W20" s="185">
        <v>2500</v>
      </c>
      <c r="X20" s="186">
        <v>4000</v>
      </c>
      <c r="Y20" s="187">
        <v>5000</v>
      </c>
      <c r="Z20" s="186">
        <v>5.3795815556129032</v>
      </c>
      <c r="AA20" s="186">
        <v>6.4460184278709676</v>
      </c>
      <c r="AB20" s="187">
        <v>7.1569763427096769</v>
      </c>
      <c r="AC20" s="186">
        <v>1.7773947870967737</v>
      </c>
      <c r="AD20" s="187">
        <v>3.1591322291987853</v>
      </c>
      <c r="AE20" s="187">
        <v>1.953125E-3</v>
      </c>
      <c r="AF20" s="187">
        <v>3.7109375E-2</v>
      </c>
      <c r="AG20" s="187">
        <v>1.1978271050322578</v>
      </c>
      <c r="AI20" s="185" t="s">
        <v>147</v>
      </c>
      <c r="AJ20" s="186" t="s">
        <v>150</v>
      </c>
      <c r="AK20" s="185">
        <v>50</v>
      </c>
      <c r="AL20" s="186">
        <v>100</v>
      </c>
      <c r="AM20" s="187">
        <v>150</v>
      </c>
      <c r="AN20" s="186">
        <v>11.207182600258065</v>
      </c>
      <c r="AO20" s="186">
        <v>12.652251400258065</v>
      </c>
      <c r="AP20" s="187">
        <v>14.097320200258062</v>
      </c>
      <c r="AQ20" s="186">
        <v>2.8901375999999974</v>
      </c>
      <c r="AR20" s="187">
        <v>8.3528953469337459</v>
      </c>
      <c r="AS20" s="187">
        <v>1.953125E-3</v>
      </c>
      <c r="AT20" s="187">
        <v>4.1015625E-2</v>
      </c>
      <c r="AU20" s="187">
        <v>3.3522582508180636</v>
      </c>
      <c r="AW20" s="185" t="s">
        <v>250</v>
      </c>
      <c r="AX20" s="186" t="s">
        <v>149</v>
      </c>
      <c r="AY20" s="185">
        <v>10</v>
      </c>
      <c r="AZ20" s="186">
        <v>20</v>
      </c>
      <c r="BA20" s="187">
        <v>30</v>
      </c>
      <c r="BB20" s="186">
        <v>10480.799999999999</v>
      </c>
      <c r="BC20" s="186">
        <v>11200.8</v>
      </c>
      <c r="BD20" s="187">
        <v>11920.8</v>
      </c>
      <c r="BE20" s="186">
        <v>1440</v>
      </c>
      <c r="BF20" s="187">
        <v>2073600</v>
      </c>
      <c r="BG20" s="187">
        <v>9.765625E-4</v>
      </c>
      <c r="BH20" s="187">
        <v>3.80859375E-2</v>
      </c>
      <c r="BI20" s="187">
        <v>5120.3999999999996</v>
      </c>
      <c r="BK20" s="185" t="s">
        <v>244</v>
      </c>
      <c r="BL20" s="186" t="s">
        <v>149</v>
      </c>
      <c r="BM20" s="185">
        <v>2500</v>
      </c>
      <c r="BN20" s="186">
        <v>4000</v>
      </c>
      <c r="BO20" s="187">
        <v>5000</v>
      </c>
      <c r="BP20" s="186">
        <v>17.511658709677416</v>
      </c>
      <c r="BQ20" s="186">
        <v>20.983132903225805</v>
      </c>
      <c r="BR20" s="187">
        <v>23.297449032258061</v>
      </c>
      <c r="BS20" s="186">
        <v>5.7857903225806453</v>
      </c>
      <c r="BT20" s="187">
        <v>33.475369656867848</v>
      </c>
      <c r="BU20" s="187">
        <v>1.953125E-3</v>
      </c>
      <c r="BV20" s="187">
        <v>3.7109375E-2</v>
      </c>
      <c r="BW20" s="187">
        <v>3.8991767741935468</v>
      </c>
    </row>
    <row r="21" spans="18:75" x14ac:dyDescent="0.2">
      <c r="U21" s="185" t="s">
        <v>144</v>
      </c>
      <c r="V21" s="186" t="s">
        <v>149</v>
      </c>
      <c r="W21" s="185">
        <v>500</v>
      </c>
      <c r="X21" s="186">
        <v>800</v>
      </c>
      <c r="Y21" s="187">
        <v>1000</v>
      </c>
      <c r="Z21" s="186">
        <v>5.3084857641290331</v>
      </c>
      <c r="AA21" s="186">
        <v>6.4460184278709676</v>
      </c>
      <c r="AB21" s="187">
        <v>7.2043735370322581</v>
      </c>
      <c r="AC21" s="186">
        <v>1.8958877729032251</v>
      </c>
      <c r="AD21" s="187">
        <v>3.5943904474439505</v>
      </c>
      <c r="AE21" s="187">
        <v>1.953125E-3</v>
      </c>
      <c r="AF21" s="187">
        <v>3.90625E-2</v>
      </c>
      <c r="AG21" s="187">
        <v>1.2221896902193545</v>
      </c>
      <c r="AI21" s="185" t="s">
        <v>69</v>
      </c>
      <c r="AJ21" s="186" t="s">
        <v>19</v>
      </c>
      <c r="AK21" s="185">
        <v>0.06</v>
      </c>
      <c r="AL21" s="186">
        <v>0.1</v>
      </c>
      <c r="AM21" s="187">
        <v>0.15</v>
      </c>
      <c r="AN21" s="186">
        <v>11.183770154941934</v>
      </c>
      <c r="AO21" s="186">
        <v>12.652251400258065</v>
      </c>
      <c r="AP21" s="187">
        <v>14.487852956903225</v>
      </c>
      <c r="AQ21" s="186">
        <v>3.3040828019612913</v>
      </c>
      <c r="AR21" s="187">
        <v>10.916963162216378</v>
      </c>
      <c r="AS21" s="187">
        <v>3.90625E-3</v>
      </c>
      <c r="AT21" s="187">
        <v>4.4921875E-2</v>
      </c>
      <c r="AU21" s="187">
        <v>3.4007403090580635</v>
      </c>
      <c r="AW21" s="185" t="s">
        <v>253</v>
      </c>
      <c r="AX21" s="186" t="s">
        <v>151</v>
      </c>
      <c r="AY21" s="185">
        <v>0.3</v>
      </c>
      <c r="AZ21" s="186">
        <v>0.4</v>
      </c>
      <c r="BA21" s="187">
        <v>0.7</v>
      </c>
      <c r="BB21" s="186">
        <v>10840.6</v>
      </c>
      <c r="BC21" s="186">
        <v>11200.8</v>
      </c>
      <c r="BD21" s="187">
        <v>12281.4</v>
      </c>
      <c r="BE21" s="186">
        <v>1440.7999999999993</v>
      </c>
      <c r="BF21" s="187">
        <v>2075904.6399999978</v>
      </c>
      <c r="BG21" s="187">
        <v>1.953125E-3</v>
      </c>
      <c r="BH21" s="187">
        <v>4.00390625E-2</v>
      </c>
      <c r="BI21" s="187">
        <v>5240.3999999999996</v>
      </c>
      <c r="BK21" s="185" t="s">
        <v>144</v>
      </c>
      <c r="BL21" s="186" t="s">
        <v>149</v>
      </c>
      <c r="BM21" s="185">
        <v>500</v>
      </c>
      <c r="BN21" s="186">
        <v>800</v>
      </c>
      <c r="BO21" s="187">
        <v>1000</v>
      </c>
      <c r="BP21" s="186">
        <v>17.280227096774194</v>
      </c>
      <c r="BQ21" s="186">
        <v>20.983132903225805</v>
      </c>
      <c r="BR21" s="187">
        <v>23.451736774193545</v>
      </c>
      <c r="BS21" s="186">
        <v>6.1715096774193512</v>
      </c>
      <c r="BT21" s="187">
        <v>38.087531698480703</v>
      </c>
      <c r="BU21" s="187">
        <v>1.953125E-3</v>
      </c>
      <c r="BV21" s="187">
        <v>3.90625E-2</v>
      </c>
      <c r="BW21" s="187">
        <v>3.9784820645161276</v>
      </c>
    </row>
    <row r="22" spans="18:75" x14ac:dyDescent="0.2">
      <c r="S22" s="238"/>
      <c r="T22" s="238"/>
      <c r="U22" s="185" t="s">
        <v>248</v>
      </c>
      <c r="V22" s="186" t="s">
        <v>151</v>
      </c>
      <c r="W22" s="185">
        <v>0.4</v>
      </c>
      <c r="X22" s="186">
        <v>0.6</v>
      </c>
      <c r="Y22" s="187">
        <v>0.8</v>
      </c>
      <c r="Z22" s="186">
        <v>5.4980745414193546</v>
      </c>
      <c r="AA22" s="186">
        <v>6.4460184278709676</v>
      </c>
      <c r="AB22" s="187">
        <v>7.3939623143225806</v>
      </c>
      <c r="AC22" s="186">
        <v>1.895887772903226</v>
      </c>
      <c r="AD22" s="187">
        <v>3.5943904474439541</v>
      </c>
      <c r="AE22" s="187">
        <v>1.953125E-3</v>
      </c>
      <c r="AF22" s="187">
        <v>4.1015625E-2</v>
      </c>
      <c r="AG22" s="187">
        <v>1.2221896902193545</v>
      </c>
      <c r="AI22" s="185" t="s">
        <v>74</v>
      </c>
      <c r="AJ22" s="186" t="s">
        <v>19</v>
      </c>
      <c r="AK22" s="185">
        <v>0.1</v>
      </c>
      <c r="AL22" s="186">
        <v>0.2</v>
      </c>
      <c r="AM22" s="187">
        <v>0.3</v>
      </c>
      <c r="AN22" s="186">
        <v>10.612694115096774</v>
      </c>
      <c r="AO22" s="186">
        <v>12.652251400258065</v>
      </c>
      <c r="AP22" s="187">
        <v>14.691808685419355</v>
      </c>
      <c r="AQ22" s="186">
        <v>4.0791145703225808</v>
      </c>
      <c r="AR22" s="187">
        <v>16.639175677817974</v>
      </c>
      <c r="AS22" s="187">
        <v>1.953125E-3</v>
      </c>
      <c r="AT22" s="187">
        <v>4.6875E-2</v>
      </c>
      <c r="AU22" s="187">
        <v>3.5189469368980641</v>
      </c>
      <c r="AW22" s="185" t="s">
        <v>144</v>
      </c>
      <c r="AX22" s="186" t="s">
        <v>149</v>
      </c>
      <c r="AY22" s="185">
        <v>500</v>
      </c>
      <c r="AZ22" s="186">
        <v>800</v>
      </c>
      <c r="BA22" s="187">
        <v>1000</v>
      </c>
      <c r="BB22" s="186">
        <v>10240.799999999999</v>
      </c>
      <c r="BC22" s="186">
        <v>11200.8</v>
      </c>
      <c r="BD22" s="187">
        <v>11840.8</v>
      </c>
      <c r="BE22" s="186">
        <v>1600</v>
      </c>
      <c r="BF22" s="187">
        <v>2560000</v>
      </c>
      <c r="BG22" s="187">
        <v>1.953125E-3</v>
      </c>
      <c r="BH22" s="187">
        <v>4.19921875E-2</v>
      </c>
      <c r="BI22" s="187">
        <v>5240.3999999999996</v>
      </c>
      <c r="BK22" s="185" t="s">
        <v>248</v>
      </c>
      <c r="BL22" s="186" t="s">
        <v>151</v>
      </c>
      <c r="BM22" s="185">
        <v>0.4</v>
      </c>
      <c r="BN22" s="186">
        <v>0.6</v>
      </c>
      <c r="BO22" s="187">
        <v>0.8</v>
      </c>
      <c r="BP22" s="186">
        <v>17.897378064516126</v>
      </c>
      <c r="BQ22" s="186">
        <v>20.983132903225805</v>
      </c>
      <c r="BR22" s="187">
        <v>24.06888774193548</v>
      </c>
      <c r="BS22" s="186">
        <v>6.1715096774193547</v>
      </c>
      <c r="BT22" s="187">
        <v>38.087531698480745</v>
      </c>
      <c r="BU22" s="187">
        <v>1.953125E-3</v>
      </c>
      <c r="BV22" s="187">
        <v>4.1015625E-2</v>
      </c>
      <c r="BW22" s="187">
        <v>3.9784820645161276</v>
      </c>
    </row>
    <row r="23" spans="18:75" x14ac:dyDescent="0.2">
      <c r="S23" s="186"/>
      <c r="T23" s="186"/>
      <c r="U23" s="185" t="s">
        <v>74</v>
      </c>
      <c r="V23" s="186" t="s">
        <v>19</v>
      </c>
      <c r="W23" s="185">
        <v>0.1</v>
      </c>
      <c r="X23" s="186">
        <v>0.2</v>
      </c>
      <c r="Y23" s="187">
        <v>0.3</v>
      </c>
      <c r="Z23" s="186">
        <v>5.455447073032258</v>
      </c>
      <c r="AA23" s="186">
        <v>6.4460184278709676</v>
      </c>
      <c r="AB23" s="187">
        <v>7.4365897827096772</v>
      </c>
      <c r="AC23" s="186">
        <v>1.9811427096774192</v>
      </c>
      <c r="AD23" s="187">
        <v>3.9249264361079872</v>
      </c>
      <c r="AE23" s="187">
        <v>3.90625E-3</v>
      </c>
      <c r="AF23" s="187">
        <v>4.4921875E-2</v>
      </c>
      <c r="AG23" s="187">
        <v>1.2228476135225805</v>
      </c>
      <c r="AI23" s="185" t="s">
        <v>245</v>
      </c>
      <c r="AJ23" s="186" t="s">
        <v>149</v>
      </c>
      <c r="AK23" s="185">
        <v>200</v>
      </c>
      <c r="AL23" s="186">
        <v>500</v>
      </c>
      <c r="AM23" s="187">
        <v>1000</v>
      </c>
      <c r="AN23" s="186">
        <v>11.026549000258063</v>
      </c>
      <c r="AO23" s="186">
        <v>12.652251400258065</v>
      </c>
      <c r="AP23" s="187">
        <v>15.361755400258064</v>
      </c>
      <c r="AQ23" s="186">
        <v>4.3352064000000006</v>
      </c>
      <c r="AR23" s="187">
        <v>18.794014530600965</v>
      </c>
      <c r="AS23" s="187">
        <v>1.953125E-3</v>
      </c>
      <c r="AT23" s="187">
        <v>4.8828125E-2</v>
      </c>
      <c r="AU23" s="187">
        <v>3.5454056804748375</v>
      </c>
      <c r="AW23" s="185" t="s">
        <v>251</v>
      </c>
      <c r="AX23" s="186" t="s">
        <v>149</v>
      </c>
      <c r="AY23" s="185">
        <v>10</v>
      </c>
      <c r="AZ23" s="186">
        <v>20</v>
      </c>
      <c r="BA23" s="187">
        <v>40</v>
      </c>
      <c r="BB23" s="186">
        <v>10480.799999999999</v>
      </c>
      <c r="BC23" s="186">
        <v>11200.8</v>
      </c>
      <c r="BD23" s="187">
        <v>12640.8</v>
      </c>
      <c r="BE23" s="186">
        <v>2160</v>
      </c>
      <c r="BF23" s="187">
        <v>4665600</v>
      </c>
      <c r="BG23" s="187">
        <v>1.953125E-3</v>
      </c>
      <c r="BH23" s="187">
        <v>4.39453125E-2</v>
      </c>
      <c r="BI23" s="187">
        <v>5440.4</v>
      </c>
      <c r="BK23" s="185" t="s">
        <v>74</v>
      </c>
      <c r="BL23" s="186" t="s">
        <v>19</v>
      </c>
      <c r="BM23" s="185">
        <v>0.1</v>
      </c>
      <c r="BN23" s="186">
        <v>0.2</v>
      </c>
      <c r="BO23" s="187">
        <v>0.3</v>
      </c>
      <c r="BP23" s="186">
        <v>17.758616774193545</v>
      </c>
      <c r="BQ23" s="186">
        <v>20.983132903225805</v>
      </c>
      <c r="BR23" s="187">
        <v>24.207649032258061</v>
      </c>
      <c r="BS23" s="186">
        <v>6.4490322580645163</v>
      </c>
      <c r="BT23" s="187">
        <v>41.590017065556715</v>
      </c>
      <c r="BU23" s="187">
        <v>3.90625E-3</v>
      </c>
      <c r="BV23" s="187">
        <v>4.4921875E-2</v>
      </c>
      <c r="BW23" s="187">
        <v>3.9806237419354833</v>
      </c>
    </row>
    <row r="24" spans="18:75" x14ac:dyDescent="0.2">
      <c r="U24" s="185" t="s">
        <v>71</v>
      </c>
      <c r="V24" s="186" t="s">
        <v>19</v>
      </c>
      <c r="W24" s="185">
        <v>0.2</v>
      </c>
      <c r="X24" s="186">
        <v>0.3</v>
      </c>
      <c r="Y24" s="187">
        <v>0.5</v>
      </c>
      <c r="Z24" s="186">
        <v>5.6535613439999999</v>
      </c>
      <c r="AA24" s="186">
        <v>6.4460184278709676</v>
      </c>
      <c r="AB24" s="187">
        <v>8.030932595612903</v>
      </c>
      <c r="AC24" s="186">
        <v>2.3773712516129031</v>
      </c>
      <c r="AD24" s="187">
        <v>5.6518940679955012</v>
      </c>
      <c r="AE24" s="187">
        <v>3.90625E-3</v>
      </c>
      <c r="AF24" s="187">
        <v>4.8828125E-2</v>
      </c>
      <c r="AG24" s="187">
        <v>1.2228476135225805</v>
      </c>
      <c r="AI24" s="185" t="s">
        <v>246</v>
      </c>
      <c r="AJ24" s="186" t="s">
        <v>149</v>
      </c>
      <c r="AK24" s="185">
        <v>5</v>
      </c>
      <c r="AL24" s="186">
        <v>20</v>
      </c>
      <c r="AM24" s="187">
        <v>40</v>
      </c>
      <c r="AN24" s="186">
        <v>10.620123400258063</v>
      </c>
      <c r="AO24" s="186">
        <v>12.652251400258065</v>
      </c>
      <c r="AP24" s="187">
        <v>15.361755400258064</v>
      </c>
      <c r="AQ24" s="186">
        <v>4.741632000000001</v>
      </c>
      <c r="AR24" s="187">
        <v>22.48307402342401</v>
      </c>
      <c r="AS24" s="187">
        <v>3.90625E-3</v>
      </c>
      <c r="AT24" s="187">
        <v>5.2734375E-2</v>
      </c>
      <c r="AU24" s="187">
        <v>3.5966869768258056</v>
      </c>
      <c r="AW24" s="185" t="s">
        <v>249</v>
      </c>
      <c r="AX24" s="186" t="s">
        <v>149</v>
      </c>
      <c r="AY24" s="185">
        <v>2000</v>
      </c>
      <c r="AZ24" s="186">
        <v>30000</v>
      </c>
      <c r="BA24" s="187">
        <v>50000</v>
      </c>
      <c r="BB24" s="186">
        <v>9856.7999999999993</v>
      </c>
      <c r="BC24" s="186">
        <v>11200.8</v>
      </c>
      <c r="BD24" s="187">
        <v>12160.8</v>
      </c>
      <c r="BE24" s="186">
        <v>2304</v>
      </c>
      <c r="BF24" s="187">
        <v>5308416</v>
      </c>
      <c r="BG24" s="187">
        <v>1.953125E-3</v>
      </c>
      <c r="BH24" s="187">
        <v>4.58984375E-2</v>
      </c>
      <c r="BI24" s="187">
        <v>5440.4</v>
      </c>
      <c r="BK24" s="185" t="s">
        <v>71</v>
      </c>
      <c r="BL24" s="186" t="s">
        <v>19</v>
      </c>
      <c r="BM24" s="185">
        <v>0.2</v>
      </c>
      <c r="BN24" s="186">
        <v>0.3</v>
      </c>
      <c r="BO24" s="187">
        <v>0.5</v>
      </c>
      <c r="BP24" s="186">
        <v>18.403519999999997</v>
      </c>
      <c r="BQ24" s="186">
        <v>20.983132903225805</v>
      </c>
      <c r="BR24" s="187">
        <v>26.142358709677417</v>
      </c>
      <c r="BS24" s="186">
        <v>7.7388387096774203</v>
      </c>
      <c r="BT24" s="187">
        <v>59.88962457440168</v>
      </c>
      <c r="BU24" s="187">
        <v>3.90625E-3</v>
      </c>
      <c r="BV24" s="187">
        <v>4.8828125E-2</v>
      </c>
      <c r="BW24" s="187">
        <v>3.9806237419354833</v>
      </c>
    </row>
    <row r="25" spans="18:75" x14ac:dyDescent="0.2">
      <c r="U25" s="185" t="s">
        <v>247</v>
      </c>
      <c r="V25" s="186" t="s">
        <v>150</v>
      </c>
      <c r="W25" s="185">
        <v>50</v>
      </c>
      <c r="X25" s="186">
        <v>100</v>
      </c>
      <c r="Y25" s="187">
        <v>150</v>
      </c>
      <c r="Z25" s="186">
        <v>5.0241025981935481</v>
      </c>
      <c r="AA25" s="186">
        <v>6.4460184278709676</v>
      </c>
      <c r="AB25" s="187">
        <v>7.867934257548387</v>
      </c>
      <c r="AC25" s="186">
        <v>2.8438316593548389</v>
      </c>
      <c r="AD25" s="187">
        <v>8.0873785067488964</v>
      </c>
      <c r="AE25" s="187">
        <v>1.953125E-3</v>
      </c>
      <c r="AF25" s="187">
        <v>5.078125E-2</v>
      </c>
      <c r="AG25" s="187">
        <v>1.2668544297290323</v>
      </c>
      <c r="AI25" s="185" t="s">
        <v>71</v>
      </c>
      <c r="AJ25" s="186" t="s">
        <v>19</v>
      </c>
      <c r="AK25" s="185">
        <v>0.2</v>
      </c>
      <c r="AL25" s="186">
        <v>0.3</v>
      </c>
      <c r="AM25" s="187">
        <v>0.5</v>
      </c>
      <c r="AN25" s="186">
        <v>11.020605572129032</v>
      </c>
      <c r="AO25" s="186">
        <v>12.652251400258065</v>
      </c>
      <c r="AP25" s="187">
        <v>15.91554305651613</v>
      </c>
      <c r="AQ25" s="186">
        <v>4.8949374843870981</v>
      </c>
      <c r="AR25" s="187">
        <v>23.960412976057892</v>
      </c>
      <c r="AS25" s="187">
        <v>3.90625E-3</v>
      </c>
      <c r="AT25" s="187">
        <v>5.6640625E-2</v>
      </c>
      <c r="AU25" s="187">
        <v>3.6921384325780626</v>
      </c>
      <c r="AW25" s="185" t="s">
        <v>247</v>
      </c>
      <c r="AX25" s="186" t="s">
        <v>150</v>
      </c>
      <c r="AY25" s="185">
        <v>50</v>
      </c>
      <c r="AZ25" s="186">
        <v>100</v>
      </c>
      <c r="BA25" s="187">
        <v>150</v>
      </c>
      <c r="BB25" s="186">
        <v>10000.799999999999</v>
      </c>
      <c r="BC25" s="186">
        <v>11200.8</v>
      </c>
      <c r="BD25" s="187">
        <v>12400.8</v>
      </c>
      <c r="BE25" s="186">
        <v>2400</v>
      </c>
      <c r="BF25" s="187">
        <v>5760000</v>
      </c>
      <c r="BG25" s="187">
        <v>3.90625E-3</v>
      </c>
      <c r="BH25" s="187">
        <v>4.98046875E-2</v>
      </c>
      <c r="BI25" s="187">
        <v>5520.4</v>
      </c>
      <c r="BK25" s="185" t="s">
        <v>247</v>
      </c>
      <c r="BL25" s="186" t="s">
        <v>150</v>
      </c>
      <c r="BM25" s="185">
        <v>50</v>
      </c>
      <c r="BN25" s="186">
        <v>100</v>
      </c>
      <c r="BO25" s="187">
        <v>150</v>
      </c>
      <c r="BP25" s="186">
        <v>16.354500645161288</v>
      </c>
      <c r="BQ25" s="186">
        <v>20.983132903225805</v>
      </c>
      <c r="BR25" s="187">
        <v>25.611765161290322</v>
      </c>
      <c r="BS25" s="186">
        <v>9.2572645161290339</v>
      </c>
      <c r="BT25" s="187">
        <v>85.69694632158172</v>
      </c>
      <c r="BU25" s="187">
        <v>1.953125E-3</v>
      </c>
      <c r="BV25" s="187">
        <v>5.078125E-2</v>
      </c>
      <c r="BW25" s="187">
        <v>4.1238750967741931</v>
      </c>
    </row>
    <row r="26" spans="18:75" x14ac:dyDescent="0.2">
      <c r="U26" s="185" t="s">
        <v>147</v>
      </c>
      <c r="V26" s="186" t="s">
        <v>150</v>
      </c>
      <c r="W26" s="185">
        <v>50</v>
      </c>
      <c r="X26" s="186">
        <v>100</v>
      </c>
      <c r="Y26" s="187">
        <v>150</v>
      </c>
      <c r="Z26" s="186">
        <v>4.9293082095483873</v>
      </c>
      <c r="AA26" s="186">
        <v>6.4460184278709676</v>
      </c>
      <c r="AB26" s="187">
        <v>7.9627286461935487</v>
      </c>
      <c r="AC26" s="186">
        <v>3.0334204366451614</v>
      </c>
      <c r="AD26" s="187">
        <v>9.201639545456521</v>
      </c>
      <c r="AE26" s="187">
        <v>1.953125E-3</v>
      </c>
      <c r="AF26" s="187">
        <v>5.2734375E-2</v>
      </c>
      <c r="AG26" s="187">
        <v>1.2668544297290323</v>
      </c>
      <c r="AI26" s="185" t="s">
        <v>146</v>
      </c>
      <c r="AJ26" s="186" t="s">
        <v>149</v>
      </c>
      <c r="AK26" s="185">
        <v>5</v>
      </c>
      <c r="AL26" s="186">
        <v>20</v>
      </c>
      <c r="AM26" s="187">
        <v>40</v>
      </c>
      <c r="AN26" s="186">
        <v>10.484648200258064</v>
      </c>
      <c r="AO26" s="186">
        <v>12.652251400258065</v>
      </c>
      <c r="AP26" s="187">
        <v>15.542389000258066</v>
      </c>
      <c r="AQ26" s="186">
        <v>5.0577408000000013</v>
      </c>
      <c r="AR26" s="187">
        <v>25.580741999984653</v>
      </c>
      <c r="AS26" s="187">
        <v>7.8125E-3</v>
      </c>
      <c r="AT26" s="187">
        <v>6.4453125E-2</v>
      </c>
      <c r="AU26" s="187">
        <v>3.7643557458580634</v>
      </c>
      <c r="AW26" s="185" t="s">
        <v>147</v>
      </c>
      <c r="AX26" s="186" t="s">
        <v>150</v>
      </c>
      <c r="AY26" s="185">
        <v>50</v>
      </c>
      <c r="AZ26" s="186">
        <v>100</v>
      </c>
      <c r="BA26" s="187">
        <v>150</v>
      </c>
      <c r="BB26" s="186">
        <v>9920.7999999999993</v>
      </c>
      <c r="BC26" s="186">
        <v>11200.8</v>
      </c>
      <c r="BD26" s="187">
        <v>12480.8</v>
      </c>
      <c r="BE26" s="186">
        <v>2560</v>
      </c>
      <c r="BF26" s="187">
        <v>6553600</v>
      </c>
      <c r="BG26" s="187">
        <v>1.953125E-3</v>
      </c>
      <c r="BH26" s="187">
        <v>5.17578125E-2</v>
      </c>
      <c r="BI26" s="187">
        <v>5600.4</v>
      </c>
      <c r="BK26" s="185" t="s">
        <v>147</v>
      </c>
      <c r="BL26" s="186" t="s">
        <v>150</v>
      </c>
      <c r="BM26" s="185">
        <v>50</v>
      </c>
      <c r="BN26" s="186">
        <v>100</v>
      </c>
      <c r="BO26" s="187">
        <v>150</v>
      </c>
      <c r="BP26" s="186">
        <v>16.04592516129032</v>
      </c>
      <c r="BQ26" s="186">
        <v>20.983132903225805</v>
      </c>
      <c r="BR26" s="187">
        <v>25.920340645161289</v>
      </c>
      <c r="BS26" s="186">
        <v>9.874415483870969</v>
      </c>
      <c r="BT26" s="187">
        <v>97.504081148110743</v>
      </c>
      <c r="BU26" s="187">
        <v>1.953125E-3</v>
      </c>
      <c r="BV26" s="187">
        <v>5.2734375E-2</v>
      </c>
      <c r="BW26" s="187">
        <v>4.1238750967741931</v>
      </c>
    </row>
    <row r="27" spans="18:75" x14ac:dyDescent="0.2">
      <c r="U27" s="185" t="s">
        <v>76</v>
      </c>
      <c r="V27" s="186" t="s">
        <v>19</v>
      </c>
      <c r="W27" s="185">
        <v>0.08</v>
      </c>
      <c r="X27" s="186">
        <v>0.1</v>
      </c>
      <c r="Y27" s="187">
        <v>0.2</v>
      </c>
      <c r="Z27" s="186">
        <v>5.8516756149677418</v>
      </c>
      <c r="AA27" s="186">
        <v>6.4460184278709676</v>
      </c>
      <c r="AB27" s="187">
        <v>9.4177324923870955</v>
      </c>
      <c r="AC27" s="186">
        <v>3.5660568774193537</v>
      </c>
      <c r="AD27" s="187">
        <v>12.716761652989872</v>
      </c>
      <c r="AE27" s="187">
        <v>3.90625E-3</v>
      </c>
      <c r="AF27" s="187">
        <v>5.6640625E-2</v>
      </c>
      <c r="AG27" s="187">
        <v>1.4693130240000001</v>
      </c>
      <c r="AI27" s="185" t="s">
        <v>145</v>
      </c>
      <c r="AJ27" s="186" t="s">
        <v>149</v>
      </c>
      <c r="AK27" s="185">
        <v>500</v>
      </c>
      <c r="AL27" s="186">
        <v>2000</v>
      </c>
      <c r="AM27" s="187">
        <v>4000</v>
      </c>
      <c r="AN27" s="186">
        <v>10.484648200258064</v>
      </c>
      <c r="AO27" s="186">
        <v>12.652251400258065</v>
      </c>
      <c r="AP27" s="187">
        <v>15.542389000258066</v>
      </c>
      <c r="AQ27" s="186">
        <v>5.0577408000000013</v>
      </c>
      <c r="AR27" s="187">
        <v>25.580741999984653</v>
      </c>
      <c r="AS27" s="187">
        <v>9.765625E-4</v>
      </c>
      <c r="AT27" s="187">
        <v>6.54296875E-2</v>
      </c>
      <c r="AU27" s="187">
        <v>3.8445815371974179</v>
      </c>
      <c r="AW27" s="185" t="s">
        <v>245</v>
      </c>
      <c r="AX27" s="186" t="s">
        <v>149</v>
      </c>
      <c r="AY27" s="185">
        <v>200</v>
      </c>
      <c r="AZ27" s="186">
        <v>500</v>
      </c>
      <c r="BA27" s="187">
        <v>1000</v>
      </c>
      <c r="BB27" s="186">
        <v>9760.7999999999993</v>
      </c>
      <c r="BC27" s="186">
        <v>11200.8</v>
      </c>
      <c r="BD27" s="187">
        <v>13600.8</v>
      </c>
      <c r="BE27" s="186">
        <v>3840</v>
      </c>
      <c r="BF27" s="187">
        <v>14745600</v>
      </c>
      <c r="BG27" s="187">
        <v>1.953125E-3</v>
      </c>
      <c r="BH27" s="187">
        <v>5.37109375E-2</v>
      </c>
      <c r="BI27" s="187">
        <v>5600.4</v>
      </c>
      <c r="BK27" s="185" t="s">
        <v>76</v>
      </c>
      <c r="BL27" s="186" t="s">
        <v>19</v>
      </c>
      <c r="BM27" s="185">
        <v>0.08</v>
      </c>
      <c r="BN27" s="186">
        <v>0.1</v>
      </c>
      <c r="BO27" s="187">
        <v>0.2</v>
      </c>
      <c r="BP27" s="186">
        <v>19.048423225806449</v>
      </c>
      <c r="BQ27" s="186">
        <v>20.983132903225805</v>
      </c>
      <c r="BR27" s="187">
        <v>30.656681290322574</v>
      </c>
      <c r="BS27" s="186">
        <v>11.608258064516125</v>
      </c>
      <c r="BT27" s="187">
        <v>134.75165529240365</v>
      </c>
      <c r="BU27" s="187">
        <v>3.90625E-3</v>
      </c>
      <c r="BV27" s="187">
        <v>5.6640625E-2</v>
      </c>
      <c r="BW27" s="187">
        <v>4.7829199999999998</v>
      </c>
    </row>
    <row r="28" spans="18:75" x14ac:dyDescent="0.2">
      <c r="U28" s="185" t="s">
        <v>245</v>
      </c>
      <c r="V28" s="186" t="s">
        <v>149</v>
      </c>
      <c r="W28" s="185">
        <v>200</v>
      </c>
      <c r="X28" s="186">
        <v>500</v>
      </c>
      <c r="Y28" s="187">
        <v>1000</v>
      </c>
      <c r="Z28" s="186">
        <v>4.739719432258064</v>
      </c>
      <c r="AA28" s="186">
        <v>6.4460184278709676</v>
      </c>
      <c r="AB28" s="187">
        <v>9.2898500872258065</v>
      </c>
      <c r="AC28" s="186">
        <v>4.5501306549677425</v>
      </c>
      <c r="AD28" s="187">
        <v>20.703688977277178</v>
      </c>
      <c r="AE28" s="187">
        <v>3.90625E-3</v>
      </c>
      <c r="AF28" s="187">
        <v>6.0546875E-2</v>
      </c>
      <c r="AG28" s="187">
        <v>1.5429637285161288</v>
      </c>
      <c r="AI28" s="185" t="s">
        <v>244</v>
      </c>
      <c r="AJ28" s="186" t="s">
        <v>149</v>
      </c>
      <c r="AK28" s="185">
        <v>2500</v>
      </c>
      <c r="AL28" s="186">
        <v>4000</v>
      </c>
      <c r="AM28" s="187">
        <v>5000</v>
      </c>
      <c r="AN28" s="186">
        <v>9.6040594002580626</v>
      </c>
      <c r="AO28" s="186">
        <v>12.652251400258065</v>
      </c>
      <c r="AP28" s="187">
        <v>14.684379400258063</v>
      </c>
      <c r="AQ28" s="186">
        <v>5.0803200000000004</v>
      </c>
      <c r="AR28" s="187">
        <v>25.809651302400002</v>
      </c>
      <c r="AS28" s="187">
        <v>7.8125E-3</v>
      </c>
      <c r="AT28" s="187">
        <v>7.32421875E-2</v>
      </c>
      <c r="AU28" s="187">
        <v>3.9812966994580634</v>
      </c>
      <c r="AW28" s="185" t="s">
        <v>246</v>
      </c>
      <c r="AX28" s="186" t="s">
        <v>149</v>
      </c>
      <c r="AY28" s="185">
        <v>5</v>
      </c>
      <c r="AZ28" s="186">
        <v>20</v>
      </c>
      <c r="BA28" s="187">
        <v>40</v>
      </c>
      <c r="BB28" s="186">
        <v>9400.7999999999993</v>
      </c>
      <c r="BC28" s="186">
        <v>11200.8</v>
      </c>
      <c r="BD28" s="187">
        <v>13600.8</v>
      </c>
      <c r="BE28" s="186">
        <v>4200</v>
      </c>
      <c r="BF28" s="187">
        <v>17640000</v>
      </c>
      <c r="BG28" s="187">
        <v>1.953125E-3</v>
      </c>
      <c r="BH28" s="187">
        <v>5.56640625E-2</v>
      </c>
      <c r="BI28" s="187">
        <v>5600.4</v>
      </c>
      <c r="BK28" s="185" t="s">
        <v>245</v>
      </c>
      <c r="BL28" s="186" t="s">
        <v>149</v>
      </c>
      <c r="BM28" s="185">
        <v>200</v>
      </c>
      <c r="BN28" s="186">
        <v>500</v>
      </c>
      <c r="BO28" s="187">
        <v>1000</v>
      </c>
      <c r="BP28" s="186">
        <v>15.428774193548383</v>
      </c>
      <c r="BQ28" s="186">
        <v>20.983132903225805</v>
      </c>
      <c r="BR28" s="187">
        <v>30.240397419354835</v>
      </c>
      <c r="BS28" s="186">
        <v>14.811623225806452</v>
      </c>
      <c r="BT28" s="187">
        <v>219.38418258324913</v>
      </c>
      <c r="BU28" s="187">
        <v>3.90625E-3</v>
      </c>
      <c r="BV28" s="187">
        <v>6.0546875E-2</v>
      </c>
      <c r="BW28" s="187">
        <v>5.0226683870967728</v>
      </c>
    </row>
    <row r="29" spans="18:75" x14ac:dyDescent="0.2">
      <c r="U29" s="185" t="s">
        <v>246</v>
      </c>
      <c r="V29" s="186" t="s">
        <v>149</v>
      </c>
      <c r="W29" s="185">
        <v>5</v>
      </c>
      <c r="X29" s="186">
        <v>20</v>
      </c>
      <c r="Y29" s="187">
        <v>40</v>
      </c>
      <c r="Z29" s="186">
        <v>4.3131446833548388</v>
      </c>
      <c r="AA29" s="186">
        <v>6.4460184278709676</v>
      </c>
      <c r="AB29" s="187">
        <v>9.2898500872258065</v>
      </c>
      <c r="AC29" s="186">
        <v>4.9767054038709677</v>
      </c>
      <c r="AD29" s="187">
        <v>24.76759667691849</v>
      </c>
      <c r="AE29" s="187">
        <v>7.8125E-3</v>
      </c>
      <c r="AF29" s="187">
        <v>6.8359375E-2</v>
      </c>
      <c r="AG29" s="187">
        <v>1.6566557927225802</v>
      </c>
      <c r="AI29" s="185" t="s">
        <v>248</v>
      </c>
      <c r="AJ29" s="186" t="s">
        <v>151</v>
      </c>
      <c r="AK29" s="185">
        <v>0.4</v>
      </c>
      <c r="AL29" s="186">
        <v>0.6</v>
      </c>
      <c r="AM29" s="187">
        <v>0.8</v>
      </c>
      <c r="AN29" s="186">
        <v>9.942747400258062</v>
      </c>
      <c r="AO29" s="186">
        <v>12.652251400258065</v>
      </c>
      <c r="AP29" s="187">
        <v>15.361755400258064</v>
      </c>
      <c r="AQ29" s="186">
        <v>5.4190080000000016</v>
      </c>
      <c r="AR29" s="187">
        <v>29.365647704064017</v>
      </c>
      <c r="AS29" s="187">
        <v>9.765625E-4</v>
      </c>
      <c r="AT29" s="187">
        <v>7.421875E-2</v>
      </c>
      <c r="AU29" s="187">
        <v>3.9955469424309666</v>
      </c>
      <c r="AW29" s="185" t="s">
        <v>145</v>
      </c>
      <c r="AX29" s="186" t="s">
        <v>149</v>
      </c>
      <c r="AY29" s="185">
        <v>500</v>
      </c>
      <c r="AZ29" s="186">
        <v>2000</v>
      </c>
      <c r="BA29" s="187">
        <v>4000</v>
      </c>
      <c r="BB29" s="186">
        <v>9280.7999999999993</v>
      </c>
      <c r="BC29" s="186">
        <v>11200.8</v>
      </c>
      <c r="BD29" s="187">
        <v>13760.8</v>
      </c>
      <c r="BE29" s="186">
        <v>4480</v>
      </c>
      <c r="BF29" s="187">
        <v>20070400</v>
      </c>
      <c r="BG29" s="187">
        <v>1.953125E-3</v>
      </c>
      <c r="BH29" s="187">
        <v>5.76171875E-2</v>
      </c>
      <c r="BI29" s="187">
        <v>5600.4</v>
      </c>
      <c r="BK29" s="185" t="s">
        <v>246</v>
      </c>
      <c r="BL29" s="186" t="s">
        <v>149</v>
      </c>
      <c r="BM29" s="185">
        <v>5</v>
      </c>
      <c r="BN29" s="186">
        <v>20</v>
      </c>
      <c r="BO29" s="187">
        <v>40</v>
      </c>
      <c r="BP29" s="186">
        <v>14.040184516129031</v>
      </c>
      <c r="BQ29" s="186">
        <v>20.983132903225805</v>
      </c>
      <c r="BR29" s="187">
        <v>30.240397419354835</v>
      </c>
      <c r="BS29" s="186">
        <v>16.200212903225804</v>
      </c>
      <c r="BT29" s="187">
        <v>262.44689810984386</v>
      </c>
      <c r="BU29" s="187">
        <v>7.8125E-3</v>
      </c>
      <c r="BV29" s="187">
        <v>6.8359375E-2</v>
      </c>
      <c r="BW29" s="187">
        <v>5.3927597419354818</v>
      </c>
    </row>
    <row r="30" spans="18:75" x14ac:dyDescent="0.2">
      <c r="U30" s="185" t="s">
        <v>59</v>
      </c>
      <c r="V30" s="186" t="s">
        <v>2</v>
      </c>
      <c r="W30" s="185">
        <v>3</v>
      </c>
      <c r="X30" s="186">
        <v>5</v>
      </c>
      <c r="Y30" s="187">
        <v>7</v>
      </c>
      <c r="Z30" s="186">
        <v>3.8676110567225805</v>
      </c>
      <c r="AA30" s="186">
        <v>6.4460184278709676</v>
      </c>
      <c r="AB30" s="187">
        <v>9.0244257990193546</v>
      </c>
      <c r="AC30" s="186">
        <v>5.1568147422967741</v>
      </c>
      <c r="AD30" s="187">
        <v>26.592738286369343</v>
      </c>
      <c r="AE30" s="187">
        <v>9.765625E-4</v>
      </c>
      <c r="AF30" s="187">
        <v>6.93359375E-2</v>
      </c>
      <c r="AG30" s="187">
        <v>1.6566557927225802</v>
      </c>
      <c r="AI30" s="185" t="s">
        <v>76</v>
      </c>
      <c r="AJ30" s="186" t="s">
        <v>19</v>
      </c>
      <c r="AK30" s="185">
        <v>0.08</v>
      </c>
      <c r="AL30" s="186">
        <v>0.1</v>
      </c>
      <c r="AM30" s="187">
        <v>0.2</v>
      </c>
      <c r="AN30" s="186">
        <v>11.42851702916129</v>
      </c>
      <c r="AO30" s="186">
        <v>12.652251400258065</v>
      </c>
      <c r="AP30" s="187">
        <v>18.770923255741938</v>
      </c>
      <c r="AQ30" s="186">
        <v>7.342406226580648</v>
      </c>
      <c r="AR30" s="187">
        <v>53.910929196130269</v>
      </c>
      <c r="AS30" s="187">
        <v>1.953125E-3</v>
      </c>
      <c r="AT30" s="187">
        <v>7.6171875E-2</v>
      </c>
      <c r="AU30" s="187">
        <v>4.0533520251870954</v>
      </c>
      <c r="AW30" s="185" t="s">
        <v>146</v>
      </c>
      <c r="AX30" s="186" t="s">
        <v>149</v>
      </c>
      <c r="AY30" s="185">
        <v>5</v>
      </c>
      <c r="AZ30" s="186">
        <v>20</v>
      </c>
      <c r="BA30" s="187">
        <v>40</v>
      </c>
      <c r="BB30" s="186">
        <v>9280.7999999999993</v>
      </c>
      <c r="BC30" s="186">
        <v>11200.8</v>
      </c>
      <c r="BD30" s="187">
        <v>13760.8</v>
      </c>
      <c r="BE30" s="186">
        <v>4480</v>
      </c>
      <c r="BF30" s="187">
        <v>20070400</v>
      </c>
      <c r="BG30" s="187">
        <v>1.953125E-3</v>
      </c>
      <c r="BH30" s="187">
        <v>5.95703125E-2</v>
      </c>
      <c r="BI30" s="187">
        <v>5720.8</v>
      </c>
      <c r="BK30" s="185" t="s">
        <v>59</v>
      </c>
      <c r="BL30" s="186" t="s">
        <v>2</v>
      </c>
      <c r="BM30" s="185">
        <v>3</v>
      </c>
      <c r="BN30" s="186">
        <v>5</v>
      </c>
      <c r="BO30" s="187">
        <v>7</v>
      </c>
      <c r="BP30" s="186">
        <v>12.589879741935482</v>
      </c>
      <c r="BQ30" s="186">
        <v>20.983132903225805</v>
      </c>
      <c r="BR30" s="187">
        <v>29.376386064516126</v>
      </c>
      <c r="BS30" s="186">
        <v>16.786506322580642</v>
      </c>
      <c r="BT30" s="187">
        <v>281.78679451803987</v>
      </c>
      <c r="BU30" s="187">
        <v>9.765625E-4</v>
      </c>
      <c r="BV30" s="187">
        <v>6.93359375E-2</v>
      </c>
      <c r="BW30" s="187">
        <v>5.3927597419354818</v>
      </c>
    </row>
    <row r="31" spans="18:75" x14ac:dyDescent="0.2">
      <c r="U31" s="185" t="s">
        <v>146</v>
      </c>
      <c r="V31" s="186" t="s">
        <v>149</v>
      </c>
      <c r="W31" s="185">
        <v>5</v>
      </c>
      <c r="X31" s="186">
        <v>20</v>
      </c>
      <c r="Y31" s="187">
        <v>40</v>
      </c>
      <c r="Z31" s="186">
        <v>4.1709531003870968</v>
      </c>
      <c r="AA31" s="186">
        <v>6.4460184278709676</v>
      </c>
      <c r="AB31" s="187">
        <v>9.479438864516128</v>
      </c>
      <c r="AC31" s="186">
        <v>5.3084857641290313</v>
      </c>
      <c r="AD31" s="187">
        <v>28.180021107960584</v>
      </c>
      <c r="AE31" s="187">
        <v>9.765625E-4</v>
      </c>
      <c r="AF31" s="187">
        <v>7.03125E-2</v>
      </c>
      <c r="AG31" s="187">
        <v>1.676957947045161</v>
      </c>
      <c r="AI31" s="185" t="s">
        <v>154</v>
      </c>
      <c r="AJ31" s="186" t="s">
        <v>155</v>
      </c>
      <c r="AK31" s="185">
        <v>1</v>
      </c>
      <c r="AL31" s="186">
        <v>2</v>
      </c>
      <c r="AM31" s="187">
        <v>4</v>
      </c>
      <c r="AN31" s="186">
        <v>9.4003950162580647</v>
      </c>
      <c r="AO31" s="186">
        <v>12.652251400258065</v>
      </c>
      <c r="AP31" s="187">
        <v>19.155964168258066</v>
      </c>
      <c r="AQ31" s="186">
        <v>9.7555691520000014</v>
      </c>
      <c r="AR31" s="187">
        <v>95.171129479454024</v>
      </c>
      <c r="AS31" s="187">
        <v>1.953125E-3</v>
      </c>
      <c r="AT31" s="187">
        <v>7.8125E-2</v>
      </c>
      <c r="AU31" s="187">
        <v>4.1186947732645152</v>
      </c>
      <c r="AW31" s="185" t="s">
        <v>244</v>
      </c>
      <c r="AX31" s="186" t="s">
        <v>149</v>
      </c>
      <c r="AY31" s="185">
        <v>2500</v>
      </c>
      <c r="AZ31" s="186">
        <v>4000</v>
      </c>
      <c r="BA31" s="187">
        <v>5000</v>
      </c>
      <c r="BB31" s="186">
        <v>8500.7999999999993</v>
      </c>
      <c r="BC31" s="186">
        <v>11200.8</v>
      </c>
      <c r="BD31" s="187">
        <v>13000.8</v>
      </c>
      <c r="BE31" s="186">
        <v>4500</v>
      </c>
      <c r="BF31" s="187">
        <v>20250000</v>
      </c>
      <c r="BG31" s="187">
        <v>1.953125E-3</v>
      </c>
      <c r="BH31" s="187">
        <v>6.15234375E-2</v>
      </c>
      <c r="BI31" s="187">
        <v>5720.8</v>
      </c>
      <c r="BK31" s="185" t="s">
        <v>146</v>
      </c>
      <c r="BL31" s="186" t="s">
        <v>149</v>
      </c>
      <c r="BM31" s="185">
        <v>5</v>
      </c>
      <c r="BN31" s="186">
        <v>20</v>
      </c>
      <c r="BO31" s="187">
        <v>40</v>
      </c>
      <c r="BP31" s="186">
        <v>13.57732129032258</v>
      </c>
      <c r="BQ31" s="186">
        <v>20.983132903225805</v>
      </c>
      <c r="BR31" s="187">
        <v>30.857548387096767</v>
      </c>
      <c r="BS31" s="186">
        <v>17.280227096774187</v>
      </c>
      <c r="BT31" s="187">
        <v>298.60624851608884</v>
      </c>
      <c r="BU31" s="187">
        <v>9.765625E-4</v>
      </c>
      <c r="BV31" s="187">
        <v>7.03125E-2</v>
      </c>
      <c r="BW31" s="187">
        <v>5.458847483870966</v>
      </c>
    </row>
    <row r="32" spans="18:75" x14ac:dyDescent="0.2">
      <c r="U32" s="185" t="s">
        <v>145</v>
      </c>
      <c r="V32" s="186" t="s">
        <v>149</v>
      </c>
      <c r="W32" s="185">
        <v>500</v>
      </c>
      <c r="X32" s="186">
        <v>2000</v>
      </c>
      <c r="Y32" s="187">
        <v>4000</v>
      </c>
      <c r="Z32" s="186">
        <v>4.1709531003870968</v>
      </c>
      <c r="AA32" s="186">
        <v>6.4460184278709676</v>
      </c>
      <c r="AB32" s="187">
        <v>9.479438864516128</v>
      </c>
      <c r="AC32" s="186">
        <v>5.3084857641290313</v>
      </c>
      <c r="AD32" s="187">
        <v>28.180021107960584</v>
      </c>
      <c r="AE32" s="187">
        <v>9.765625E-4</v>
      </c>
      <c r="AF32" s="187">
        <v>7.12890625E-2</v>
      </c>
      <c r="AG32" s="187">
        <v>1.676957947045161</v>
      </c>
      <c r="AI32" s="185" t="s">
        <v>59</v>
      </c>
      <c r="AJ32" s="186" t="s">
        <v>2</v>
      </c>
      <c r="AK32" s="185">
        <v>3</v>
      </c>
      <c r="AL32" s="186">
        <v>5</v>
      </c>
      <c r="AM32" s="187">
        <v>7</v>
      </c>
      <c r="AN32" s="186">
        <v>7.5941493330580636</v>
      </c>
      <c r="AO32" s="186">
        <v>12.652251400258065</v>
      </c>
      <c r="AP32" s="187">
        <v>17.710353467458066</v>
      </c>
      <c r="AQ32" s="186">
        <v>10.116204134400004</v>
      </c>
      <c r="AR32" s="187">
        <v>102.33758608885174</v>
      </c>
      <c r="AS32" s="187">
        <v>1.953125E-3</v>
      </c>
      <c r="AT32" s="187">
        <v>8.0078125E-2</v>
      </c>
      <c r="AU32" s="187">
        <v>4.1579983138683856</v>
      </c>
      <c r="AW32" s="185" t="s">
        <v>248</v>
      </c>
      <c r="AX32" s="186" t="s">
        <v>151</v>
      </c>
      <c r="AY32" s="185">
        <v>0.4</v>
      </c>
      <c r="AZ32" s="186">
        <v>0.6</v>
      </c>
      <c r="BA32" s="187">
        <v>0.8</v>
      </c>
      <c r="BB32" s="186">
        <v>8800.7999999999993</v>
      </c>
      <c r="BC32" s="186">
        <v>11200.8</v>
      </c>
      <c r="BD32" s="187">
        <v>13600.8</v>
      </c>
      <c r="BE32" s="186">
        <v>4800</v>
      </c>
      <c r="BF32" s="187">
        <v>23040000</v>
      </c>
      <c r="BG32" s="187">
        <v>3.90625E-3</v>
      </c>
      <c r="BH32" s="187">
        <v>6.54296875E-2</v>
      </c>
      <c r="BI32" s="187">
        <v>5920.4</v>
      </c>
      <c r="BK32" s="185" t="s">
        <v>145</v>
      </c>
      <c r="BL32" s="186" t="s">
        <v>149</v>
      </c>
      <c r="BM32" s="185">
        <v>500</v>
      </c>
      <c r="BN32" s="186">
        <v>2000</v>
      </c>
      <c r="BO32" s="187">
        <v>4000</v>
      </c>
      <c r="BP32" s="186">
        <v>13.57732129032258</v>
      </c>
      <c r="BQ32" s="186">
        <v>20.983132903225805</v>
      </c>
      <c r="BR32" s="187">
        <v>30.857548387096767</v>
      </c>
      <c r="BS32" s="186">
        <v>17.280227096774187</v>
      </c>
      <c r="BT32" s="187">
        <v>298.60624851608884</v>
      </c>
      <c r="BU32" s="187">
        <v>9.765625E-4</v>
      </c>
      <c r="BV32" s="187">
        <v>7.12890625E-2</v>
      </c>
      <c r="BW32" s="187">
        <v>5.458847483870966</v>
      </c>
    </row>
    <row r="33" spans="21:75" x14ac:dyDescent="0.2">
      <c r="U33" s="185" t="s">
        <v>25</v>
      </c>
      <c r="V33" s="186" t="s">
        <v>19</v>
      </c>
      <c r="W33" s="185">
        <v>0.5</v>
      </c>
      <c r="X33" s="186">
        <v>0.75</v>
      </c>
      <c r="Y33" s="187">
        <v>0.9</v>
      </c>
      <c r="Z33" s="186">
        <v>12.587560827870966</v>
      </c>
      <c r="AA33" s="186">
        <v>6.4460184278709676</v>
      </c>
      <c r="AB33" s="187">
        <v>2.7610929878709674</v>
      </c>
      <c r="AC33" s="186">
        <v>-9.8264678399999994</v>
      </c>
      <c r="AD33" s="187">
        <v>96.559470210554252</v>
      </c>
      <c r="AE33" s="187">
        <v>1.953125E-3</v>
      </c>
      <c r="AF33" s="187">
        <v>7.32421875E-2</v>
      </c>
      <c r="AG33" s="187">
        <v>1.6778606790193549</v>
      </c>
      <c r="AI33" s="185" t="s">
        <v>25</v>
      </c>
      <c r="AJ33" s="186" t="s">
        <v>19</v>
      </c>
      <c r="AK33" s="185">
        <v>0.5</v>
      </c>
      <c r="AL33" s="186">
        <v>0.75</v>
      </c>
      <c r="AM33" s="187">
        <v>0.9</v>
      </c>
      <c r="AN33" s="186">
        <v>25.297506568258065</v>
      </c>
      <c r="AO33" s="186">
        <v>12.652251400258065</v>
      </c>
      <c r="AP33" s="187">
        <v>5.0650982994580627</v>
      </c>
      <c r="AQ33" s="186">
        <v>-20.2324082688</v>
      </c>
      <c r="AR33" s="187">
        <v>409.35034435540661</v>
      </c>
      <c r="AS33" s="187">
        <v>1.953125E-3</v>
      </c>
      <c r="AT33" s="187">
        <v>8.203125E-2</v>
      </c>
      <c r="AU33" s="187">
        <v>4.2557513912980625</v>
      </c>
      <c r="AW33" s="185" t="s">
        <v>154</v>
      </c>
      <c r="AX33" s="186" t="s">
        <v>155</v>
      </c>
      <c r="AY33" s="185">
        <v>1</v>
      </c>
      <c r="AZ33" s="186">
        <v>2</v>
      </c>
      <c r="BA33" s="187">
        <v>4</v>
      </c>
      <c r="BB33" s="186">
        <v>8320.4</v>
      </c>
      <c r="BC33" s="186">
        <v>11200.8</v>
      </c>
      <c r="BD33" s="187">
        <v>16961.599999999999</v>
      </c>
      <c r="BE33" s="186">
        <v>8641.1999999999989</v>
      </c>
      <c r="BF33" s="187">
        <v>74670337.439999983</v>
      </c>
      <c r="BG33" s="187">
        <v>3.90625E-3</v>
      </c>
      <c r="BH33" s="187">
        <v>6.93359375E-2</v>
      </c>
      <c r="BI33" s="187">
        <v>6100.8</v>
      </c>
      <c r="BK33" s="185" t="s">
        <v>25</v>
      </c>
      <c r="BL33" s="186" t="s">
        <v>19</v>
      </c>
      <c r="BM33" s="185">
        <v>0.5</v>
      </c>
      <c r="BN33" s="186">
        <v>0.75</v>
      </c>
      <c r="BO33" s="187">
        <v>0.9</v>
      </c>
      <c r="BP33" s="186">
        <v>40.975132903225798</v>
      </c>
      <c r="BQ33" s="186">
        <v>20.983132903225805</v>
      </c>
      <c r="BR33" s="187">
        <v>8.9879329032258042</v>
      </c>
      <c r="BS33" s="186">
        <v>-31.987199999999994</v>
      </c>
      <c r="BT33" s="187">
        <v>1023.1809638399997</v>
      </c>
      <c r="BU33" s="187">
        <v>1.953125E-3</v>
      </c>
      <c r="BV33" s="187">
        <v>7.32421875E-2</v>
      </c>
      <c r="BW33" s="187">
        <v>5.4617860645161285</v>
      </c>
    </row>
    <row r="34" spans="21:75" x14ac:dyDescent="0.2">
      <c r="AE34" s="187">
        <v>1.953125E-3</v>
      </c>
      <c r="AF34" s="187">
        <v>7.51953125E-2</v>
      </c>
      <c r="AG34" s="187">
        <v>1.6778606790193549</v>
      </c>
      <c r="AS34" s="187">
        <v>3.90625E-3</v>
      </c>
      <c r="AT34" s="187">
        <v>8.59375E-2</v>
      </c>
      <c r="AU34" s="187">
        <v>4.4868901458580641</v>
      </c>
      <c r="BG34" s="187">
        <v>9.765625E-4</v>
      </c>
      <c r="BH34" s="187">
        <v>7.03125E-2</v>
      </c>
      <c r="BI34" s="187">
        <v>6240.4</v>
      </c>
      <c r="BU34" s="187">
        <v>1.953125E-3</v>
      </c>
      <c r="BV34" s="187">
        <v>7.51953125E-2</v>
      </c>
      <c r="BW34" s="187">
        <v>5.4617860645161285</v>
      </c>
    </row>
    <row r="35" spans="21:75" x14ac:dyDescent="0.2">
      <c r="AE35" s="187">
        <v>9.765625E-4</v>
      </c>
      <c r="AF35" s="187">
        <v>7.6171875E-2</v>
      </c>
      <c r="AG35" s="187">
        <v>1.7215340544</v>
      </c>
      <c r="AS35" s="187">
        <v>1.953125E-3</v>
      </c>
      <c r="AT35" s="187">
        <v>8.7890625E-2</v>
      </c>
      <c r="AU35" s="187">
        <v>4.510285110503224</v>
      </c>
      <c r="BG35" s="187">
        <v>9.765625E-4</v>
      </c>
      <c r="BH35" s="187">
        <v>7.12890625E-2</v>
      </c>
      <c r="BI35" s="187">
        <v>6240.4</v>
      </c>
      <c r="BU35" s="187">
        <v>9.765625E-4</v>
      </c>
      <c r="BV35" s="187">
        <v>7.6171875E-2</v>
      </c>
      <c r="BW35" s="187">
        <v>5.6039519999999996</v>
      </c>
    </row>
    <row r="36" spans="21:75" x14ac:dyDescent="0.2">
      <c r="AE36" s="187">
        <v>7.8125E-3</v>
      </c>
      <c r="AF36" s="187">
        <v>8.3984375E-2</v>
      </c>
      <c r="AG36" s="187">
        <v>1.7865895803870964</v>
      </c>
      <c r="AS36" s="187">
        <v>3.90625E-3</v>
      </c>
      <c r="AT36" s="187">
        <v>9.1796875E-2</v>
      </c>
      <c r="AU36" s="187">
        <v>4.5103387178941921</v>
      </c>
      <c r="BG36" s="187">
        <v>9.765625E-4</v>
      </c>
      <c r="BH36" s="187">
        <v>7.2265625E-2</v>
      </c>
      <c r="BI36" s="187">
        <v>6240.4</v>
      </c>
      <c r="BU36" s="187">
        <v>7.8125E-3</v>
      </c>
      <c r="BV36" s="187">
        <v>8.3984375E-2</v>
      </c>
      <c r="BW36" s="187">
        <v>5.8157212903225783</v>
      </c>
    </row>
    <row r="37" spans="21:75" x14ac:dyDescent="0.2">
      <c r="AE37" s="187">
        <v>7.8125E-3</v>
      </c>
      <c r="AF37" s="187">
        <v>9.1796875E-2</v>
      </c>
      <c r="AG37" s="187">
        <v>1.7865895803870964</v>
      </c>
      <c r="AS37" s="187">
        <v>3.90625E-3</v>
      </c>
      <c r="AT37" s="187">
        <v>9.5703125E-2</v>
      </c>
      <c r="AU37" s="187">
        <v>4.5592339026580628</v>
      </c>
      <c r="BG37" s="187">
        <v>9.765625E-4</v>
      </c>
      <c r="BH37" s="187">
        <v>7.32421875E-2</v>
      </c>
      <c r="BI37" s="187">
        <v>6240.4</v>
      </c>
      <c r="BU37" s="187">
        <v>7.8125E-3</v>
      </c>
      <c r="BV37" s="187">
        <v>9.1796875E-2</v>
      </c>
      <c r="BW37" s="187">
        <v>5.8157212903225783</v>
      </c>
    </row>
    <row r="38" spans="21:75" x14ac:dyDescent="0.2">
      <c r="AE38" s="187">
        <v>1.953125E-3</v>
      </c>
      <c r="AF38" s="187">
        <v>9.375E-2</v>
      </c>
      <c r="AG38" s="187">
        <v>1.8028313038451611</v>
      </c>
      <c r="AS38" s="187">
        <v>7.8125E-3</v>
      </c>
      <c r="AT38" s="187">
        <v>0.103515625</v>
      </c>
      <c r="AU38" s="187">
        <v>4.575604551019353</v>
      </c>
      <c r="BG38" s="187">
        <v>7.8125E-3</v>
      </c>
      <c r="BH38" s="187">
        <v>8.10546875E-2</v>
      </c>
      <c r="BI38" s="187">
        <v>6400.4</v>
      </c>
      <c r="BU38" s="187">
        <v>1.953125E-3</v>
      </c>
      <c r="BV38" s="187">
        <v>9.375E-2</v>
      </c>
      <c r="BW38" s="187">
        <v>5.8685914838709667</v>
      </c>
    </row>
    <row r="39" spans="21:75" x14ac:dyDescent="0.2">
      <c r="AE39" s="187">
        <v>1.953125E-3</v>
      </c>
      <c r="AF39" s="187">
        <v>9.5703125E-2</v>
      </c>
      <c r="AG39" s="187">
        <v>1.8028313038451611</v>
      </c>
      <c r="AS39" s="187">
        <v>3.90625E-3</v>
      </c>
      <c r="AT39" s="187">
        <v>0.107421875</v>
      </c>
      <c r="AU39" s="187">
        <v>4.602748536898063</v>
      </c>
      <c r="BG39" s="187">
        <v>7.8125E-3</v>
      </c>
      <c r="BH39" s="187">
        <v>8.88671875E-2</v>
      </c>
      <c r="BI39" s="187">
        <v>6400.4</v>
      </c>
      <c r="BU39" s="187">
        <v>1.953125E-3</v>
      </c>
      <c r="BV39" s="187">
        <v>9.5703125E-2</v>
      </c>
      <c r="BW39" s="187">
        <v>5.8685914838709667</v>
      </c>
    </row>
    <row r="40" spans="21:75" x14ac:dyDescent="0.2">
      <c r="AE40" s="187">
        <v>7.8125E-3</v>
      </c>
      <c r="AF40" s="187">
        <v>0.103515625</v>
      </c>
      <c r="AG40" s="187">
        <v>1.8474960433548382</v>
      </c>
      <c r="AS40" s="187">
        <v>1.953125E-3</v>
      </c>
      <c r="AT40" s="187">
        <v>0.109375</v>
      </c>
      <c r="AU40" s="187">
        <v>4.7582379397780636</v>
      </c>
      <c r="BG40" s="187">
        <v>3.90625E-3</v>
      </c>
      <c r="BH40" s="187">
        <v>9.27734375E-2</v>
      </c>
      <c r="BI40" s="187">
        <v>6400.8</v>
      </c>
      <c r="BU40" s="187">
        <v>7.8125E-3</v>
      </c>
      <c r="BV40" s="187">
        <v>0.103515625</v>
      </c>
      <c r="BW40" s="187">
        <v>6.01398451612903</v>
      </c>
    </row>
    <row r="41" spans="21:75" x14ac:dyDescent="0.2">
      <c r="AE41" s="187">
        <v>1.953125E-3</v>
      </c>
      <c r="AF41" s="187">
        <v>0.10546875</v>
      </c>
      <c r="AG41" s="187">
        <v>1.8881003519999997</v>
      </c>
      <c r="AS41" s="187">
        <v>1.953125E-3</v>
      </c>
      <c r="AT41" s="187">
        <v>0.111328125</v>
      </c>
      <c r="AU41" s="187">
        <v>5.0325632746529019</v>
      </c>
      <c r="BG41" s="187">
        <v>7.8125E-3</v>
      </c>
      <c r="BH41" s="187">
        <v>0.1005859375</v>
      </c>
      <c r="BI41" s="187">
        <v>6520.4</v>
      </c>
      <c r="BU41" s="187">
        <v>1.953125E-3</v>
      </c>
      <c r="BV41" s="187">
        <v>0.10546875</v>
      </c>
      <c r="BW41" s="187">
        <v>6.1461599999999983</v>
      </c>
    </row>
    <row r="42" spans="21:75" x14ac:dyDescent="0.2">
      <c r="AE42" s="187">
        <v>1.953125E-3</v>
      </c>
      <c r="AF42" s="187">
        <v>0.107421875</v>
      </c>
      <c r="AG42" s="187">
        <v>1.8881003519999997</v>
      </c>
      <c r="AS42" s="187">
        <v>1.5625E-2</v>
      </c>
      <c r="AT42" s="187">
        <v>0.126953125</v>
      </c>
      <c r="AU42" s="187">
        <v>5.0650982994580627</v>
      </c>
      <c r="BG42" s="187">
        <v>7.8125E-3</v>
      </c>
      <c r="BH42" s="187">
        <v>0.1083984375</v>
      </c>
      <c r="BI42" s="187">
        <v>6580.8</v>
      </c>
      <c r="BU42" s="187">
        <v>1.953125E-3</v>
      </c>
      <c r="BV42" s="187">
        <v>0.107421875</v>
      </c>
      <c r="BW42" s="187">
        <v>6.1461599999999983</v>
      </c>
    </row>
    <row r="43" spans="21:75" x14ac:dyDescent="0.2">
      <c r="AE43" s="187">
        <v>9.765625E-4</v>
      </c>
      <c r="AF43" s="187">
        <v>0.1083984375</v>
      </c>
      <c r="AG43" s="187">
        <v>1.9977319853419349</v>
      </c>
      <c r="AS43" s="187">
        <v>3.90625E-3</v>
      </c>
      <c r="AT43" s="187">
        <v>0.130859375</v>
      </c>
      <c r="AU43" s="187">
        <v>5.097612347458063</v>
      </c>
      <c r="BG43" s="187">
        <v>7.8125E-3</v>
      </c>
      <c r="BH43" s="187">
        <v>0.1162109375</v>
      </c>
      <c r="BI43" s="187">
        <v>6580.8</v>
      </c>
      <c r="BU43" s="187">
        <v>9.765625E-4</v>
      </c>
      <c r="BV43" s="187">
        <v>0.1083984375</v>
      </c>
      <c r="BW43" s="187">
        <v>6.5030338064516107</v>
      </c>
    </row>
    <row r="44" spans="21:75" x14ac:dyDescent="0.2">
      <c r="AE44" s="187">
        <v>9.765625E-4</v>
      </c>
      <c r="AF44" s="187">
        <v>0.109375</v>
      </c>
      <c r="AG44" s="187">
        <v>1.9977319853419349</v>
      </c>
      <c r="AS44" s="187">
        <v>9.765625E-4</v>
      </c>
      <c r="AT44" s="187">
        <v>0.1318359375</v>
      </c>
      <c r="AU44" s="187">
        <v>5.1369158880619334</v>
      </c>
      <c r="BG44" s="187">
        <v>7.8125E-3</v>
      </c>
      <c r="BH44" s="187">
        <v>0.1240234375</v>
      </c>
      <c r="BI44" s="187">
        <v>6720.4</v>
      </c>
      <c r="BU44" s="187">
        <v>9.765625E-4</v>
      </c>
      <c r="BV44" s="187">
        <v>0.109375</v>
      </c>
      <c r="BW44" s="187">
        <v>6.5030338064516107</v>
      </c>
    </row>
    <row r="45" spans="21:75" x14ac:dyDescent="0.2">
      <c r="AE45" s="187">
        <v>7.8125E-3</v>
      </c>
      <c r="AF45" s="187">
        <v>0.1171875</v>
      </c>
      <c r="AG45" s="187">
        <v>2.038079355870968</v>
      </c>
      <c r="AS45" s="187">
        <v>9.765625E-4</v>
      </c>
      <c r="AT45" s="187">
        <v>0.1328125</v>
      </c>
      <c r="AU45" s="187">
        <v>5.2182779230141936</v>
      </c>
      <c r="BG45" s="187">
        <v>7.8125E-3</v>
      </c>
      <c r="BH45" s="187">
        <v>0.1318359375</v>
      </c>
      <c r="BI45" s="187">
        <v>6880.8</v>
      </c>
      <c r="BU45" s="187">
        <v>7.8125E-3</v>
      </c>
      <c r="BV45" s="187">
        <v>0.1171875</v>
      </c>
      <c r="BW45" s="187">
        <v>6.634372903225807</v>
      </c>
    </row>
    <row r="46" spans="21:75" x14ac:dyDescent="0.2">
      <c r="AE46" s="187">
        <v>7.8125E-3</v>
      </c>
      <c r="AF46" s="187">
        <v>0.125</v>
      </c>
      <c r="AG46" s="187">
        <v>2.038079355870968</v>
      </c>
      <c r="AS46" s="187">
        <v>3.90625E-3</v>
      </c>
      <c r="AT46" s="187">
        <v>0.13671875</v>
      </c>
      <c r="AU46" s="187">
        <v>5.2672995512980627</v>
      </c>
      <c r="BG46" s="187">
        <v>7.8125E-3</v>
      </c>
      <c r="BH46" s="187">
        <v>0.1396484375</v>
      </c>
      <c r="BI46" s="187">
        <v>6880.8</v>
      </c>
      <c r="BU46" s="187">
        <v>7.8125E-3</v>
      </c>
      <c r="BV46" s="187">
        <v>0.125</v>
      </c>
      <c r="BW46" s="187">
        <v>6.634372903225807</v>
      </c>
    </row>
    <row r="47" spans="21:75" x14ac:dyDescent="0.2">
      <c r="AE47" s="187">
        <v>1.953125E-3</v>
      </c>
      <c r="AF47" s="187">
        <v>0.126953125</v>
      </c>
      <c r="AG47" s="187">
        <v>2.0570382336000002</v>
      </c>
      <c r="AS47" s="187">
        <v>1.953125E-3</v>
      </c>
      <c r="AT47" s="187">
        <v>0.138671875</v>
      </c>
      <c r="AU47" s="187">
        <v>5.2938037446193542</v>
      </c>
      <c r="BG47" s="187">
        <v>7.8125E-3</v>
      </c>
      <c r="BH47" s="187">
        <v>0.1474609375</v>
      </c>
      <c r="BI47" s="187">
        <v>7000.8</v>
      </c>
      <c r="BU47" s="187">
        <v>1.953125E-3</v>
      </c>
      <c r="BV47" s="187">
        <v>0.126953125</v>
      </c>
      <c r="BW47" s="187">
        <v>6.6960879999999996</v>
      </c>
    </row>
    <row r="48" spans="21:75" x14ac:dyDescent="0.2">
      <c r="AE48" s="187">
        <v>3.90625E-3</v>
      </c>
      <c r="AF48" s="187">
        <v>0.130859375</v>
      </c>
      <c r="AG48" s="187">
        <v>2.1114240495483867</v>
      </c>
      <c r="AS48" s="187">
        <v>3.90625E-3</v>
      </c>
      <c r="AT48" s="187">
        <v>0.142578125</v>
      </c>
      <c r="AU48" s="187">
        <v>5.3915323491096778</v>
      </c>
      <c r="BG48" s="187">
        <v>3.90625E-3</v>
      </c>
      <c r="BH48" s="187">
        <v>0.1513671875</v>
      </c>
      <c r="BI48" s="187">
        <v>7040.4</v>
      </c>
      <c r="BU48" s="187">
        <v>3.90625E-3</v>
      </c>
      <c r="BV48" s="187">
        <v>0.130859375</v>
      </c>
      <c r="BW48" s="187">
        <v>6.8731251612903206</v>
      </c>
    </row>
    <row r="49" spans="31:75" x14ac:dyDescent="0.2">
      <c r="AE49" s="187">
        <v>3.90625E-3</v>
      </c>
      <c r="AF49" s="187">
        <v>0.134765625</v>
      </c>
      <c r="AG49" s="187">
        <v>2.1114240495483867</v>
      </c>
      <c r="AS49" s="187">
        <v>1.953125E-3</v>
      </c>
      <c r="AT49" s="187">
        <v>0.14453125</v>
      </c>
      <c r="AU49" s="187">
        <v>5.4752717553135462</v>
      </c>
      <c r="BG49" s="187">
        <v>3.90625E-3</v>
      </c>
      <c r="BH49" s="187">
        <v>0.1552734375</v>
      </c>
      <c r="BI49" s="187">
        <v>7040.4</v>
      </c>
      <c r="BU49" s="187">
        <v>3.90625E-3</v>
      </c>
      <c r="BV49" s="187">
        <v>0.134765625</v>
      </c>
      <c r="BW49" s="187">
        <v>6.8731251612903206</v>
      </c>
    </row>
    <row r="50" spans="31:75" x14ac:dyDescent="0.2">
      <c r="AE50" s="187">
        <v>1.953125E-3</v>
      </c>
      <c r="AF50" s="187">
        <v>0.13671875</v>
      </c>
      <c r="AG50" s="187">
        <v>2.1601492199225802</v>
      </c>
      <c r="AS50" s="187">
        <v>3.90625E-3</v>
      </c>
      <c r="AT50" s="187">
        <v>0.1484375</v>
      </c>
      <c r="AU50" s="187">
        <v>5.5545221252129018</v>
      </c>
      <c r="BG50" s="187">
        <v>1.953125E-3</v>
      </c>
      <c r="BH50" s="187">
        <v>0.1572265625</v>
      </c>
      <c r="BI50" s="187">
        <v>7120.4</v>
      </c>
      <c r="BU50" s="187">
        <v>1.953125E-3</v>
      </c>
      <c r="BV50" s="187">
        <v>0.13671875</v>
      </c>
      <c r="BW50" s="187">
        <v>7.0317357419354822</v>
      </c>
    </row>
    <row r="51" spans="31:75" x14ac:dyDescent="0.2">
      <c r="AE51" s="187">
        <v>3.90625E-3</v>
      </c>
      <c r="AF51" s="187">
        <v>0.140625</v>
      </c>
      <c r="AG51" s="187">
        <v>2.1613120611096774</v>
      </c>
      <c r="AS51" s="187">
        <v>3.90625E-3</v>
      </c>
      <c r="AT51" s="187">
        <v>0.15234375</v>
      </c>
      <c r="AU51" s="187">
        <v>5.5710168863380636</v>
      </c>
      <c r="BG51" s="187">
        <v>3.90625E-3</v>
      </c>
      <c r="BH51" s="187">
        <v>0.1611328125</v>
      </c>
      <c r="BI51" s="187">
        <v>7220.8</v>
      </c>
      <c r="BU51" s="187">
        <v>3.90625E-3</v>
      </c>
      <c r="BV51" s="187">
        <v>0.140625</v>
      </c>
      <c r="BW51" s="187">
        <v>7.0355210322580639</v>
      </c>
    </row>
    <row r="52" spans="31:75" x14ac:dyDescent="0.2">
      <c r="AE52" s="187">
        <v>3.90625E-3</v>
      </c>
      <c r="AF52" s="187">
        <v>0.14453125</v>
      </c>
      <c r="AG52" s="187">
        <v>2.3875333483354835</v>
      </c>
      <c r="AS52" s="187">
        <v>3.90625E-3</v>
      </c>
      <c r="AT52" s="187">
        <v>0.15625</v>
      </c>
      <c r="AU52" s="187">
        <v>5.5824329298580633</v>
      </c>
      <c r="BG52" s="187">
        <v>3.90625E-3</v>
      </c>
      <c r="BH52" s="187">
        <v>0.1650390625</v>
      </c>
      <c r="BI52" s="187">
        <v>7220.8</v>
      </c>
      <c r="BU52" s="187">
        <v>3.90625E-3</v>
      </c>
      <c r="BV52" s="187">
        <v>0.14453125</v>
      </c>
      <c r="BW52" s="187">
        <v>7.7719184516129012</v>
      </c>
    </row>
    <row r="53" spans="31:75" x14ac:dyDescent="0.2">
      <c r="AE53" s="187">
        <v>1.953125E-3</v>
      </c>
      <c r="AF53" s="187">
        <v>0.146484375</v>
      </c>
      <c r="AG53" s="187">
        <v>2.3879343335225807</v>
      </c>
      <c r="AS53" s="187">
        <v>7.8125E-3</v>
      </c>
      <c r="AT53" s="187">
        <v>0.1640625</v>
      </c>
      <c r="AU53" s="187">
        <v>5.6430355026580639</v>
      </c>
      <c r="BG53" s="187">
        <v>1.953125E-3</v>
      </c>
      <c r="BH53" s="187">
        <v>0.1669921875</v>
      </c>
      <c r="BI53" s="187">
        <v>7520.4</v>
      </c>
      <c r="BU53" s="187">
        <v>1.953125E-3</v>
      </c>
      <c r="BV53" s="187">
        <v>0.146484375</v>
      </c>
      <c r="BW53" s="187">
        <v>7.7732237419354835</v>
      </c>
    </row>
    <row r="54" spans="31:75" x14ac:dyDescent="0.2">
      <c r="AE54" s="187">
        <v>1.953125E-3</v>
      </c>
      <c r="AF54" s="187">
        <v>0.1484375</v>
      </c>
      <c r="AG54" s="187">
        <v>2.3879343335225807</v>
      </c>
      <c r="AS54" s="187">
        <v>9.765625E-4</v>
      </c>
      <c r="AT54" s="187">
        <v>0.1650390625</v>
      </c>
      <c r="AU54" s="187">
        <v>5.6718943423587085</v>
      </c>
      <c r="BG54" s="187">
        <v>3.90625E-3</v>
      </c>
      <c r="BH54" s="187">
        <v>0.1708984375</v>
      </c>
      <c r="BI54" s="187">
        <v>7520.4</v>
      </c>
      <c r="BU54" s="187">
        <v>1.953125E-3</v>
      </c>
      <c r="BV54" s="187">
        <v>0.1484375</v>
      </c>
      <c r="BW54" s="187">
        <v>7.7732237419354835</v>
      </c>
    </row>
    <row r="55" spans="31:75" x14ac:dyDescent="0.2">
      <c r="AE55" s="187">
        <v>3.90625E-3</v>
      </c>
      <c r="AF55" s="187">
        <v>0.15234375</v>
      </c>
      <c r="AG55" s="187">
        <v>2.4362585187096775</v>
      </c>
      <c r="AS55" s="187">
        <v>1.953125E-3</v>
      </c>
      <c r="AT55" s="187">
        <v>0.1669921875</v>
      </c>
      <c r="AU55" s="187">
        <v>5.6865501368980622</v>
      </c>
      <c r="BG55" s="187">
        <v>3.90625E-3</v>
      </c>
      <c r="BH55" s="187">
        <v>0.1748046875</v>
      </c>
      <c r="BI55" s="187">
        <v>7520.4</v>
      </c>
      <c r="BU55" s="187">
        <v>3.90625E-3</v>
      </c>
      <c r="BV55" s="187">
        <v>0.15234375</v>
      </c>
      <c r="BW55" s="187">
        <v>7.9305290322580637</v>
      </c>
    </row>
    <row r="56" spans="31:75" x14ac:dyDescent="0.2">
      <c r="AE56" s="187">
        <v>3.90625E-3</v>
      </c>
      <c r="AF56" s="187">
        <v>0.15625</v>
      </c>
      <c r="AG56" s="187">
        <v>2.4362585187096775</v>
      </c>
      <c r="AS56" s="187">
        <v>3.90625E-3</v>
      </c>
      <c r="AT56" s="187">
        <v>0.1708984375</v>
      </c>
      <c r="AU56" s="187">
        <v>5.860247406658063</v>
      </c>
      <c r="BG56" s="187">
        <v>3.90625E-3</v>
      </c>
      <c r="BH56" s="187">
        <v>0.1787109375</v>
      </c>
      <c r="BI56" s="187">
        <v>7520.8</v>
      </c>
      <c r="BU56" s="187">
        <v>3.90625E-3</v>
      </c>
      <c r="BV56" s="187">
        <v>0.15625</v>
      </c>
      <c r="BW56" s="187">
        <v>7.9305290322580637</v>
      </c>
    </row>
    <row r="57" spans="31:75" x14ac:dyDescent="0.2">
      <c r="AE57" s="187">
        <v>3.90625E-3</v>
      </c>
      <c r="AF57" s="187">
        <v>0.16015625</v>
      </c>
      <c r="AG57" s="187">
        <v>2.5012254125419351</v>
      </c>
      <c r="AS57" s="187">
        <v>3.90625E-3</v>
      </c>
      <c r="AT57" s="187">
        <v>0.1748046875</v>
      </c>
      <c r="AU57" s="187">
        <v>5.9043453126193528</v>
      </c>
      <c r="BG57" s="187">
        <v>3.90625E-3</v>
      </c>
      <c r="BH57" s="187">
        <v>0.1826171875</v>
      </c>
      <c r="BI57" s="187">
        <v>7520.8</v>
      </c>
      <c r="BU57" s="187">
        <v>3.90625E-3</v>
      </c>
      <c r="BV57" s="187">
        <v>0.16015625</v>
      </c>
      <c r="BW57" s="187">
        <v>8.1420098064516111</v>
      </c>
    </row>
    <row r="58" spans="31:75" x14ac:dyDescent="0.2">
      <c r="AE58" s="187">
        <v>3.90625E-3</v>
      </c>
      <c r="AF58" s="187">
        <v>0.1640625</v>
      </c>
      <c r="AG58" s="187">
        <v>2.5012254125419351</v>
      </c>
      <c r="AS58" s="187">
        <v>7.8125E-3</v>
      </c>
      <c r="AT58" s="187">
        <v>0.1826171875</v>
      </c>
      <c r="AU58" s="187">
        <v>5.9684469330580647</v>
      </c>
      <c r="BG58" s="187">
        <v>9.765625E-4</v>
      </c>
      <c r="BH58" s="187">
        <v>0.18359375</v>
      </c>
      <c r="BI58" s="187">
        <v>7561.6</v>
      </c>
      <c r="BU58" s="187">
        <v>3.90625E-3</v>
      </c>
      <c r="BV58" s="187">
        <v>0.1640625</v>
      </c>
      <c r="BW58" s="187">
        <v>8.1420098064516111</v>
      </c>
    </row>
    <row r="59" spans="31:75" x14ac:dyDescent="0.2">
      <c r="AE59" s="187">
        <v>7.8125E-3</v>
      </c>
      <c r="AF59" s="187">
        <v>0.171875</v>
      </c>
      <c r="AG59" s="187">
        <v>2.5025718602322584</v>
      </c>
      <c r="AS59" s="187">
        <v>1.953125E-3</v>
      </c>
      <c r="AT59" s="187">
        <v>0.1845703125</v>
      </c>
      <c r="AU59" s="187">
        <v>6.0765299216516118</v>
      </c>
      <c r="BG59" s="187">
        <v>3.90625E-3</v>
      </c>
      <c r="BH59" s="187">
        <v>0.1875</v>
      </c>
      <c r="BI59" s="187">
        <v>7600.4</v>
      </c>
      <c r="BU59" s="187">
        <v>7.8125E-3</v>
      </c>
      <c r="BV59" s="187">
        <v>0.171875</v>
      </c>
      <c r="BW59" s="187">
        <v>8.1463927741935489</v>
      </c>
    </row>
    <row r="60" spans="31:75" x14ac:dyDescent="0.2">
      <c r="AE60" s="187">
        <v>7.8125E-3</v>
      </c>
      <c r="AF60" s="187">
        <v>0.1796875</v>
      </c>
      <c r="AG60" s="187">
        <v>2.5025718602322584</v>
      </c>
      <c r="AS60" s="187">
        <v>7.8125E-3</v>
      </c>
      <c r="AT60" s="187">
        <v>0.1923828125</v>
      </c>
      <c r="AU60" s="187">
        <v>6.1488998994580619</v>
      </c>
      <c r="BG60" s="187">
        <v>3.90625E-3</v>
      </c>
      <c r="BH60" s="187">
        <v>0.19140625</v>
      </c>
      <c r="BI60" s="187">
        <v>7600.4</v>
      </c>
      <c r="BU60" s="187">
        <v>7.8125E-3</v>
      </c>
      <c r="BV60" s="187">
        <v>0.1796875</v>
      </c>
      <c r="BW60" s="187">
        <v>8.1463927741935489</v>
      </c>
    </row>
    <row r="61" spans="31:75" x14ac:dyDescent="0.2">
      <c r="AE61" s="187">
        <v>3.90625E-3</v>
      </c>
      <c r="AF61" s="187">
        <v>0.18359375</v>
      </c>
      <c r="AG61" s="187">
        <v>2.5864944606967737</v>
      </c>
      <c r="AS61" s="187">
        <v>1.953125E-3</v>
      </c>
      <c r="AT61" s="187">
        <v>0.1943359375</v>
      </c>
      <c r="AU61" s="187">
        <v>6.278847711298063</v>
      </c>
      <c r="BG61" s="187">
        <v>1.953125E-3</v>
      </c>
      <c r="BH61" s="187">
        <v>0.193359375</v>
      </c>
      <c r="BI61" s="187">
        <v>7600.8</v>
      </c>
      <c r="BU61" s="187">
        <v>3.90625E-3</v>
      </c>
      <c r="BV61" s="187">
        <v>0.18359375</v>
      </c>
      <c r="BW61" s="187">
        <v>8.4195783225806426</v>
      </c>
    </row>
    <row r="62" spans="31:75" x14ac:dyDescent="0.2">
      <c r="AE62" s="187">
        <v>7.8125E-3</v>
      </c>
      <c r="AF62" s="187">
        <v>0.19140625</v>
      </c>
      <c r="AG62" s="187">
        <v>2.5878868100129031</v>
      </c>
      <c r="AS62" s="187">
        <v>9.765625E-4</v>
      </c>
      <c r="AT62" s="187">
        <v>0.1953125</v>
      </c>
      <c r="AU62" s="187">
        <v>6.3116006618012879</v>
      </c>
      <c r="BG62" s="187">
        <v>1.953125E-3</v>
      </c>
      <c r="BH62" s="187">
        <v>0.1953125</v>
      </c>
      <c r="BI62" s="187">
        <v>7600.8</v>
      </c>
      <c r="BU62" s="187">
        <v>7.8125E-3</v>
      </c>
      <c r="BV62" s="187">
        <v>0.19140625</v>
      </c>
      <c r="BW62" s="187">
        <v>8.4241107096774179</v>
      </c>
    </row>
    <row r="63" spans="31:75" x14ac:dyDescent="0.2">
      <c r="AE63" s="187">
        <v>1.5625E-2</v>
      </c>
      <c r="AF63" s="187">
        <v>0.20703125</v>
      </c>
      <c r="AG63" s="187">
        <v>2.7610929878709674</v>
      </c>
      <c r="AS63" s="187">
        <v>3.90625E-3</v>
      </c>
      <c r="AT63" s="187">
        <v>0.19921875</v>
      </c>
      <c r="AU63" s="187">
        <v>6.4030478785238696</v>
      </c>
      <c r="BG63" s="187">
        <v>3.90625E-3</v>
      </c>
      <c r="BH63" s="187">
        <v>0.19921875</v>
      </c>
      <c r="BI63" s="187">
        <v>8000.4</v>
      </c>
      <c r="BU63" s="187">
        <v>1.5625E-2</v>
      </c>
      <c r="BV63" s="187">
        <v>0.20703125</v>
      </c>
      <c r="BW63" s="187">
        <v>8.9879329032258042</v>
      </c>
    </row>
    <row r="64" spans="31:75" x14ac:dyDescent="0.2">
      <c r="AE64" s="187">
        <v>1.953125E-3</v>
      </c>
      <c r="AF64" s="187">
        <v>0.208984375</v>
      </c>
      <c r="AG64" s="187">
        <v>2.7610929878709674</v>
      </c>
      <c r="AS64" s="187">
        <v>1.953125E-3</v>
      </c>
      <c r="AT64" s="187">
        <v>0.201171875</v>
      </c>
      <c r="AU64" s="187">
        <v>6.6545807492129025</v>
      </c>
      <c r="BG64" s="187">
        <v>3.90625E-3</v>
      </c>
      <c r="BH64" s="187">
        <v>0.203125</v>
      </c>
      <c r="BI64" s="187">
        <v>8000.4</v>
      </c>
      <c r="BU64" s="187">
        <v>1.953125E-3</v>
      </c>
      <c r="BV64" s="187">
        <v>0.208984375</v>
      </c>
      <c r="BW64" s="187">
        <v>8.9879329032258042</v>
      </c>
    </row>
    <row r="65" spans="31:75" x14ac:dyDescent="0.2">
      <c r="AE65" s="187">
        <v>3.90625E-3</v>
      </c>
      <c r="AF65" s="187">
        <v>0.212890625</v>
      </c>
      <c r="AG65" s="187">
        <v>2.7964344650322581</v>
      </c>
      <c r="AS65" s="187">
        <v>3.90625E-3</v>
      </c>
      <c r="AT65" s="187">
        <v>0.205078125</v>
      </c>
      <c r="AU65" s="187">
        <v>6.726837102658064</v>
      </c>
      <c r="BG65" s="187">
        <v>1.953125E-3</v>
      </c>
      <c r="BH65" s="187">
        <v>0.205078125</v>
      </c>
      <c r="BI65" s="187">
        <v>8041.6</v>
      </c>
      <c r="BU65" s="187">
        <v>3.90625E-3</v>
      </c>
      <c r="BV65" s="187">
        <v>0.212890625</v>
      </c>
      <c r="BW65" s="187">
        <v>9.1029767741935483</v>
      </c>
    </row>
    <row r="66" spans="31:75" x14ac:dyDescent="0.2">
      <c r="AE66" s="187">
        <v>3.90625E-3</v>
      </c>
      <c r="AF66" s="187">
        <v>0.216796875</v>
      </c>
      <c r="AG66" s="187">
        <v>2.7964344650322581</v>
      </c>
      <c r="AS66" s="187">
        <v>1.953125E-3</v>
      </c>
      <c r="AT66" s="187">
        <v>0.20703125</v>
      </c>
      <c r="AU66" s="187">
        <v>6.7619295496258047</v>
      </c>
      <c r="BG66" s="187">
        <v>1.953125E-3</v>
      </c>
      <c r="BH66" s="187">
        <v>0.20703125</v>
      </c>
      <c r="BI66" s="187">
        <v>8041.6</v>
      </c>
      <c r="BU66" s="187">
        <v>3.90625E-3</v>
      </c>
      <c r="BV66" s="187">
        <v>0.216796875</v>
      </c>
      <c r="BW66" s="187">
        <v>9.1029767741935483</v>
      </c>
    </row>
    <row r="67" spans="31:75" x14ac:dyDescent="0.2">
      <c r="AE67" s="187">
        <v>3.90625E-3</v>
      </c>
      <c r="AF67" s="187">
        <v>0.220703125</v>
      </c>
      <c r="AG67" s="187">
        <v>2.853311098219355</v>
      </c>
      <c r="AS67" s="187">
        <v>1.953125E-3</v>
      </c>
      <c r="AT67" s="187">
        <v>0.208984375</v>
      </c>
      <c r="AU67" s="187">
        <v>6.8264996520464498</v>
      </c>
      <c r="BG67" s="187">
        <v>1.953125E-3</v>
      </c>
      <c r="BH67" s="187">
        <v>0.208984375</v>
      </c>
      <c r="BI67" s="187">
        <v>8080.4</v>
      </c>
      <c r="BU67" s="187">
        <v>3.90625E-3</v>
      </c>
      <c r="BV67" s="187">
        <v>0.220703125</v>
      </c>
      <c r="BW67" s="187">
        <v>9.2881220645161289</v>
      </c>
    </row>
    <row r="68" spans="31:75" x14ac:dyDescent="0.2">
      <c r="AE68" s="187">
        <v>3.90625E-3</v>
      </c>
      <c r="AF68" s="187">
        <v>0.224609375</v>
      </c>
      <c r="AG68" s="187">
        <v>2.853311098219355</v>
      </c>
      <c r="AS68" s="187">
        <v>3.90625E-3</v>
      </c>
      <c r="AT68" s="187">
        <v>0.212890625</v>
      </c>
      <c r="AU68" s="187">
        <v>6.8598271339354833</v>
      </c>
      <c r="BG68" s="187">
        <v>1.953125E-3</v>
      </c>
      <c r="BH68" s="187">
        <v>0.2109375</v>
      </c>
      <c r="BI68" s="187">
        <v>8080.4</v>
      </c>
      <c r="BU68" s="187">
        <v>3.90625E-3</v>
      </c>
      <c r="BV68" s="187">
        <v>0.224609375</v>
      </c>
      <c r="BW68" s="187">
        <v>9.2881220645161289</v>
      </c>
    </row>
    <row r="69" spans="31:75" x14ac:dyDescent="0.2">
      <c r="AE69" s="187">
        <v>1.953125E-3</v>
      </c>
      <c r="AF69" s="187">
        <v>0.2265625</v>
      </c>
      <c r="AG69" s="187">
        <v>2.8692234239999999</v>
      </c>
      <c r="AS69" s="187">
        <v>7.8125E-3</v>
      </c>
      <c r="AT69" s="187">
        <v>0.220703125</v>
      </c>
      <c r="AU69" s="187">
        <v>6.8599087103999992</v>
      </c>
      <c r="BG69" s="187">
        <v>3.90625E-3</v>
      </c>
      <c r="BH69" s="187">
        <v>0.21484375</v>
      </c>
      <c r="BI69" s="187">
        <v>8080.8</v>
      </c>
      <c r="BU69" s="187">
        <v>1.953125E-3</v>
      </c>
      <c r="BV69" s="187">
        <v>0.2265625</v>
      </c>
      <c r="BW69" s="187">
        <v>9.3399199999999993</v>
      </c>
    </row>
    <row r="70" spans="31:75" x14ac:dyDescent="0.2">
      <c r="AE70" s="187">
        <v>1.953125E-3</v>
      </c>
      <c r="AF70" s="187">
        <v>0.228515625</v>
      </c>
      <c r="AG70" s="187">
        <v>2.9559936693677411</v>
      </c>
      <c r="AS70" s="187">
        <v>3.90625E-3</v>
      </c>
      <c r="AT70" s="187">
        <v>0.224609375</v>
      </c>
      <c r="AU70" s="187">
        <v>6.925333034941934</v>
      </c>
      <c r="BG70" s="187">
        <v>3.90625E-3</v>
      </c>
      <c r="BH70" s="187">
        <v>0.21875</v>
      </c>
      <c r="BI70" s="187">
        <v>8080.8</v>
      </c>
      <c r="BU70" s="187">
        <v>1.953125E-3</v>
      </c>
      <c r="BV70" s="187">
        <v>0.228515625</v>
      </c>
      <c r="BW70" s="187">
        <v>9.6223752258064472</v>
      </c>
    </row>
    <row r="71" spans="31:75" x14ac:dyDescent="0.2">
      <c r="AE71" s="187">
        <v>1.953125E-3</v>
      </c>
      <c r="AF71" s="187">
        <v>0.23046875</v>
      </c>
      <c r="AG71" s="187">
        <v>2.9559936693677411</v>
      </c>
      <c r="AS71" s="187">
        <v>7.8125E-3</v>
      </c>
      <c r="AT71" s="187">
        <v>0.232421875</v>
      </c>
      <c r="AU71" s="187">
        <v>7.0883391263380631</v>
      </c>
      <c r="BG71" s="187">
        <v>3.90625E-3</v>
      </c>
      <c r="BH71" s="187">
        <v>0.22265625</v>
      </c>
      <c r="BI71" s="187">
        <v>8080.8</v>
      </c>
      <c r="BU71" s="187">
        <v>1.953125E-3</v>
      </c>
      <c r="BV71" s="187">
        <v>0.23046875</v>
      </c>
      <c r="BW71" s="187">
        <v>9.6223752258064472</v>
      </c>
    </row>
    <row r="72" spans="31:75" x14ac:dyDescent="0.2">
      <c r="AE72" s="187">
        <v>3.90625E-3</v>
      </c>
      <c r="AF72" s="187">
        <v>0.234375</v>
      </c>
      <c r="AG72" s="187">
        <v>2.9575849257290323</v>
      </c>
      <c r="AS72" s="187">
        <v>9.765625E-4</v>
      </c>
      <c r="AT72" s="187">
        <v>0.2333984375</v>
      </c>
      <c r="AU72" s="187">
        <v>7.4085267495638707</v>
      </c>
      <c r="BG72" s="187">
        <v>3.90625E-3</v>
      </c>
      <c r="BH72" s="187">
        <v>0.2265625</v>
      </c>
      <c r="BI72" s="187">
        <v>8080.8</v>
      </c>
      <c r="BU72" s="187">
        <v>3.90625E-3</v>
      </c>
      <c r="BV72" s="187">
        <v>0.234375</v>
      </c>
      <c r="BW72" s="187">
        <v>9.6275550967741932</v>
      </c>
    </row>
    <row r="73" spans="31:75" x14ac:dyDescent="0.2">
      <c r="AE73" s="187">
        <v>3.90625E-3</v>
      </c>
      <c r="AF73" s="187">
        <v>0.23828125</v>
      </c>
      <c r="AG73" s="187">
        <v>2.9575849257290323</v>
      </c>
      <c r="AS73" s="187">
        <v>7.8125E-3</v>
      </c>
      <c r="AT73" s="187">
        <v>0.2412109375</v>
      </c>
      <c r="AU73" s="187">
        <v>7.5125670416516108</v>
      </c>
      <c r="BG73" s="187">
        <v>1.953125E-3</v>
      </c>
      <c r="BH73" s="187">
        <v>0.228515625</v>
      </c>
      <c r="BI73" s="187">
        <v>8240.4</v>
      </c>
      <c r="BU73" s="187">
        <v>3.90625E-3</v>
      </c>
      <c r="BV73" s="187">
        <v>0.23828125</v>
      </c>
      <c r="BW73" s="187">
        <v>9.6275550967741932</v>
      </c>
    </row>
    <row r="74" spans="31:75" x14ac:dyDescent="0.2">
      <c r="AE74" s="187">
        <v>3.90625E-3</v>
      </c>
      <c r="AF74" s="187">
        <v>0.2421875</v>
      </c>
      <c r="AG74" s="187">
        <v>3.0047188397419347</v>
      </c>
      <c r="AS74" s="187">
        <v>7.8125E-3</v>
      </c>
      <c r="AT74" s="187">
        <v>0.2490234375</v>
      </c>
      <c r="AU74" s="187">
        <v>7.594059016258063</v>
      </c>
      <c r="BG74" s="187">
        <v>1.953125E-3</v>
      </c>
      <c r="BH74" s="187">
        <v>0.23046875</v>
      </c>
      <c r="BI74" s="187">
        <v>8240.4</v>
      </c>
      <c r="BU74" s="187">
        <v>3.90625E-3</v>
      </c>
      <c r="BV74" s="187">
        <v>0.2421875</v>
      </c>
      <c r="BW74" s="187">
        <v>9.7809858064516089</v>
      </c>
    </row>
    <row r="75" spans="31:75" x14ac:dyDescent="0.2">
      <c r="AE75" s="187">
        <v>3.90625E-3</v>
      </c>
      <c r="AF75" s="187">
        <v>0.24609375</v>
      </c>
      <c r="AG75" s="187">
        <v>3.0047188397419347</v>
      </c>
      <c r="AS75" s="187">
        <v>1.5625E-2</v>
      </c>
      <c r="AT75" s="187">
        <v>0.2646484375</v>
      </c>
      <c r="AU75" s="187">
        <v>7.5941493330580636</v>
      </c>
      <c r="BG75" s="187">
        <v>1.5625E-2</v>
      </c>
      <c r="BH75" s="187">
        <v>0.24609375</v>
      </c>
      <c r="BI75" s="187">
        <v>8320.4</v>
      </c>
      <c r="BU75" s="187">
        <v>3.90625E-3</v>
      </c>
      <c r="BV75" s="187">
        <v>0.24609375</v>
      </c>
      <c r="BW75" s="187">
        <v>9.7809858064516089</v>
      </c>
    </row>
    <row r="76" spans="31:75" x14ac:dyDescent="0.2">
      <c r="AE76" s="187">
        <v>3.90625E-3</v>
      </c>
      <c r="AF76" s="187">
        <v>0.25</v>
      </c>
      <c r="AG76" s="187">
        <v>3.1468339199999997</v>
      </c>
      <c r="AS76" s="187">
        <v>7.8125E-3</v>
      </c>
      <c r="AT76" s="187">
        <v>0.2724609375</v>
      </c>
      <c r="AU76" s="187">
        <v>7.6665834066580629</v>
      </c>
      <c r="BG76" s="187">
        <v>1.5625E-2</v>
      </c>
      <c r="BH76" s="187">
        <v>0.26171875</v>
      </c>
      <c r="BI76" s="187">
        <v>8500.7999999999993</v>
      </c>
      <c r="BU76" s="187">
        <v>3.90625E-3</v>
      </c>
      <c r="BV76" s="187">
        <v>0.25</v>
      </c>
      <c r="BW76" s="187">
        <v>10.243599999999999</v>
      </c>
    </row>
    <row r="77" spans="31:75" x14ac:dyDescent="0.2">
      <c r="AE77" s="187">
        <v>3.90625E-3</v>
      </c>
      <c r="AF77" s="187">
        <v>0.25390625</v>
      </c>
      <c r="AG77" s="187">
        <v>3.1468339199999997</v>
      </c>
      <c r="AS77" s="187">
        <v>1.953125E-3</v>
      </c>
      <c r="AT77" s="187">
        <v>0.2744140625</v>
      </c>
      <c r="AU77" s="187">
        <v>7.7735324823948346</v>
      </c>
      <c r="BG77" s="187">
        <v>1.953125E-3</v>
      </c>
      <c r="BH77" s="187">
        <v>0.263671875</v>
      </c>
      <c r="BI77" s="187">
        <v>8640.4</v>
      </c>
      <c r="BU77" s="187">
        <v>3.90625E-3</v>
      </c>
      <c r="BV77" s="187">
        <v>0.25390625</v>
      </c>
      <c r="BW77" s="187">
        <v>10.243599999999999</v>
      </c>
    </row>
    <row r="78" spans="31:75" x14ac:dyDescent="0.2">
      <c r="AE78" s="187">
        <v>1.953125E-3</v>
      </c>
      <c r="AF78" s="187">
        <v>0.255859375</v>
      </c>
      <c r="AG78" s="187">
        <v>3.1671360743225798</v>
      </c>
      <c r="AS78" s="187">
        <v>1.953125E-3</v>
      </c>
      <c r="AT78" s="187">
        <v>0.2763671875</v>
      </c>
      <c r="AU78" s="187">
        <v>7.8126076088980625</v>
      </c>
      <c r="BG78" s="187">
        <v>1.953125E-3</v>
      </c>
      <c r="BH78" s="187">
        <v>0.265625</v>
      </c>
      <c r="BI78" s="187">
        <v>8640.4</v>
      </c>
      <c r="BU78" s="187">
        <v>1.953125E-3</v>
      </c>
      <c r="BV78" s="187">
        <v>0.255859375</v>
      </c>
      <c r="BW78" s="187">
        <v>10.30968774193548</v>
      </c>
    </row>
    <row r="79" spans="31:75" x14ac:dyDescent="0.2">
      <c r="AE79" s="187">
        <v>1.953125E-3</v>
      </c>
      <c r="AF79" s="187">
        <v>0.2578125</v>
      </c>
      <c r="AG79" s="187">
        <v>3.1671360743225798</v>
      </c>
      <c r="AS79" s="187">
        <v>1.953125E-3</v>
      </c>
      <c r="AT79" s="187">
        <v>0.2783203125</v>
      </c>
      <c r="AU79" s="187">
        <v>7.9372075008000005</v>
      </c>
      <c r="BG79" s="187">
        <v>9.765625E-4</v>
      </c>
      <c r="BH79" s="187">
        <v>0.2666015625</v>
      </c>
      <c r="BI79" s="187">
        <v>8681.6</v>
      </c>
      <c r="BU79" s="187">
        <v>1.953125E-3</v>
      </c>
      <c r="BV79" s="187">
        <v>0.2578125</v>
      </c>
      <c r="BW79" s="187">
        <v>10.30968774193548</v>
      </c>
    </row>
    <row r="80" spans="31:75" x14ac:dyDescent="0.2">
      <c r="AE80" s="187">
        <v>9.765625E-4</v>
      </c>
      <c r="AF80" s="187">
        <v>0.2587890625</v>
      </c>
      <c r="AG80" s="187">
        <v>3.2764680390193548</v>
      </c>
      <c r="AS80" s="187">
        <v>1.953125E-3</v>
      </c>
      <c r="AT80" s="187">
        <v>0.2802734375</v>
      </c>
      <c r="AU80" s="187">
        <v>8.2015478764180632</v>
      </c>
      <c r="BG80" s="187">
        <v>9.765625E-4</v>
      </c>
      <c r="BH80" s="187">
        <v>0.267578125</v>
      </c>
      <c r="BI80" s="187">
        <v>8681.6</v>
      </c>
      <c r="BU80" s="187">
        <v>9.765625E-4</v>
      </c>
      <c r="BV80" s="187">
        <v>0.2587890625</v>
      </c>
      <c r="BW80" s="187">
        <v>10.665586064516129</v>
      </c>
    </row>
    <row r="81" spans="31:75" x14ac:dyDescent="0.2">
      <c r="AE81" s="187">
        <v>9.765625E-4</v>
      </c>
      <c r="AF81" s="187">
        <v>0.259765625</v>
      </c>
      <c r="AG81" s="187">
        <v>3.2764680390193548</v>
      </c>
      <c r="AS81" s="187">
        <v>9.765625E-4</v>
      </c>
      <c r="AT81" s="187">
        <v>0.28125</v>
      </c>
      <c r="AU81" s="187">
        <v>8.230393314270966</v>
      </c>
      <c r="BG81" s="187">
        <v>1.953125E-3</v>
      </c>
      <c r="BH81" s="187">
        <v>0.26953125</v>
      </c>
      <c r="BI81" s="187">
        <v>8720.7999999999993</v>
      </c>
      <c r="BU81" s="187">
        <v>9.765625E-4</v>
      </c>
      <c r="BV81" s="187">
        <v>0.259765625</v>
      </c>
      <c r="BW81" s="187">
        <v>10.665586064516129</v>
      </c>
    </row>
    <row r="82" spans="31:75" x14ac:dyDescent="0.2">
      <c r="AE82" s="187">
        <v>1.953125E-3</v>
      </c>
      <c r="AF82" s="187">
        <v>0.26171875</v>
      </c>
      <c r="AG82" s="187">
        <v>3.3295533089032245</v>
      </c>
      <c r="AS82" s="187">
        <v>1.953125E-3</v>
      </c>
      <c r="AT82" s="187">
        <v>0.283203125</v>
      </c>
      <c r="AU82" s="187">
        <v>8.2632849447638677</v>
      </c>
      <c r="BG82" s="187">
        <v>1.953125E-3</v>
      </c>
      <c r="BH82" s="187">
        <v>0.271484375</v>
      </c>
      <c r="BI82" s="187">
        <v>8720.7999999999993</v>
      </c>
      <c r="BU82" s="187">
        <v>1.953125E-3</v>
      </c>
      <c r="BV82" s="187">
        <v>0.26171875</v>
      </c>
      <c r="BW82" s="187">
        <v>10.83838967741935</v>
      </c>
    </row>
    <row r="83" spans="31:75" x14ac:dyDescent="0.2">
      <c r="AE83" s="187">
        <v>1.953125E-3</v>
      </c>
      <c r="AF83" s="187">
        <v>0.263671875</v>
      </c>
      <c r="AG83" s="187">
        <v>3.3295533089032245</v>
      </c>
      <c r="AS83" s="187">
        <v>3.90625E-3</v>
      </c>
      <c r="AT83" s="187">
        <v>0.287109375</v>
      </c>
      <c r="AU83" s="187">
        <v>8.3282850716903205</v>
      </c>
      <c r="BG83" s="187">
        <v>1.953125E-3</v>
      </c>
      <c r="BH83" s="187">
        <v>0.2734375</v>
      </c>
      <c r="BI83" s="187">
        <v>8720.7999999999993</v>
      </c>
      <c r="BU83" s="187">
        <v>1.953125E-3</v>
      </c>
      <c r="BV83" s="187">
        <v>0.263671875</v>
      </c>
      <c r="BW83" s="187">
        <v>10.83838967741935</v>
      </c>
    </row>
    <row r="84" spans="31:75" x14ac:dyDescent="0.2">
      <c r="AE84" s="187">
        <v>9.765625E-4</v>
      </c>
      <c r="AF84" s="187">
        <v>0.2646484375</v>
      </c>
      <c r="AG84" s="187">
        <v>3.4473058039741931</v>
      </c>
      <c r="AS84" s="187">
        <v>3.90625E-3</v>
      </c>
      <c r="AT84" s="187">
        <v>0.291015625</v>
      </c>
      <c r="AU84" s="187">
        <v>8.3701512786580636</v>
      </c>
      <c r="BG84" s="187">
        <v>1.953125E-3</v>
      </c>
      <c r="BH84" s="187">
        <v>0.275390625</v>
      </c>
      <c r="BI84" s="187">
        <v>8720.7999999999993</v>
      </c>
      <c r="BU84" s="187">
        <v>9.765625E-4</v>
      </c>
      <c r="BV84" s="187">
        <v>0.2646484375</v>
      </c>
      <c r="BW84" s="187">
        <v>11.221698580645159</v>
      </c>
    </row>
    <row r="85" spans="31:75" x14ac:dyDescent="0.2">
      <c r="AE85" s="187">
        <v>7.8125E-3</v>
      </c>
      <c r="AF85" s="187">
        <v>0.2724609375</v>
      </c>
      <c r="AG85" s="187">
        <v>3.6021867685161291</v>
      </c>
      <c r="AS85" s="187">
        <v>9.765625E-4</v>
      </c>
      <c r="AT85" s="187">
        <v>0.2919921875</v>
      </c>
      <c r="AU85" s="187">
        <v>8.4347213810787078</v>
      </c>
      <c r="BG85" s="187">
        <v>1.5625E-2</v>
      </c>
      <c r="BH85" s="187">
        <v>0.291015625</v>
      </c>
      <c r="BI85" s="187">
        <v>8800.7999999999993</v>
      </c>
      <c r="BU85" s="187">
        <v>7.8125E-3</v>
      </c>
      <c r="BV85" s="187">
        <v>0.2724609375</v>
      </c>
      <c r="BW85" s="187">
        <v>11.725868387096773</v>
      </c>
    </row>
    <row r="86" spans="31:75" x14ac:dyDescent="0.2">
      <c r="AE86" s="187">
        <v>9.765625E-4</v>
      </c>
      <c r="AF86" s="187">
        <v>0.2734375</v>
      </c>
      <c r="AG86" s="187">
        <v>3.865530183019354</v>
      </c>
      <c r="AS86" s="187">
        <v>7.8125E-3</v>
      </c>
      <c r="AT86" s="187">
        <v>0.2998046875</v>
      </c>
      <c r="AU86" s="187">
        <v>8.4913564242580648</v>
      </c>
      <c r="BG86" s="187">
        <v>7.8125E-3</v>
      </c>
      <c r="BH86" s="187">
        <v>0.298828125</v>
      </c>
      <c r="BI86" s="187">
        <v>8800.7999999999993</v>
      </c>
      <c r="BU86" s="187">
        <v>9.765625E-4</v>
      </c>
      <c r="BV86" s="187">
        <v>0.2734375</v>
      </c>
      <c r="BW86" s="187">
        <v>12.583106064516125</v>
      </c>
    </row>
    <row r="87" spans="31:75" x14ac:dyDescent="0.2">
      <c r="AE87" s="187">
        <v>7.8125E-3</v>
      </c>
      <c r="AF87" s="187">
        <v>0.28125</v>
      </c>
      <c r="AG87" s="187">
        <v>3.865530183019354</v>
      </c>
      <c r="AS87" s="187">
        <v>1.953125E-3</v>
      </c>
      <c r="AT87" s="187">
        <v>0.3017578125</v>
      </c>
      <c r="AU87" s="187">
        <v>8.5568623252645146</v>
      </c>
      <c r="BG87" s="187">
        <v>3.90625E-3</v>
      </c>
      <c r="BH87" s="187">
        <v>0.302734375</v>
      </c>
      <c r="BI87" s="187">
        <v>9080.4</v>
      </c>
      <c r="BU87" s="187">
        <v>7.8125E-3</v>
      </c>
      <c r="BV87" s="187">
        <v>0.28125</v>
      </c>
      <c r="BW87" s="187">
        <v>12.583106064516125</v>
      </c>
    </row>
    <row r="88" spans="31:75" x14ac:dyDescent="0.2">
      <c r="AE88" s="187">
        <v>1.953125E-3</v>
      </c>
      <c r="AF88" s="187">
        <v>0.283203125</v>
      </c>
      <c r="AG88" s="187">
        <v>3.8676110567225805</v>
      </c>
      <c r="AS88" s="187">
        <v>3.90625E-3</v>
      </c>
      <c r="AT88" s="187">
        <v>0.3056640625</v>
      </c>
      <c r="AU88" s="187">
        <v>8.6056613663380617</v>
      </c>
      <c r="BG88" s="187">
        <v>3.90625E-3</v>
      </c>
      <c r="BH88" s="187">
        <v>0.306640625</v>
      </c>
      <c r="BI88" s="187">
        <v>9080.4</v>
      </c>
      <c r="BU88" s="187">
        <v>1.953125E-3</v>
      </c>
      <c r="BV88" s="187">
        <v>0.283203125</v>
      </c>
      <c r="BW88" s="187">
        <v>12.589879741935482</v>
      </c>
    </row>
    <row r="89" spans="31:75" x14ac:dyDescent="0.2">
      <c r="AE89" s="187">
        <v>1.5625E-2</v>
      </c>
      <c r="AF89" s="187">
        <v>0.298828125</v>
      </c>
      <c r="AG89" s="187">
        <v>3.8676110567225805</v>
      </c>
      <c r="AS89" s="187">
        <v>1.953125E-3</v>
      </c>
      <c r="AT89" s="187">
        <v>0.3076171875</v>
      </c>
      <c r="AU89" s="187">
        <v>8.6924657168516113</v>
      </c>
      <c r="BG89" s="187">
        <v>9.765625E-4</v>
      </c>
      <c r="BH89" s="187">
        <v>0.3076171875</v>
      </c>
      <c r="BI89" s="187">
        <v>9120.4</v>
      </c>
      <c r="BU89" s="187">
        <v>1.5625E-2</v>
      </c>
      <c r="BV89" s="187">
        <v>0.298828125</v>
      </c>
      <c r="BW89" s="187">
        <v>12.589879741935482</v>
      </c>
    </row>
    <row r="90" spans="31:75" x14ac:dyDescent="0.2">
      <c r="AE90" s="187">
        <v>1.953125E-3</v>
      </c>
      <c r="AF90" s="187">
        <v>0.30078125</v>
      </c>
      <c r="AG90" s="187">
        <v>3.9150082510451609</v>
      </c>
      <c r="AS90" s="187">
        <v>3.90625E-3</v>
      </c>
      <c r="AT90" s="187">
        <v>0.3115234375</v>
      </c>
      <c r="AU90" s="187">
        <v>8.786872993858065</v>
      </c>
      <c r="BG90" s="187">
        <v>3.90625E-3</v>
      </c>
      <c r="BH90" s="187">
        <v>0.3115234375</v>
      </c>
      <c r="BI90" s="187">
        <v>9280.4</v>
      </c>
      <c r="BU90" s="187">
        <v>1.953125E-3</v>
      </c>
      <c r="BV90" s="187">
        <v>0.30078125</v>
      </c>
      <c r="BW90" s="187">
        <v>12.744167483870966</v>
      </c>
    </row>
    <row r="91" spans="31:75" x14ac:dyDescent="0.2">
      <c r="AE91" s="187">
        <v>1.953125E-3</v>
      </c>
      <c r="AF91" s="187">
        <v>0.302734375</v>
      </c>
      <c r="AG91" s="187">
        <v>3.9150082510451609</v>
      </c>
      <c r="AS91" s="187">
        <v>3.90625E-3</v>
      </c>
      <c r="AT91" s="187">
        <v>0.3154296875</v>
      </c>
      <c r="AU91" s="187">
        <v>8.8530198527999993</v>
      </c>
      <c r="BG91" s="187">
        <v>3.90625E-3</v>
      </c>
      <c r="BH91" s="187">
        <v>0.3154296875</v>
      </c>
      <c r="BI91" s="187">
        <v>9280.4</v>
      </c>
      <c r="BU91" s="187">
        <v>1.953125E-3</v>
      </c>
      <c r="BV91" s="187">
        <v>0.302734375</v>
      </c>
      <c r="BW91" s="187">
        <v>12.744167483870966</v>
      </c>
    </row>
    <row r="92" spans="31:75" x14ac:dyDescent="0.2">
      <c r="AE92" s="187">
        <v>7.8125E-3</v>
      </c>
      <c r="AF92" s="187">
        <v>0.310546875</v>
      </c>
      <c r="AG92" s="187">
        <v>3.9792222472258061</v>
      </c>
      <c r="AS92" s="187">
        <v>7.8125E-3</v>
      </c>
      <c r="AT92" s="187">
        <v>0.3232421875</v>
      </c>
      <c r="AU92" s="187">
        <v>8.9812230936774178</v>
      </c>
      <c r="BG92" s="187">
        <v>1.5625E-2</v>
      </c>
      <c r="BH92" s="187">
        <v>0.3310546875</v>
      </c>
      <c r="BI92" s="187">
        <v>9280.7999999999993</v>
      </c>
      <c r="BU92" s="187">
        <v>7.8125E-3</v>
      </c>
      <c r="BV92" s="187">
        <v>0.310546875</v>
      </c>
      <c r="BW92" s="187">
        <v>12.953197419354836</v>
      </c>
    </row>
    <row r="93" spans="31:75" x14ac:dyDescent="0.2">
      <c r="AE93" s="187">
        <v>3.90625E-3</v>
      </c>
      <c r="AF93" s="187">
        <v>0.314453125</v>
      </c>
      <c r="AG93" s="187">
        <v>3.9798905558709681</v>
      </c>
      <c r="AS93" s="187">
        <v>1.953125E-3</v>
      </c>
      <c r="AT93" s="187">
        <v>0.3251953125</v>
      </c>
      <c r="AU93" s="187">
        <v>9.1114715730580613</v>
      </c>
      <c r="BG93" s="187">
        <v>1.5625E-2</v>
      </c>
      <c r="BH93" s="187">
        <v>0.3466796875</v>
      </c>
      <c r="BI93" s="187">
        <v>9280.7999999999993</v>
      </c>
      <c r="BU93" s="187">
        <v>3.90625E-3</v>
      </c>
      <c r="BV93" s="187">
        <v>0.314453125</v>
      </c>
      <c r="BW93" s="187">
        <v>12.955372903225806</v>
      </c>
    </row>
    <row r="94" spans="31:75" x14ac:dyDescent="0.2">
      <c r="AE94" s="187">
        <v>3.90625E-3</v>
      </c>
      <c r="AF94" s="187">
        <v>0.318359375</v>
      </c>
      <c r="AG94" s="187">
        <v>3.9798905558709681</v>
      </c>
      <c r="AS94" s="187">
        <v>3.90625E-3</v>
      </c>
      <c r="AT94" s="187">
        <v>0.3291015625</v>
      </c>
      <c r="AU94" s="187">
        <v>9.120788770683868</v>
      </c>
      <c r="BG94" s="187">
        <v>7.8125E-3</v>
      </c>
      <c r="BH94" s="187">
        <v>0.3544921875</v>
      </c>
      <c r="BI94" s="187">
        <v>9520.4</v>
      </c>
      <c r="BU94" s="187">
        <v>3.90625E-3</v>
      </c>
      <c r="BV94" s="187">
        <v>0.318359375</v>
      </c>
      <c r="BW94" s="187">
        <v>12.955372903225806</v>
      </c>
    </row>
    <row r="95" spans="31:75" x14ac:dyDescent="0.2">
      <c r="AE95" s="187">
        <v>1.953125E-3</v>
      </c>
      <c r="AF95" s="187">
        <v>0.3203125</v>
      </c>
      <c r="AG95" s="187">
        <v>3.9954639706838697</v>
      </c>
      <c r="AS95" s="187">
        <v>7.8125E-3</v>
      </c>
      <c r="AT95" s="187">
        <v>0.3369140625</v>
      </c>
      <c r="AU95" s="187">
        <v>9.2198517330580625</v>
      </c>
      <c r="BG95" s="187">
        <v>3.90625E-3</v>
      </c>
      <c r="BH95" s="187">
        <v>0.3583984375</v>
      </c>
      <c r="BI95" s="187">
        <v>9560.7999999999993</v>
      </c>
      <c r="BU95" s="187">
        <v>1.953125E-3</v>
      </c>
      <c r="BV95" s="187">
        <v>0.3203125</v>
      </c>
      <c r="BW95" s="187">
        <v>13.006067612903221</v>
      </c>
    </row>
    <row r="96" spans="31:75" x14ac:dyDescent="0.2">
      <c r="AE96" s="187">
        <v>9.765625E-4</v>
      </c>
      <c r="AF96" s="187">
        <v>0.3212890625</v>
      </c>
      <c r="AG96" s="187">
        <v>4.0169127936000004</v>
      </c>
      <c r="AS96" s="187">
        <v>9.765625E-4</v>
      </c>
      <c r="AT96" s="187">
        <v>0.337890625</v>
      </c>
      <c r="AU96" s="187">
        <v>9.3136145559948353</v>
      </c>
      <c r="BG96" s="187">
        <v>3.90625E-3</v>
      </c>
      <c r="BH96" s="187">
        <v>0.3623046875</v>
      </c>
      <c r="BI96" s="187">
        <v>9560.7999999999993</v>
      </c>
      <c r="BU96" s="187">
        <v>9.765625E-4</v>
      </c>
      <c r="BV96" s="187">
        <v>0.3212890625</v>
      </c>
      <c r="BW96" s="187">
        <v>13.075888000000001</v>
      </c>
    </row>
    <row r="97" spans="31:75" x14ac:dyDescent="0.2">
      <c r="AE97" s="187">
        <v>7.8125E-3</v>
      </c>
      <c r="AF97" s="187">
        <v>0.3291015625</v>
      </c>
      <c r="AG97" s="187">
        <v>4.0604308645161282</v>
      </c>
      <c r="AS97" s="187">
        <v>1.5625E-2</v>
      </c>
      <c r="AT97" s="187">
        <v>0.353515625</v>
      </c>
      <c r="AU97" s="187">
        <v>9.4003950162580647</v>
      </c>
      <c r="BG97" s="187">
        <v>1.953125E-3</v>
      </c>
      <c r="BH97" s="187">
        <v>0.3642578125</v>
      </c>
      <c r="BI97" s="187">
        <v>9600.4</v>
      </c>
      <c r="BU97" s="187">
        <v>7.8125E-3</v>
      </c>
      <c r="BV97" s="187">
        <v>0.3291015625</v>
      </c>
      <c r="BW97" s="187">
        <v>13.21754838709677</v>
      </c>
    </row>
    <row r="98" spans="31:75" x14ac:dyDescent="0.2">
      <c r="AE98" s="187">
        <v>7.8125E-3</v>
      </c>
      <c r="AF98" s="187">
        <v>0.3369140625</v>
      </c>
      <c r="AG98" s="187">
        <v>4.0604308645161282</v>
      </c>
      <c r="AS98" s="187">
        <v>3.90625E-3</v>
      </c>
      <c r="AT98" s="187">
        <v>0.357421875</v>
      </c>
      <c r="AU98" s="187">
        <v>9.4729194066580629</v>
      </c>
      <c r="BG98" s="187">
        <v>1.953125E-3</v>
      </c>
      <c r="BH98" s="187">
        <v>0.3662109375</v>
      </c>
      <c r="BI98" s="187">
        <v>9600.4</v>
      </c>
      <c r="BU98" s="187">
        <v>7.8125E-3</v>
      </c>
      <c r="BV98" s="187">
        <v>0.3369140625</v>
      </c>
      <c r="BW98" s="187">
        <v>13.21754838709677</v>
      </c>
    </row>
    <row r="99" spans="31:75" x14ac:dyDescent="0.2">
      <c r="AE99" s="187">
        <v>1.5625E-2</v>
      </c>
      <c r="AF99" s="187">
        <v>0.3525390625</v>
      </c>
      <c r="AG99" s="187">
        <v>4.1709531003870968</v>
      </c>
      <c r="AS99" s="187">
        <v>1.953125E-3</v>
      </c>
      <c r="AT99" s="187">
        <v>0.359375</v>
      </c>
      <c r="AU99" s="187">
        <v>9.6009594946064496</v>
      </c>
      <c r="BG99" s="187">
        <v>7.8125E-3</v>
      </c>
      <c r="BH99" s="187">
        <v>0.3740234375</v>
      </c>
      <c r="BI99" s="187">
        <v>9920.4</v>
      </c>
      <c r="BU99" s="187">
        <v>1.5625E-2</v>
      </c>
      <c r="BV99" s="187">
        <v>0.3525390625</v>
      </c>
      <c r="BW99" s="187">
        <v>13.57732129032258</v>
      </c>
    </row>
    <row r="100" spans="31:75" x14ac:dyDescent="0.2">
      <c r="AE100" s="187">
        <v>1.5625E-2</v>
      </c>
      <c r="AF100" s="187">
        <v>0.3681640625</v>
      </c>
      <c r="AG100" s="187">
        <v>4.1709531003870968</v>
      </c>
      <c r="AS100" s="187">
        <v>1.953125E-3</v>
      </c>
      <c r="AT100" s="187">
        <v>0.361328125</v>
      </c>
      <c r="AU100" s="187">
        <v>9.6926677560154815</v>
      </c>
      <c r="BG100" s="187">
        <v>7.8125E-3</v>
      </c>
      <c r="BH100" s="187">
        <v>0.3818359375</v>
      </c>
      <c r="BI100" s="187">
        <v>9920.7999999999993</v>
      </c>
      <c r="BU100" s="187">
        <v>1.5625E-2</v>
      </c>
      <c r="BV100" s="187">
        <v>0.3681640625</v>
      </c>
      <c r="BW100" s="187">
        <v>13.57732129032258</v>
      </c>
    </row>
    <row r="101" spans="31:75" x14ac:dyDescent="0.2">
      <c r="AE101" s="187">
        <v>1.953125E-3</v>
      </c>
      <c r="AF101" s="187">
        <v>0.3701171875</v>
      </c>
      <c r="AG101" s="187">
        <v>4.2066063756387093</v>
      </c>
      <c r="AS101" s="187">
        <v>1.5625E-2</v>
      </c>
      <c r="AT101" s="187">
        <v>0.376953125</v>
      </c>
      <c r="AU101" s="187">
        <v>9.942747400258062</v>
      </c>
      <c r="BG101" s="187">
        <v>7.8125E-3</v>
      </c>
      <c r="BH101" s="187">
        <v>0.3896484375</v>
      </c>
      <c r="BI101" s="187">
        <v>9920.7999999999993</v>
      </c>
      <c r="BU101" s="187">
        <v>1.953125E-3</v>
      </c>
      <c r="BV101" s="187">
        <v>0.3701171875</v>
      </c>
      <c r="BW101" s="187">
        <v>13.693380129032256</v>
      </c>
    </row>
    <row r="102" spans="31:75" x14ac:dyDescent="0.2">
      <c r="AE102" s="187">
        <v>1.953125E-3</v>
      </c>
      <c r="AF102" s="187">
        <v>0.3720703125</v>
      </c>
      <c r="AG102" s="187">
        <v>4.2066063756387093</v>
      </c>
      <c r="AS102" s="187">
        <v>1.953125E-3</v>
      </c>
      <c r="AT102" s="187">
        <v>0.37890625</v>
      </c>
      <c r="AU102" s="187">
        <v>9.9783730076903225</v>
      </c>
      <c r="BG102" s="187">
        <v>3.90625E-3</v>
      </c>
      <c r="BH102" s="187">
        <v>0.3935546875</v>
      </c>
      <c r="BI102" s="187">
        <v>9961.6</v>
      </c>
      <c r="BU102" s="187">
        <v>1.953125E-3</v>
      </c>
      <c r="BV102" s="187">
        <v>0.3720703125</v>
      </c>
      <c r="BW102" s="187">
        <v>13.693380129032256</v>
      </c>
    </row>
    <row r="103" spans="31:75" x14ac:dyDescent="0.2">
      <c r="AE103" s="187">
        <v>3.90625E-3</v>
      </c>
      <c r="AF103" s="187">
        <v>0.3759765625</v>
      </c>
      <c r="AG103" s="187">
        <v>4.2088708558451611</v>
      </c>
      <c r="AS103" s="187">
        <v>3.90625E-3</v>
      </c>
      <c r="AT103" s="187">
        <v>0.3828125</v>
      </c>
      <c r="AU103" s="187">
        <v>10.122885714580645</v>
      </c>
      <c r="BG103" s="187">
        <v>7.8125E-3</v>
      </c>
      <c r="BH103" s="187">
        <v>0.4013671875</v>
      </c>
      <c r="BI103" s="187">
        <v>10000.799999999999</v>
      </c>
      <c r="BU103" s="187">
        <v>3.90625E-3</v>
      </c>
      <c r="BV103" s="187">
        <v>0.3759765625</v>
      </c>
      <c r="BW103" s="187">
        <v>13.700751483870965</v>
      </c>
    </row>
    <row r="104" spans="31:75" x14ac:dyDescent="0.2">
      <c r="AE104" s="187">
        <v>3.90625E-3</v>
      </c>
      <c r="AF104" s="187">
        <v>0.3798828125</v>
      </c>
      <c r="AG104" s="187">
        <v>4.2088708558451611</v>
      </c>
      <c r="AS104" s="187">
        <v>1.953125E-3</v>
      </c>
      <c r="AT104" s="187">
        <v>0.384765625</v>
      </c>
      <c r="AU104" s="187">
        <v>10.188228462658062</v>
      </c>
      <c r="BG104" s="187">
        <v>7.8125E-3</v>
      </c>
      <c r="BH104" s="187">
        <v>0.4091796875</v>
      </c>
      <c r="BI104" s="187">
        <v>10000.799999999999</v>
      </c>
      <c r="BU104" s="187">
        <v>3.90625E-3</v>
      </c>
      <c r="BV104" s="187">
        <v>0.3798828125</v>
      </c>
      <c r="BW104" s="187">
        <v>13.700751483870965</v>
      </c>
    </row>
    <row r="105" spans="31:75" x14ac:dyDescent="0.2">
      <c r="AE105" s="187">
        <v>1.953125E-3</v>
      </c>
      <c r="AF105" s="187">
        <v>0.3818359375</v>
      </c>
      <c r="AG105" s="187">
        <v>4.220535101109677</v>
      </c>
      <c r="AS105" s="187">
        <v>3.90625E-3</v>
      </c>
      <c r="AT105" s="187">
        <v>0.388671875</v>
      </c>
      <c r="AU105" s="187">
        <v>10.38450143628387</v>
      </c>
      <c r="BG105" s="187">
        <v>1.953125E-3</v>
      </c>
      <c r="BH105" s="187">
        <v>0.4111328125</v>
      </c>
      <c r="BI105" s="187">
        <v>10061.6</v>
      </c>
      <c r="BU105" s="187">
        <v>1.953125E-3</v>
      </c>
      <c r="BV105" s="187">
        <v>0.3818359375</v>
      </c>
      <c r="BW105" s="187">
        <v>13.738721032258061</v>
      </c>
    </row>
    <row r="106" spans="31:75" x14ac:dyDescent="0.2">
      <c r="AE106" s="187">
        <v>1.5625E-2</v>
      </c>
      <c r="AF106" s="187">
        <v>0.3974609375</v>
      </c>
      <c r="AG106" s="187">
        <v>4.3131446833548388</v>
      </c>
      <c r="AS106" s="187">
        <v>3.90625E-3</v>
      </c>
      <c r="AT106" s="187">
        <v>0.392578125</v>
      </c>
      <c r="AU106" s="187">
        <v>10.51479536540903</v>
      </c>
      <c r="BG106" s="187">
        <v>1.953125E-3</v>
      </c>
      <c r="BH106" s="187">
        <v>0.4130859375</v>
      </c>
      <c r="BI106" s="187">
        <v>10080.4</v>
      </c>
      <c r="BU106" s="187">
        <v>1.5625E-2</v>
      </c>
      <c r="BV106" s="187">
        <v>0.3974609375</v>
      </c>
      <c r="BW106" s="187">
        <v>14.040184516129031</v>
      </c>
    </row>
    <row r="107" spans="31:75" x14ac:dyDescent="0.2">
      <c r="AE107" s="187">
        <v>1.953125E-3</v>
      </c>
      <c r="AF107" s="187">
        <v>0.3994140625</v>
      </c>
      <c r="AG107" s="187">
        <v>4.4055674879999991</v>
      </c>
      <c r="AS107" s="187">
        <v>3.90625E-3</v>
      </c>
      <c r="AT107" s="187">
        <v>0.396484375</v>
      </c>
      <c r="AU107" s="187">
        <v>10.628884129858063</v>
      </c>
      <c r="BG107" s="187">
        <v>1.953125E-3</v>
      </c>
      <c r="BH107" s="187">
        <v>0.4150390625</v>
      </c>
      <c r="BI107" s="187">
        <v>10080.4</v>
      </c>
      <c r="BU107" s="187">
        <v>1.953125E-3</v>
      </c>
      <c r="BV107" s="187">
        <v>0.3994140625</v>
      </c>
      <c r="BW107" s="187">
        <v>14.341039999999996</v>
      </c>
    </row>
    <row r="108" spans="31:75" x14ac:dyDescent="0.2">
      <c r="AE108" s="187">
        <v>1.953125E-3</v>
      </c>
      <c r="AF108" s="187">
        <v>0.4013671875</v>
      </c>
      <c r="AG108" s="187">
        <v>4.4055674879999991</v>
      </c>
      <c r="AS108" s="187">
        <v>3.90625E-3</v>
      </c>
      <c r="AT108" s="187">
        <v>0.400390625</v>
      </c>
      <c r="AU108" s="187">
        <v>10.730418276418062</v>
      </c>
      <c r="BG108" s="187">
        <v>1.953125E-3</v>
      </c>
      <c r="BH108" s="187">
        <v>0.4169921875</v>
      </c>
      <c r="BI108" s="187">
        <v>10080.4</v>
      </c>
      <c r="BU108" s="187">
        <v>1.953125E-3</v>
      </c>
      <c r="BV108" s="187">
        <v>0.4013671875</v>
      </c>
      <c r="BW108" s="187">
        <v>14.341039999999996</v>
      </c>
    </row>
    <row r="109" spans="31:75" x14ac:dyDescent="0.2">
      <c r="AE109" s="187">
        <v>3.90625E-3</v>
      </c>
      <c r="AF109" s="187">
        <v>0.4052734375</v>
      </c>
      <c r="AG109" s="187">
        <v>4.4079390720000005</v>
      </c>
      <c r="AS109" s="187">
        <v>1.953125E-3</v>
      </c>
      <c r="AT109" s="187">
        <v>0.40234375</v>
      </c>
      <c r="AU109" s="187">
        <v>10.776068465961291</v>
      </c>
      <c r="BG109" s="187">
        <v>1.953125E-3</v>
      </c>
      <c r="BH109" s="187">
        <v>0.4189453125</v>
      </c>
      <c r="BI109" s="187">
        <v>10080.4</v>
      </c>
      <c r="BU109" s="187">
        <v>3.90625E-3</v>
      </c>
      <c r="BV109" s="187">
        <v>0.4052734375</v>
      </c>
      <c r="BW109" s="187">
        <v>14.34876</v>
      </c>
    </row>
    <row r="110" spans="31:75" x14ac:dyDescent="0.2">
      <c r="AE110" s="187">
        <v>3.90625E-3</v>
      </c>
      <c r="AF110" s="187">
        <v>0.4091796875</v>
      </c>
      <c r="AG110" s="187">
        <v>4.4079390720000005</v>
      </c>
      <c r="AS110" s="187">
        <v>7.8125E-3</v>
      </c>
      <c r="AT110" s="187">
        <v>0.41015625</v>
      </c>
      <c r="AU110" s="187">
        <v>11.206731016258065</v>
      </c>
      <c r="BG110" s="187">
        <v>9.765625E-4</v>
      </c>
      <c r="BH110" s="187">
        <v>0.419921875</v>
      </c>
      <c r="BI110" s="187">
        <v>10240.4</v>
      </c>
      <c r="BU110" s="187">
        <v>3.90625E-3</v>
      </c>
      <c r="BV110" s="187">
        <v>0.4091796875</v>
      </c>
      <c r="BW110" s="187">
        <v>14.34876</v>
      </c>
    </row>
    <row r="111" spans="31:75" x14ac:dyDescent="0.2">
      <c r="AE111" s="187">
        <v>9.765625E-4</v>
      </c>
      <c r="AF111" s="187">
        <v>0.41015625</v>
      </c>
      <c r="AG111" s="187">
        <v>4.6613746324645158</v>
      </c>
      <c r="AS111" s="187">
        <v>3.90625E-3</v>
      </c>
      <c r="AT111" s="187">
        <v>0.4140625</v>
      </c>
      <c r="AU111" s="187">
        <v>11.265218427870966</v>
      </c>
      <c r="BG111" s="187">
        <v>9.765625E-4</v>
      </c>
      <c r="BH111" s="187">
        <v>0.4208984375</v>
      </c>
      <c r="BI111" s="187">
        <v>10240.4</v>
      </c>
      <c r="BU111" s="187">
        <v>9.765625E-4</v>
      </c>
      <c r="BV111" s="187">
        <v>0.41015625</v>
      </c>
      <c r="BW111" s="187">
        <v>15.173745548387094</v>
      </c>
    </row>
    <row r="112" spans="31:75" x14ac:dyDescent="0.2">
      <c r="AE112" s="187">
        <v>9.765625E-4</v>
      </c>
      <c r="AF112" s="187">
        <v>0.4111328125</v>
      </c>
      <c r="AG112" s="187">
        <v>4.6613746324645158</v>
      </c>
      <c r="AS112" s="187">
        <v>7.8125E-3</v>
      </c>
      <c r="AT112" s="187">
        <v>0.421875</v>
      </c>
      <c r="AU112" s="187">
        <v>11.265352446348386</v>
      </c>
      <c r="BG112" s="187">
        <v>3.90625E-3</v>
      </c>
      <c r="BH112" s="187">
        <v>0.4248046875</v>
      </c>
      <c r="BI112" s="187">
        <v>10541.6</v>
      </c>
      <c r="BU112" s="187">
        <v>9.765625E-4</v>
      </c>
      <c r="BV112" s="187">
        <v>0.4111328125</v>
      </c>
      <c r="BW112" s="187">
        <v>15.173745548387094</v>
      </c>
    </row>
    <row r="113" spans="31:75" x14ac:dyDescent="0.2">
      <c r="AE113" s="187">
        <v>1.953125E-3</v>
      </c>
      <c r="AF113" s="187">
        <v>0.4130859375</v>
      </c>
      <c r="AG113" s="187">
        <v>4.6638839213419354</v>
      </c>
      <c r="AS113" s="187">
        <v>3.90625E-3</v>
      </c>
      <c r="AT113" s="187">
        <v>0.42578125</v>
      </c>
      <c r="AU113" s="187">
        <v>11.279074773058063</v>
      </c>
      <c r="BG113" s="187">
        <v>3.90625E-3</v>
      </c>
      <c r="BH113" s="187">
        <v>0.4287109375</v>
      </c>
      <c r="BI113" s="187">
        <v>10541.6</v>
      </c>
      <c r="BU113" s="187">
        <v>1.953125E-3</v>
      </c>
      <c r="BV113" s="187">
        <v>0.4130859375</v>
      </c>
      <c r="BW113" s="187">
        <v>15.181913806451611</v>
      </c>
    </row>
    <row r="114" spans="31:75" x14ac:dyDescent="0.2">
      <c r="AE114" s="187">
        <v>1.953125E-3</v>
      </c>
      <c r="AF114" s="187">
        <v>0.4150390625</v>
      </c>
      <c r="AG114" s="187">
        <v>4.6638839213419354</v>
      </c>
      <c r="AS114" s="187">
        <v>3.90625E-3</v>
      </c>
      <c r="AT114" s="187">
        <v>0.4296875</v>
      </c>
      <c r="AU114" s="187">
        <v>11.372835265238708</v>
      </c>
      <c r="BG114" s="187">
        <v>1.953125E-3</v>
      </c>
      <c r="BH114" s="187">
        <v>0.4306640625</v>
      </c>
      <c r="BI114" s="187">
        <v>10561.6</v>
      </c>
      <c r="BU114" s="187">
        <v>1.953125E-3</v>
      </c>
      <c r="BV114" s="187">
        <v>0.4150390625</v>
      </c>
      <c r="BW114" s="187">
        <v>15.181913806451611</v>
      </c>
    </row>
    <row r="115" spans="31:75" x14ac:dyDescent="0.2">
      <c r="AE115" s="187">
        <v>9.765625E-4</v>
      </c>
      <c r="AF115" s="187">
        <v>0.416015625</v>
      </c>
      <c r="AG115" s="187">
        <v>4.726341526296773</v>
      </c>
      <c r="AS115" s="187">
        <v>1.5625E-2</v>
      </c>
      <c r="AT115" s="187">
        <v>0.4453125</v>
      </c>
      <c r="AU115" s="187">
        <v>11.42851702916129</v>
      </c>
      <c r="BG115" s="187">
        <v>3.90625E-3</v>
      </c>
      <c r="BH115" s="187">
        <v>0.4345703125</v>
      </c>
      <c r="BI115" s="187">
        <v>10600.8</v>
      </c>
      <c r="BU115" s="187">
        <v>9.765625E-4</v>
      </c>
      <c r="BV115" s="187">
        <v>0.416015625</v>
      </c>
      <c r="BW115" s="187">
        <v>15.385226322580639</v>
      </c>
    </row>
    <row r="116" spans="31:75" x14ac:dyDescent="0.2">
      <c r="AE116" s="187">
        <v>3.90625E-3</v>
      </c>
      <c r="AF116" s="187">
        <v>0.419921875</v>
      </c>
      <c r="AG116" s="187">
        <v>4.8869353802322593</v>
      </c>
      <c r="AS116" s="187">
        <v>7.8125E-3</v>
      </c>
      <c r="AT116" s="187">
        <v>0.453125</v>
      </c>
      <c r="AU116" s="187">
        <v>11.496376993858062</v>
      </c>
      <c r="BG116" s="187">
        <v>7.8125E-3</v>
      </c>
      <c r="BH116" s="187">
        <v>0.4423828125</v>
      </c>
      <c r="BI116" s="187">
        <v>10880.4</v>
      </c>
      <c r="BU116" s="187">
        <v>3.90625E-3</v>
      </c>
      <c r="BV116" s="187">
        <v>0.419921875</v>
      </c>
      <c r="BW116" s="187">
        <v>15.90799277419355</v>
      </c>
    </row>
    <row r="117" spans="31:75" x14ac:dyDescent="0.2">
      <c r="AE117" s="187">
        <v>3.90625E-3</v>
      </c>
      <c r="AF117" s="187">
        <v>0.423828125</v>
      </c>
      <c r="AG117" s="187">
        <v>4.8869353802322593</v>
      </c>
      <c r="AS117" s="187">
        <v>3.90625E-3</v>
      </c>
      <c r="AT117" s="187">
        <v>0.45703125</v>
      </c>
      <c r="AU117" s="187">
        <v>11.885100501058066</v>
      </c>
      <c r="BG117" s="187">
        <v>7.8125E-3</v>
      </c>
      <c r="BH117" s="187">
        <v>0.4501953125</v>
      </c>
      <c r="BI117" s="187">
        <v>10880.4</v>
      </c>
      <c r="BU117" s="187">
        <v>3.90625E-3</v>
      </c>
      <c r="BV117" s="187">
        <v>0.423828125</v>
      </c>
      <c r="BW117" s="187">
        <v>15.90799277419355</v>
      </c>
    </row>
    <row r="118" spans="31:75" x14ac:dyDescent="0.2">
      <c r="AE118" s="187">
        <v>7.8125E-3</v>
      </c>
      <c r="AF118" s="187">
        <v>0.431640625</v>
      </c>
      <c r="AG118" s="187">
        <v>4.9293082095483873</v>
      </c>
      <c r="AS118" s="187">
        <v>3.90625E-3</v>
      </c>
      <c r="AT118" s="187">
        <v>0.4609375</v>
      </c>
      <c r="AU118" s="187">
        <v>11.929897633858065</v>
      </c>
      <c r="BG118" s="187">
        <v>3.90625E-3</v>
      </c>
      <c r="BH118" s="187">
        <v>0.4541015625</v>
      </c>
      <c r="BI118" s="187">
        <v>11041.6</v>
      </c>
      <c r="BU118" s="187">
        <v>7.8125E-3</v>
      </c>
      <c r="BV118" s="187">
        <v>0.431640625</v>
      </c>
      <c r="BW118" s="187">
        <v>16.04592516129032</v>
      </c>
    </row>
    <row r="119" spans="31:75" x14ac:dyDescent="0.2">
      <c r="AE119" s="187">
        <v>7.8125E-3</v>
      </c>
      <c r="AF119" s="187">
        <v>0.439453125</v>
      </c>
      <c r="AG119" s="187">
        <v>4.9293082095483873</v>
      </c>
      <c r="AS119" s="187">
        <v>9.765625E-4</v>
      </c>
      <c r="AT119" s="187">
        <v>0.4619140625</v>
      </c>
      <c r="AU119" s="187">
        <v>11.976808762467096</v>
      </c>
      <c r="BG119" s="187">
        <v>3.90625E-3</v>
      </c>
      <c r="BH119" s="187">
        <v>0.4580078125</v>
      </c>
      <c r="BI119" s="187">
        <v>11041.6</v>
      </c>
      <c r="BU119" s="187">
        <v>7.8125E-3</v>
      </c>
      <c r="BV119" s="187">
        <v>0.439453125</v>
      </c>
      <c r="BW119" s="187">
        <v>16.04592516129032</v>
      </c>
    </row>
    <row r="120" spans="31:75" x14ac:dyDescent="0.2">
      <c r="AE120" s="187">
        <v>3.90625E-3</v>
      </c>
      <c r="AF120" s="187">
        <v>0.443359375</v>
      </c>
      <c r="AG120" s="187">
        <v>5.0430614759225803</v>
      </c>
      <c r="AS120" s="187">
        <v>9.765625E-4</v>
      </c>
      <c r="AT120" s="187">
        <v>0.462890625</v>
      </c>
      <c r="AU120" s="187">
        <v>12.146063611045159</v>
      </c>
      <c r="BG120" s="187">
        <v>7.8125E-3</v>
      </c>
      <c r="BH120" s="187">
        <v>0.4658203125</v>
      </c>
      <c r="BI120" s="187">
        <v>11060.8</v>
      </c>
      <c r="BU120" s="187">
        <v>3.90625E-3</v>
      </c>
      <c r="BV120" s="187">
        <v>0.443359375</v>
      </c>
      <c r="BW120" s="187">
        <v>16.416215741935481</v>
      </c>
    </row>
    <row r="121" spans="31:75" x14ac:dyDescent="0.2">
      <c r="AE121" s="187">
        <v>3.90625E-3</v>
      </c>
      <c r="AF121" s="187">
        <v>0.447265625</v>
      </c>
      <c r="AG121" s="187">
        <v>5.0535354500129035</v>
      </c>
      <c r="AS121" s="187">
        <v>9.765625E-4</v>
      </c>
      <c r="AT121" s="187">
        <v>0.4638671875</v>
      </c>
      <c r="AU121" s="187">
        <v>12.166653510689031</v>
      </c>
      <c r="BG121" s="187">
        <v>7.8125E-3</v>
      </c>
      <c r="BH121" s="187">
        <v>0.4736328125</v>
      </c>
      <c r="BI121" s="187">
        <v>11060.8</v>
      </c>
      <c r="BU121" s="187">
        <v>3.90625E-3</v>
      </c>
      <c r="BV121" s="187">
        <v>0.447265625</v>
      </c>
      <c r="BW121" s="187">
        <v>16.450310709677417</v>
      </c>
    </row>
    <row r="122" spans="31:75" x14ac:dyDescent="0.2">
      <c r="AE122" s="187">
        <v>3.90625E-3</v>
      </c>
      <c r="AF122" s="187">
        <v>0.451171875</v>
      </c>
      <c r="AG122" s="187">
        <v>5.2785601238709674</v>
      </c>
      <c r="AS122" s="187">
        <v>3.90625E-3</v>
      </c>
      <c r="AT122" s="187">
        <v>0.4677734375</v>
      </c>
      <c r="AU122" s="187">
        <v>12.570913838245158</v>
      </c>
      <c r="BG122" s="187">
        <v>7.8125E-3</v>
      </c>
      <c r="BH122" s="187">
        <v>0.4814453125</v>
      </c>
      <c r="BI122" s="187">
        <v>11080.8</v>
      </c>
      <c r="BU122" s="187">
        <v>3.90625E-3</v>
      </c>
      <c r="BV122" s="187">
        <v>0.451171875</v>
      </c>
      <c r="BW122" s="187">
        <v>17.182812903225805</v>
      </c>
    </row>
    <row r="123" spans="31:75" x14ac:dyDescent="0.2">
      <c r="AE123" s="187">
        <v>3.90625E-3</v>
      </c>
      <c r="AF123" s="187">
        <v>0.455078125</v>
      </c>
      <c r="AG123" s="187">
        <v>5.2785601238709674</v>
      </c>
      <c r="AS123" s="187">
        <v>3.125E-2</v>
      </c>
      <c r="AT123" s="187">
        <v>0.4990234375</v>
      </c>
      <c r="AU123" s="187">
        <v>12.652251400258065</v>
      </c>
      <c r="BG123" s="187">
        <v>7.8125E-3</v>
      </c>
      <c r="BH123" s="187">
        <v>0.4892578125</v>
      </c>
      <c r="BI123" s="187">
        <v>11080.8</v>
      </c>
      <c r="BU123" s="187">
        <v>3.90625E-3</v>
      </c>
      <c r="BV123" s="187">
        <v>0.455078125</v>
      </c>
      <c r="BW123" s="187">
        <v>17.182812903225805</v>
      </c>
    </row>
    <row r="124" spans="31:75" x14ac:dyDescent="0.2">
      <c r="AE124" s="187">
        <v>1.953125E-3</v>
      </c>
      <c r="AF124" s="187">
        <v>0.45703125</v>
      </c>
      <c r="AG124" s="187">
        <v>5.4607800650322575</v>
      </c>
      <c r="AS124" s="187">
        <v>1.953125E-3</v>
      </c>
      <c r="AT124" s="187">
        <v>0.5009765625</v>
      </c>
      <c r="AU124" s="187">
        <v>12.76630578605419</v>
      </c>
      <c r="BG124" s="187">
        <v>1.953125E-3</v>
      </c>
      <c r="BH124" s="187">
        <v>0.4912109375</v>
      </c>
      <c r="BI124" s="187">
        <v>11181.6</v>
      </c>
      <c r="BU124" s="187">
        <v>1.953125E-3</v>
      </c>
      <c r="BV124" s="187">
        <v>0.45703125</v>
      </c>
      <c r="BW124" s="187">
        <v>17.775976774193545</v>
      </c>
    </row>
    <row r="125" spans="31:75" x14ac:dyDescent="0.2">
      <c r="AE125" s="187">
        <v>1.953125E-3</v>
      </c>
      <c r="AF125" s="187">
        <v>0.458984375</v>
      </c>
      <c r="AG125" s="187">
        <v>5.4607800650322575</v>
      </c>
      <c r="AS125" s="187">
        <v>1.953125E-3</v>
      </c>
      <c r="AT125" s="187">
        <v>0.5029296875</v>
      </c>
      <c r="AU125" s="187">
        <v>12.831795371767742</v>
      </c>
      <c r="BG125" s="187">
        <v>1.953125E-3</v>
      </c>
      <c r="BH125" s="187">
        <v>0.4931640625</v>
      </c>
      <c r="BI125" s="187">
        <v>11181.6</v>
      </c>
      <c r="BU125" s="187">
        <v>1.953125E-3</v>
      </c>
      <c r="BV125" s="187">
        <v>0.458984375</v>
      </c>
      <c r="BW125" s="187">
        <v>17.775976774193545</v>
      </c>
    </row>
    <row r="126" spans="31:75" x14ac:dyDescent="0.2">
      <c r="AE126" s="187">
        <v>3.90625E-3</v>
      </c>
      <c r="AF126" s="187">
        <v>0.462890625</v>
      </c>
      <c r="AG126" s="187">
        <v>5.5709111461161287</v>
      </c>
      <c r="AS126" s="187">
        <v>1.953125E-3</v>
      </c>
      <c r="AT126" s="187">
        <v>0.5048828125</v>
      </c>
      <c r="AU126" s="187">
        <v>13.035200459148388</v>
      </c>
      <c r="BG126" s="187">
        <v>3.90625E-3</v>
      </c>
      <c r="BH126" s="187">
        <v>0.4970703125</v>
      </c>
      <c r="BI126" s="187">
        <v>11200.8</v>
      </c>
      <c r="BU126" s="187">
        <v>3.90625E-3</v>
      </c>
      <c r="BV126" s="187">
        <v>0.462890625</v>
      </c>
      <c r="BW126" s="187">
        <v>18.134476387096772</v>
      </c>
    </row>
    <row r="127" spans="31:75" x14ac:dyDescent="0.2">
      <c r="AE127" s="187">
        <v>1.953125E-3</v>
      </c>
      <c r="AF127" s="187">
        <v>0.46484375</v>
      </c>
      <c r="AG127" s="187">
        <v>5.5718467782193546</v>
      </c>
      <c r="AS127" s="187">
        <v>7.8125E-3</v>
      </c>
      <c r="AT127" s="187">
        <v>0.5126953125</v>
      </c>
      <c r="AU127" s="187">
        <v>13.157754529858064</v>
      </c>
      <c r="BG127" s="187">
        <v>3.125E-2</v>
      </c>
      <c r="BH127" s="187">
        <v>0.5283203125</v>
      </c>
      <c r="BI127" s="187">
        <v>11200.8</v>
      </c>
      <c r="BU127" s="187">
        <v>1.953125E-3</v>
      </c>
      <c r="BV127" s="187">
        <v>0.46484375</v>
      </c>
      <c r="BW127" s="187">
        <v>18.137522064516126</v>
      </c>
    </row>
    <row r="128" spans="31:75" x14ac:dyDescent="0.2">
      <c r="AE128" s="187">
        <v>1.953125E-3</v>
      </c>
      <c r="AF128" s="187">
        <v>0.466796875</v>
      </c>
      <c r="AG128" s="187">
        <v>5.5718467782193546</v>
      </c>
      <c r="AS128" s="187">
        <v>3.90625E-3</v>
      </c>
      <c r="AT128" s="187">
        <v>0.5166015625</v>
      </c>
      <c r="AU128" s="187">
        <v>13.22401501316129</v>
      </c>
      <c r="BG128" s="187">
        <v>7.8125E-3</v>
      </c>
      <c r="BH128" s="187">
        <v>0.5361328125</v>
      </c>
      <c r="BI128" s="187">
        <v>11360.8</v>
      </c>
      <c r="BU128" s="187">
        <v>1.953125E-3</v>
      </c>
      <c r="BV128" s="187">
        <v>0.466796875</v>
      </c>
      <c r="BW128" s="187">
        <v>18.137522064516126</v>
      </c>
    </row>
    <row r="129" spans="31:75" x14ac:dyDescent="0.2">
      <c r="AE129" s="187">
        <v>7.8125E-3</v>
      </c>
      <c r="AF129" s="187">
        <v>0.474609375</v>
      </c>
      <c r="AG129" s="187">
        <v>5.5739100523354832</v>
      </c>
      <c r="AS129" s="187">
        <v>1.953125E-3</v>
      </c>
      <c r="AT129" s="187">
        <v>0.5185546875</v>
      </c>
      <c r="AU129" s="187">
        <v>13.259288676418061</v>
      </c>
      <c r="BG129" s="187">
        <v>7.8125E-3</v>
      </c>
      <c r="BH129" s="187">
        <v>0.5439453125</v>
      </c>
      <c r="BI129" s="187">
        <v>11360.8</v>
      </c>
      <c r="BU129" s="187">
        <v>7.8125E-3</v>
      </c>
      <c r="BV129" s="187">
        <v>0.474609375</v>
      </c>
      <c r="BW129" s="187">
        <v>18.1442384516129</v>
      </c>
    </row>
    <row r="130" spans="31:75" x14ac:dyDescent="0.2">
      <c r="AE130" s="187">
        <v>3.90625E-3</v>
      </c>
      <c r="AF130" s="187">
        <v>0.478515625</v>
      </c>
      <c r="AG130" s="187">
        <v>5.684603210322579</v>
      </c>
      <c r="AS130" s="187">
        <v>1.953125E-3</v>
      </c>
      <c r="AT130" s="187">
        <v>0.5205078125</v>
      </c>
      <c r="AU130" s="187">
        <v>13.446677973058064</v>
      </c>
      <c r="BG130" s="187">
        <v>3.90625E-3</v>
      </c>
      <c r="BH130" s="187">
        <v>0.5478515625</v>
      </c>
      <c r="BI130" s="187">
        <v>11520.4</v>
      </c>
      <c r="BU130" s="187">
        <v>3.90625E-3</v>
      </c>
      <c r="BV130" s="187">
        <v>0.478515625</v>
      </c>
      <c r="BW130" s="187">
        <v>18.504567741935478</v>
      </c>
    </row>
    <row r="131" spans="31:75" x14ac:dyDescent="0.2">
      <c r="AE131" s="187">
        <v>3.90625E-3</v>
      </c>
      <c r="AF131" s="187">
        <v>0.482421875</v>
      </c>
      <c r="AG131" s="187">
        <v>5.684603210322579</v>
      </c>
      <c r="AS131" s="187">
        <v>9.765625E-4</v>
      </c>
      <c r="AT131" s="187">
        <v>0.521484375</v>
      </c>
      <c r="AU131" s="187">
        <v>13.516862866993545</v>
      </c>
      <c r="BG131" s="187">
        <v>7.8125E-3</v>
      </c>
      <c r="BH131" s="187">
        <v>0.5556640625</v>
      </c>
      <c r="BI131" s="187">
        <v>11680.8</v>
      </c>
      <c r="BU131" s="187">
        <v>3.90625E-3</v>
      </c>
      <c r="BV131" s="187">
        <v>0.482421875</v>
      </c>
      <c r="BW131" s="187">
        <v>18.504567741935478</v>
      </c>
    </row>
    <row r="132" spans="31:75" x14ac:dyDescent="0.2">
      <c r="AE132" s="187">
        <v>7.8125E-3</v>
      </c>
      <c r="AF132" s="187">
        <v>0.490234375</v>
      </c>
      <c r="AG132" s="187">
        <v>5.687663318709677</v>
      </c>
      <c r="AS132" s="187">
        <v>3.90625E-3</v>
      </c>
      <c r="AT132" s="187">
        <v>0.525390625</v>
      </c>
      <c r="AU132" s="187">
        <v>13.677685039896772</v>
      </c>
      <c r="BG132" s="187">
        <v>7.8125E-3</v>
      </c>
      <c r="BH132" s="187">
        <v>0.5634765625</v>
      </c>
      <c r="BI132" s="187">
        <v>11680.8</v>
      </c>
      <c r="BU132" s="187">
        <v>7.8125E-3</v>
      </c>
      <c r="BV132" s="187">
        <v>0.490234375</v>
      </c>
      <c r="BW132" s="187">
        <v>18.514529032258061</v>
      </c>
    </row>
    <row r="133" spans="31:75" x14ac:dyDescent="0.2">
      <c r="AE133" s="187">
        <v>7.8125E-3</v>
      </c>
      <c r="AF133" s="187">
        <v>0.498046875</v>
      </c>
      <c r="AG133" s="187">
        <v>5.687663318709677</v>
      </c>
      <c r="AS133" s="187">
        <v>1.953125E-3</v>
      </c>
      <c r="AT133" s="187">
        <v>0.52734375</v>
      </c>
      <c r="AU133" s="187">
        <v>13.712658035612902</v>
      </c>
      <c r="BG133" s="187">
        <v>1.953125E-3</v>
      </c>
      <c r="BH133" s="187">
        <v>0.5654296875</v>
      </c>
      <c r="BI133" s="187">
        <v>11681.6</v>
      </c>
      <c r="BU133" s="187">
        <v>7.8125E-3</v>
      </c>
      <c r="BV133" s="187">
        <v>0.498046875</v>
      </c>
      <c r="BW133" s="187">
        <v>18.514529032258061</v>
      </c>
    </row>
    <row r="134" spans="31:75" x14ac:dyDescent="0.2">
      <c r="AE134" s="187">
        <v>1.953125E-3</v>
      </c>
      <c r="AF134" s="187">
        <v>0.5</v>
      </c>
      <c r="AG134" s="187">
        <v>5.7455096732903215</v>
      </c>
      <c r="AS134" s="187">
        <v>3.90625E-3</v>
      </c>
      <c r="AT134" s="187">
        <v>0.53125</v>
      </c>
      <c r="AU134" s="187">
        <v>13.712821188541934</v>
      </c>
      <c r="BG134" s="187">
        <v>1.953125E-3</v>
      </c>
      <c r="BH134" s="187">
        <v>0.5673828125</v>
      </c>
      <c r="BI134" s="187">
        <v>11681.6</v>
      </c>
      <c r="BU134" s="187">
        <v>1.953125E-3</v>
      </c>
      <c r="BV134" s="187">
        <v>0.5</v>
      </c>
      <c r="BW134" s="187">
        <v>18.702830967741932</v>
      </c>
    </row>
    <row r="135" spans="31:75" x14ac:dyDescent="0.2">
      <c r="AE135" s="187">
        <v>1.953125E-3</v>
      </c>
      <c r="AF135" s="187">
        <v>0.501953125</v>
      </c>
      <c r="AG135" s="187">
        <v>5.7754690857290329</v>
      </c>
      <c r="AS135" s="187">
        <v>7.8125E-3</v>
      </c>
      <c r="AT135" s="187">
        <v>0.5390625</v>
      </c>
      <c r="AU135" s="187">
        <v>13.87581096464516</v>
      </c>
      <c r="BG135" s="187">
        <v>3.90625E-3</v>
      </c>
      <c r="BH135" s="187">
        <v>0.5712890625</v>
      </c>
      <c r="BI135" s="187">
        <v>11720.8</v>
      </c>
      <c r="BU135" s="187">
        <v>1.953125E-3</v>
      </c>
      <c r="BV135" s="187">
        <v>0.501953125</v>
      </c>
      <c r="BW135" s="187">
        <v>18.800355096774194</v>
      </c>
    </row>
    <row r="136" spans="31:75" x14ac:dyDescent="0.2">
      <c r="AE136" s="187">
        <v>1.953125E-3</v>
      </c>
      <c r="AF136" s="187">
        <v>0.50390625</v>
      </c>
      <c r="AG136" s="187">
        <v>5.7754690857290329</v>
      </c>
      <c r="AS136" s="187">
        <v>7.8125E-3</v>
      </c>
      <c r="AT136" s="187">
        <v>0.546875</v>
      </c>
      <c r="AU136" s="187">
        <v>13.917047867458063</v>
      </c>
      <c r="BG136" s="187">
        <v>3.90625E-3</v>
      </c>
      <c r="BH136" s="187">
        <v>0.5751953125</v>
      </c>
      <c r="BI136" s="187">
        <v>11720.8</v>
      </c>
      <c r="BU136" s="187">
        <v>1.953125E-3</v>
      </c>
      <c r="BV136" s="187">
        <v>0.50390625</v>
      </c>
      <c r="BW136" s="187">
        <v>18.800355096774194</v>
      </c>
    </row>
    <row r="137" spans="31:75" x14ac:dyDescent="0.2">
      <c r="AE137" s="187">
        <v>7.8125E-3</v>
      </c>
      <c r="AF137" s="187">
        <v>0.51171875</v>
      </c>
      <c r="AG137" s="187">
        <v>5.839334340541936</v>
      </c>
      <c r="AS137" s="187">
        <v>7.8125E-3</v>
      </c>
      <c r="AT137" s="187">
        <v>0.5546875</v>
      </c>
      <c r="AU137" s="187">
        <v>13.945587976258064</v>
      </c>
      <c r="BG137" s="187">
        <v>3.90625E-3</v>
      </c>
      <c r="BH137" s="187">
        <v>0.5791015625</v>
      </c>
      <c r="BI137" s="187">
        <v>12080.4</v>
      </c>
      <c r="BU137" s="187">
        <v>7.8125E-3</v>
      </c>
      <c r="BV137" s="187">
        <v>0.51171875</v>
      </c>
      <c r="BW137" s="187">
        <v>19.008249806451612</v>
      </c>
    </row>
    <row r="138" spans="31:75" x14ac:dyDescent="0.2">
      <c r="AE138" s="187">
        <v>7.8125E-3</v>
      </c>
      <c r="AF138" s="187">
        <v>0.51953125</v>
      </c>
      <c r="AG138" s="187">
        <v>5.839334340541936</v>
      </c>
      <c r="AS138" s="187">
        <v>1.953125E-3</v>
      </c>
      <c r="AT138" s="187">
        <v>0.556640625</v>
      </c>
      <c r="AU138" s="187">
        <v>14.053204813625804</v>
      </c>
      <c r="BG138" s="187">
        <v>3.90625E-3</v>
      </c>
      <c r="BH138" s="187">
        <v>0.5830078125</v>
      </c>
      <c r="BI138" s="187">
        <v>12080.4</v>
      </c>
      <c r="BU138" s="187">
        <v>7.8125E-3</v>
      </c>
      <c r="BV138" s="187">
        <v>0.51953125</v>
      </c>
      <c r="BW138" s="187">
        <v>19.008249806451612</v>
      </c>
    </row>
    <row r="139" spans="31:75" x14ac:dyDescent="0.2">
      <c r="AE139" s="187">
        <v>7.8125E-3</v>
      </c>
      <c r="AF139" s="187">
        <v>0.52734375</v>
      </c>
      <c r="AG139" s="187">
        <v>6.0384025566967736</v>
      </c>
      <c r="AS139" s="187">
        <v>1.953125E-3</v>
      </c>
      <c r="AT139" s="187">
        <v>0.55859375</v>
      </c>
      <c r="AU139" s="187">
        <v>14.169241507509676</v>
      </c>
      <c r="BG139" s="187">
        <v>3.90625E-3</v>
      </c>
      <c r="BH139" s="187">
        <v>0.5869140625</v>
      </c>
      <c r="BI139" s="187">
        <v>12320.8</v>
      </c>
      <c r="BU139" s="187">
        <v>7.8125E-3</v>
      </c>
      <c r="BV139" s="187">
        <v>0.52734375</v>
      </c>
      <c r="BW139" s="187">
        <v>19.656258322580641</v>
      </c>
    </row>
    <row r="140" spans="31:75" x14ac:dyDescent="0.2">
      <c r="AE140" s="187">
        <v>3.125E-2</v>
      </c>
      <c r="AF140" s="187">
        <v>0.55859375</v>
      </c>
      <c r="AG140" s="187">
        <v>6.4460184278709676</v>
      </c>
      <c r="AS140" s="187">
        <v>3.90625E-3</v>
      </c>
      <c r="AT140" s="187">
        <v>0.5625</v>
      </c>
      <c r="AU140" s="187">
        <v>14.205880993858061</v>
      </c>
      <c r="BG140" s="187">
        <v>3.90625E-3</v>
      </c>
      <c r="BH140" s="187">
        <v>0.5908203125</v>
      </c>
      <c r="BI140" s="187">
        <v>12320.8</v>
      </c>
      <c r="BU140" s="187">
        <v>3.125E-2</v>
      </c>
      <c r="BV140" s="187">
        <v>0.55859375</v>
      </c>
      <c r="BW140" s="187">
        <v>20.983132903225805</v>
      </c>
    </row>
    <row r="141" spans="31:75" x14ac:dyDescent="0.2">
      <c r="AE141" s="187">
        <v>3.90625E-3</v>
      </c>
      <c r="AF141" s="187">
        <v>0.5625</v>
      </c>
      <c r="AG141" s="187">
        <v>6.4460184278709676</v>
      </c>
      <c r="AS141" s="187">
        <v>7.8125E-3</v>
      </c>
      <c r="AT141" s="187">
        <v>0.5703125</v>
      </c>
      <c r="AU141" s="187">
        <v>14.640124168258064</v>
      </c>
      <c r="BG141" s="187">
        <v>7.8125E-3</v>
      </c>
      <c r="BH141" s="187">
        <v>0.5986328125</v>
      </c>
      <c r="BI141" s="187">
        <v>12461.6</v>
      </c>
      <c r="BU141" s="187">
        <v>3.90625E-3</v>
      </c>
      <c r="BV141" s="187">
        <v>0.5625</v>
      </c>
      <c r="BW141" s="187">
        <v>20.983132903225805</v>
      </c>
    </row>
    <row r="142" spans="31:75" x14ac:dyDescent="0.2">
      <c r="AE142" s="187">
        <v>3.90625E-3</v>
      </c>
      <c r="AF142" s="187">
        <v>0.56640625</v>
      </c>
      <c r="AG142" s="187">
        <v>6.6591066178064491</v>
      </c>
      <c r="AS142" s="187">
        <v>7.8125E-3</v>
      </c>
      <c r="AT142" s="187">
        <v>0.578125</v>
      </c>
      <c r="AU142" s="187">
        <v>14.750368933161289</v>
      </c>
      <c r="BG142" s="187">
        <v>3.90625E-3</v>
      </c>
      <c r="BH142" s="187">
        <v>0.6025390625</v>
      </c>
      <c r="BI142" s="187">
        <v>12480.4</v>
      </c>
      <c r="BU142" s="187">
        <v>3.90625E-3</v>
      </c>
      <c r="BV142" s="187">
        <v>0.56640625</v>
      </c>
      <c r="BW142" s="187">
        <v>21.6767793548387</v>
      </c>
    </row>
    <row r="143" spans="31:75" x14ac:dyDescent="0.2">
      <c r="AE143" s="187">
        <v>3.90625E-3</v>
      </c>
      <c r="AF143" s="187">
        <v>0.5703125</v>
      </c>
      <c r="AG143" s="187">
        <v>6.9010314933677419</v>
      </c>
      <c r="AS143" s="187">
        <v>3.90625E-3</v>
      </c>
      <c r="AT143" s="187">
        <v>0.58203125</v>
      </c>
      <c r="AU143" s="187">
        <v>15.181121800258062</v>
      </c>
      <c r="BG143" s="187">
        <v>3.90625E-3</v>
      </c>
      <c r="BH143" s="187">
        <v>0.6064453125</v>
      </c>
      <c r="BI143" s="187">
        <v>12480.4</v>
      </c>
      <c r="BU143" s="187">
        <v>3.90625E-3</v>
      </c>
      <c r="BV143" s="187">
        <v>0.5703125</v>
      </c>
      <c r="BW143" s="187">
        <v>22.464295225806449</v>
      </c>
    </row>
    <row r="144" spans="31:75" x14ac:dyDescent="0.2">
      <c r="AE144" s="187">
        <v>3.90625E-3</v>
      </c>
      <c r="AF144" s="187">
        <v>0.57421875</v>
      </c>
      <c r="AG144" s="187">
        <v>6.9010314933677419</v>
      </c>
      <c r="AS144" s="187">
        <v>7.8125E-3</v>
      </c>
      <c r="AT144" s="187">
        <v>0.58984375</v>
      </c>
      <c r="AU144" s="187">
        <v>15.181302433858063</v>
      </c>
      <c r="BG144" s="187">
        <v>1.953125E-3</v>
      </c>
      <c r="BH144" s="187">
        <v>0.6083984375</v>
      </c>
      <c r="BI144" s="187">
        <v>12521.6</v>
      </c>
      <c r="BU144" s="187">
        <v>3.90625E-3</v>
      </c>
      <c r="BV144" s="187">
        <v>0.57421875</v>
      </c>
      <c r="BW144" s="187">
        <v>22.464295225806449</v>
      </c>
    </row>
    <row r="145" spans="31:75" x14ac:dyDescent="0.2">
      <c r="AE145" s="187">
        <v>7.8125E-3</v>
      </c>
      <c r="AF145" s="187">
        <v>0.58203125</v>
      </c>
      <c r="AG145" s="187">
        <v>7.0147847597419348</v>
      </c>
      <c r="AS145" s="187">
        <v>1.5625E-2</v>
      </c>
      <c r="AT145" s="187">
        <v>0.60546875</v>
      </c>
      <c r="AU145" s="187">
        <v>15.361755400258064</v>
      </c>
      <c r="BG145" s="187">
        <v>1.953125E-3</v>
      </c>
      <c r="BH145" s="187">
        <v>0.6103515625</v>
      </c>
      <c r="BI145" s="187">
        <v>12521.6</v>
      </c>
      <c r="BU145" s="187">
        <v>7.8125E-3</v>
      </c>
      <c r="BV145" s="187">
        <v>0.58203125</v>
      </c>
      <c r="BW145" s="187">
        <v>22.83458580645161</v>
      </c>
    </row>
    <row r="146" spans="31:75" x14ac:dyDescent="0.2">
      <c r="AE146" s="187">
        <v>7.8125E-3</v>
      </c>
      <c r="AF146" s="187">
        <v>0.58984375</v>
      </c>
      <c r="AG146" s="187">
        <v>7.0147847597419348</v>
      </c>
      <c r="AS146" s="187">
        <v>3.90625E-3</v>
      </c>
      <c r="AT146" s="187">
        <v>0.609375</v>
      </c>
      <c r="AU146" s="187">
        <v>15.686624929858064</v>
      </c>
      <c r="BG146" s="187">
        <v>3.90625E-3</v>
      </c>
      <c r="BH146" s="187">
        <v>0.6142578125</v>
      </c>
      <c r="BI146" s="187">
        <v>12560.8</v>
      </c>
      <c r="BU146" s="187">
        <v>7.8125E-3</v>
      </c>
      <c r="BV146" s="187">
        <v>0.58984375</v>
      </c>
      <c r="BW146" s="187">
        <v>22.83458580645161</v>
      </c>
    </row>
    <row r="147" spans="31:75" x14ac:dyDescent="0.2">
      <c r="AE147" s="187">
        <v>3.90625E-3</v>
      </c>
      <c r="AF147" s="187">
        <v>0.59375</v>
      </c>
      <c r="AG147" s="187">
        <v>7.0342251685161292</v>
      </c>
      <c r="AS147" s="187">
        <v>1.953125E-3</v>
      </c>
      <c r="AT147" s="187">
        <v>0.611328125</v>
      </c>
      <c r="AU147" s="187">
        <v>15.768507306116126</v>
      </c>
      <c r="BG147" s="187">
        <v>3.90625E-3</v>
      </c>
      <c r="BH147" s="187">
        <v>0.6181640625</v>
      </c>
      <c r="BI147" s="187">
        <v>12560.8</v>
      </c>
      <c r="BU147" s="187">
        <v>3.90625E-3</v>
      </c>
      <c r="BV147" s="187">
        <v>0.59375</v>
      </c>
      <c r="BW147" s="187">
        <v>22.897868387096771</v>
      </c>
    </row>
    <row r="148" spans="31:75" x14ac:dyDescent="0.2">
      <c r="AE148" s="187">
        <v>7.8125E-3</v>
      </c>
      <c r="AF148" s="187">
        <v>0.6015625</v>
      </c>
      <c r="AG148" s="187">
        <v>7.3465651199999993</v>
      </c>
      <c r="AS148" s="187">
        <v>9.765625E-4</v>
      </c>
      <c r="AT148" s="187">
        <v>0.6123046875</v>
      </c>
      <c r="AU148" s="187">
        <v>15.867418769341937</v>
      </c>
      <c r="BG148" s="187">
        <v>3.90625E-3</v>
      </c>
      <c r="BH148" s="187">
        <v>0.6220703125</v>
      </c>
      <c r="BI148" s="187">
        <v>12560.8</v>
      </c>
      <c r="BU148" s="187">
        <v>7.8125E-3</v>
      </c>
      <c r="BV148" s="187">
        <v>0.6015625</v>
      </c>
      <c r="BW148" s="187">
        <v>23.914599999999997</v>
      </c>
    </row>
    <row r="149" spans="31:75" x14ac:dyDescent="0.2">
      <c r="AE149" s="187">
        <v>7.8125E-3</v>
      </c>
      <c r="AF149" s="187">
        <v>0.609375</v>
      </c>
      <c r="AG149" s="187">
        <v>7.3465651199999993</v>
      </c>
      <c r="AS149" s="187">
        <v>1.953125E-3</v>
      </c>
      <c r="AT149" s="187">
        <v>0.6142578125</v>
      </c>
      <c r="AU149" s="187">
        <v>15.919170878430963</v>
      </c>
      <c r="BG149" s="187">
        <v>3.90625E-3</v>
      </c>
      <c r="BH149" s="187">
        <v>0.6259765625</v>
      </c>
      <c r="BI149" s="187">
        <v>12560.8</v>
      </c>
      <c r="BU149" s="187">
        <v>7.8125E-3</v>
      </c>
      <c r="BV149" s="187">
        <v>0.609375</v>
      </c>
      <c r="BW149" s="187">
        <v>23.914599999999997</v>
      </c>
    </row>
    <row r="150" spans="31:75" x14ac:dyDescent="0.2">
      <c r="AE150" s="187">
        <v>1.953125E-3</v>
      </c>
      <c r="AF150" s="187">
        <v>0.611328125</v>
      </c>
      <c r="AG150" s="187">
        <v>7.3899841734193528</v>
      </c>
      <c r="AS150" s="187">
        <v>7.8125E-3</v>
      </c>
      <c r="AT150" s="187">
        <v>0.6220703125</v>
      </c>
      <c r="AU150" s="187">
        <v>15.997125347922578</v>
      </c>
      <c r="BG150" s="187">
        <v>9.765625E-4</v>
      </c>
      <c r="BH150" s="187">
        <v>0.626953125</v>
      </c>
      <c r="BI150" s="187">
        <v>12561.6</v>
      </c>
      <c r="BU150" s="187">
        <v>1.953125E-3</v>
      </c>
      <c r="BV150" s="187">
        <v>0.611328125</v>
      </c>
      <c r="BW150" s="187">
        <v>24.05593806451612</v>
      </c>
    </row>
    <row r="151" spans="31:75" x14ac:dyDescent="0.2">
      <c r="AE151" s="187">
        <v>1.953125E-3</v>
      </c>
      <c r="AF151" s="187">
        <v>0.61328125</v>
      </c>
      <c r="AG151" s="187">
        <v>7.3899841734193528</v>
      </c>
      <c r="AS151" s="187">
        <v>3.90625E-3</v>
      </c>
      <c r="AT151" s="187">
        <v>0.6259765625</v>
      </c>
      <c r="AU151" s="187">
        <v>16.625957524645163</v>
      </c>
      <c r="BG151" s="187">
        <v>9.765625E-4</v>
      </c>
      <c r="BH151" s="187">
        <v>0.6279296875</v>
      </c>
      <c r="BI151" s="187">
        <v>12561.6</v>
      </c>
      <c r="BU151" s="187">
        <v>1.953125E-3</v>
      </c>
      <c r="BV151" s="187">
        <v>0.61328125</v>
      </c>
      <c r="BW151" s="187">
        <v>24.05593806451612</v>
      </c>
    </row>
    <row r="152" spans="31:75" x14ac:dyDescent="0.2">
      <c r="AE152" s="187">
        <v>3.90625E-3</v>
      </c>
      <c r="AF152" s="187">
        <v>0.6171875</v>
      </c>
      <c r="AG152" s="187">
        <v>7.3939623143225806</v>
      </c>
      <c r="AS152" s="187">
        <v>1.953125E-3</v>
      </c>
      <c r="AT152" s="187">
        <v>0.6279296875</v>
      </c>
      <c r="AU152" s="187">
        <v>16.649573911122577</v>
      </c>
      <c r="BG152" s="187">
        <v>7.8125E-3</v>
      </c>
      <c r="BH152" s="187">
        <v>0.6357421875</v>
      </c>
      <c r="BI152" s="187">
        <v>12961.6</v>
      </c>
      <c r="BU152" s="187">
        <v>3.90625E-3</v>
      </c>
      <c r="BV152" s="187">
        <v>0.6171875</v>
      </c>
      <c r="BW152" s="187">
        <v>24.06888774193548</v>
      </c>
    </row>
    <row r="153" spans="31:75" x14ac:dyDescent="0.2">
      <c r="AE153" s="187">
        <v>3.90625E-3</v>
      </c>
      <c r="AF153" s="187">
        <v>0.62109375</v>
      </c>
      <c r="AG153" s="187">
        <v>7.3939623143225806</v>
      </c>
      <c r="AS153" s="187">
        <v>1.953125E-3</v>
      </c>
      <c r="AT153" s="187">
        <v>0.6298828125</v>
      </c>
      <c r="AU153" s="187">
        <v>16.733306325058063</v>
      </c>
      <c r="BG153" s="187">
        <v>1.5625E-2</v>
      </c>
      <c r="BH153" s="187">
        <v>0.6513671875</v>
      </c>
      <c r="BI153" s="187">
        <v>13000.8</v>
      </c>
      <c r="BU153" s="187">
        <v>3.90625E-3</v>
      </c>
      <c r="BV153" s="187">
        <v>0.62109375</v>
      </c>
      <c r="BW153" s="187">
        <v>24.06888774193548</v>
      </c>
    </row>
    <row r="154" spans="31:75" x14ac:dyDescent="0.2">
      <c r="AE154" s="187">
        <v>9.765625E-4</v>
      </c>
      <c r="AF154" s="187">
        <v>0.6220703125</v>
      </c>
      <c r="AG154" s="187">
        <v>7.5525364967225803</v>
      </c>
      <c r="AS154" s="187">
        <v>3.90625E-3</v>
      </c>
      <c r="AT154" s="187">
        <v>0.6337890625</v>
      </c>
      <c r="AU154" s="187">
        <v>16.975716616258065</v>
      </c>
      <c r="BG154" s="187">
        <v>1.953125E-3</v>
      </c>
      <c r="BH154" s="187">
        <v>0.6533203125</v>
      </c>
      <c r="BI154" s="187">
        <v>13041.6</v>
      </c>
      <c r="BU154" s="187">
        <v>9.765625E-4</v>
      </c>
      <c r="BV154" s="187">
        <v>0.6220703125</v>
      </c>
      <c r="BW154" s="187">
        <v>24.585079741935481</v>
      </c>
    </row>
    <row r="155" spans="31:75" x14ac:dyDescent="0.2">
      <c r="AE155" s="187">
        <v>7.8125E-3</v>
      </c>
      <c r="AF155" s="187">
        <v>0.6298828125</v>
      </c>
      <c r="AG155" s="187">
        <v>7.5525364967225803</v>
      </c>
      <c r="AS155" s="187">
        <v>3.90625E-3</v>
      </c>
      <c r="AT155" s="187">
        <v>0.6376953125</v>
      </c>
      <c r="AU155" s="187">
        <v>17.055754781729032</v>
      </c>
      <c r="BG155" s="187">
        <v>1.953125E-3</v>
      </c>
      <c r="BH155" s="187">
        <v>0.6552734375</v>
      </c>
      <c r="BI155" s="187">
        <v>13041.6</v>
      </c>
      <c r="BU155" s="187">
        <v>7.8125E-3</v>
      </c>
      <c r="BV155" s="187">
        <v>0.6298828125</v>
      </c>
      <c r="BW155" s="187">
        <v>24.585079741935481</v>
      </c>
    </row>
    <row r="156" spans="31:75" x14ac:dyDescent="0.2">
      <c r="AE156" s="187">
        <v>9.765625E-4</v>
      </c>
      <c r="AF156" s="187">
        <v>0.630859375</v>
      </c>
      <c r="AG156" s="187">
        <v>7.6450920910451607</v>
      </c>
      <c r="AS156" s="187">
        <v>7.8125E-3</v>
      </c>
      <c r="AT156" s="187">
        <v>0.6455078125</v>
      </c>
      <c r="AU156" s="187">
        <v>17.302838238967741</v>
      </c>
      <c r="BG156" s="187">
        <v>1.953125E-3</v>
      </c>
      <c r="BH156" s="187">
        <v>0.6572265625</v>
      </c>
      <c r="BI156" s="187">
        <v>13041.6</v>
      </c>
      <c r="BU156" s="187">
        <v>9.765625E-4</v>
      </c>
      <c r="BV156" s="187">
        <v>0.630859375</v>
      </c>
      <c r="BW156" s="187">
        <v>24.886367483870963</v>
      </c>
    </row>
    <row r="157" spans="31:75" x14ac:dyDescent="0.2">
      <c r="AE157" s="187">
        <v>9.765625E-4</v>
      </c>
      <c r="AF157" s="187">
        <v>0.6318359375</v>
      </c>
      <c r="AG157" s="187">
        <v>7.6450920910451607</v>
      </c>
      <c r="AS157" s="187">
        <v>1.953125E-3</v>
      </c>
      <c r="AT157" s="187">
        <v>0.6474609375</v>
      </c>
      <c r="AU157" s="187">
        <v>17.566749755458066</v>
      </c>
      <c r="BG157" s="187">
        <v>1.953125E-3</v>
      </c>
      <c r="BH157" s="187">
        <v>0.6591796875</v>
      </c>
      <c r="BI157" s="187">
        <v>13041.6</v>
      </c>
      <c r="BU157" s="187">
        <v>9.765625E-4</v>
      </c>
      <c r="BV157" s="187">
        <v>0.6318359375</v>
      </c>
      <c r="BW157" s="187">
        <v>24.886367483870963</v>
      </c>
    </row>
    <row r="158" spans="31:75" x14ac:dyDescent="0.2">
      <c r="AE158" s="187">
        <v>3.90625E-3</v>
      </c>
      <c r="AF158" s="187">
        <v>0.6357421875</v>
      </c>
      <c r="AG158" s="187">
        <v>7.7731398689032254</v>
      </c>
      <c r="AS158" s="187">
        <v>1.953125E-3</v>
      </c>
      <c r="AT158" s="187">
        <v>0.6494140625</v>
      </c>
      <c r="AU158" s="187">
        <v>17.699043473341934</v>
      </c>
      <c r="BG158" s="187">
        <v>9.765625E-4</v>
      </c>
      <c r="BH158" s="187">
        <v>0.66015625</v>
      </c>
      <c r="BI158" s="187">
        <v>13200.4</v>
      </c>
      <c r="BU158" s="187">
        <v>3.90625E-3</v>
      </c>
      <c r="BV158" s="187">
        <v>0.6357421875</v>
      </c>
      <c r="BW158" s="187">
        <v>25.303189677419351</v>
      </c>
    </row>
    <row r="159" spans="31:75" x14ac:dyDescent="0.2">
      <c r="AE159" s="187">
        <v>3.90625E-3</v>
      </c>
      <c r="AF159" s="187">
        <v>0.6396484375</v>
      </c>
      <c r="AG159" s="187">
        <v>7.7731398689032254</v>
      </c>
      <c r="AS159" s="187">
        <v>1.5625E-2</v>
      </c>
      <c r="AT159" s="187">
        <v>0.6650390625</v>
      </c>
      <c r="AU159" s="187">
        <v>17.710353467458066</v>
      </c>
      <c r="BG159" s="187">
        <v>1.5625E-2</v>
      </c>
      <c r="BH159" s="187">
        <v>0.67578125</v>
      </c>
      <c r="BI159" s="187">
        <v>13600.8</v>
      </c>
      <c r="BU159" s="187">
        <v>3.90625E-3</v>
      </c>
      <c r="BV159" s="187">
        <v>0.6396484375</v>
      </c>
      <c r="BW159" s="187">
        <v>25.303189677419351</v>
      </c>
    </row>
    <row r="160" spans="31:75" x14ac:dyDescent="0.2">
      <c r="AE160" s="187">
        <v>1.953125E-3</v>
      </c>
      <c r="AF160" s="187">
        <v>0.6416015625</v>
      </c>
      <c r="AG160" s="187">
        <v>7.8772358771612891</v>
      </c>
      <c r="AS160" s="187">
        <v>3.90625E-3</v>
      </c>
      <c r="AT160" s="187">
        <v>0.6689453125</v>
      </c>
      <c r="AU160" s="187">
        <v>17.955449955096771</v>
      </c>
      <c r="BG160" s="187">
        <v>1.953125E-3</v>
      </c>
      <c r="BH160" s="187">
        <v>0.677734375</v>
      </c>
      <c r="BI160" s="187">
        <v>13600.8</v>
      </c>
      <c r="BU160" s="187">
        <v>1.953125E-3</v>
      </c>
      <c r="BV160" s="187">
        <v>0.6416015625</v>
      </c>
      <c r="BW160" s="187">
        <v>25.642043870967736</v>
      </c>
    </row>
    <row r="161" spans="31:75" x14ac:dyDescent="0.2">
      <c r="AE161" s="187">
        <v>9.765625E-4</v>
      </c>
      <c r="AF161" s="187">
        <v>0.642578125</v>
      </c>
      <c r="AG161" s="187">
        <v>8.0437135426064508</v>
      </c>
      <c r="AS161" s="187">
        <v>3.90625E-3</v>
      </c>
      <c r="AT161" s="187">
        <v>0.6728515625</v>
      </c>
      <c r="AU161" s="187">
        <v>18.432707233858061</v>
      </c>
      <c r="BG161" s="187">
        <v>9.765625E-4</v>
      </c>
      <c r="BH161" s="187">
        <v>0.6787109375</v>
      </c>
      <c r="BI161" s="187">
        <v>13681.6</v>
      </c>
      <c r="BU161" s="187">
        <v>9.765625E-4</v>
      </c>
      <c r="BV161" s="187">
        <v>0.642578125</v>
      </c>
      <c r="BW161" s="187">
        <v>26.183963354838703</v>
      </c>
    </row>
    <row r="162" spans="31:75" x14ac:dyDescent="0.2">
      <c r="AE162" s="187">
        <v>1.953125E-3</v>
      </c>
      <c r="AF162" s="187">
        <v>0.64453125</v>
      </c>
      <c r="AG162" s="187">
        <v>8.0480435959741943</v>
      </c>
      <c r="AS162" s="187">
        <v>1.953125E-3</v>
      </c>
      <c r="AT162" s="187">
        <v>0.6748046875</v>
      </c>
      <c r="AU162" s="187">
        <v>18.510822525522585</v>
      </c>
      <c r="BG162" s="187">
        <v>9.765625E-4</v>
      </c>
      <c r="BH162" s="187">
        <v>0.6796875</v>
      </c>
      <c r="BI162" s="187">
        <v>13681.6</v>
      </c>
      <c r="BU162" s="187">
        <v>1.953125E-3</v>
      </c>
      <c r="BV162" s="187">
        <v>0.64453125</v>
      </c>
      <c r="BW162" s="187">
        <v>26.19805858064516</v>
      </c>
    </row>
    <row r="163" spans="31:75" x14ac:dyDescent="0.2">
      <c r="AE163" s="187">
        <v>7.8125E-3</v>
      </c>
      <c r="AF163" s="187">
        <v>0.65234375</v>
      </c>
      <c r="AG163" s="187">
        <v>8.144892300387097</v>
      </c>
      <c r="AS163" s="187">
        <v>1.5625E-2</v>
      </c>
      <c r="AT163" s="187">
        <v>0.6904296875</v>
      </c>
      <c r="AU163" s="187">
        <v>18.770923255741938</v>
      </c>
      <c r="BG163" s="187">
        <v>9.765625E-4</v>
      </c>
      <c r="BH163" s="187">
        <v>0.6806640625</v>
      </c>
      <c r="BI163" s="187">
        <v>13681.6</v>
      </c>
      <c r="BU163" s="187">
        <v>7.8125E-3</v>
      </c>
      <c r="BV163" s="187">
        <v>0.65234375</v>
      </c>
      <c r="BW163" s="187">
        <v>26.51332129032258</v>
      </c>
    </row>
    <row r="164" spans="31:75" x14ac:dyDescent="0.2">
      <c r="AE164" s="187">
        <v>7.8125E-3</v>
      </c>
      <c r="AF164" s="187">
        <v>0.66015625</v>
      </c>
      <c r="AG164" s="187">
        <v>8.144892300387097</v>
      </c>
      <c r="AS164" s="187">
        <v>7.8125E-3</v>
      </c>
      <c r="AT164" s="187">
        <v>0.6982421875</v>
      </c>
      <c r="AU164" s="187">
        <v>18.793793800258065</v>
      </c>
      <c r="BG164" s="187">
        <v>9.765625E-4</v>
      </c>
      <c r="BH164" s="187">
        <v>0.681640625</v>
      </c>
      <c r="BI164" s="187">
        <v>13681.6</v>
      </c>
      <c r="BU164" s="187">
        <v>7.8125E-3</v>
      </c>
      <c r="BV164" s="187">
        <v>0.66015625</v>
      </c>
      <c r="BW164" s="187">
        <v>26.51332129032258</v>
      </c>
    </row>
    <row r="165" spans="31:75" x14ac:dyDescent="0.2">
      <c r="AE165" s="187">
        <v>1.953125E-3</v>
      </c>
      <c r="AF165" s="187">
        <v>0.662109375</v>
      </c>
      <c r="AG165" s="187">
        <v>8.2189367758451599</v>
      </c>
      <c r="AS165" s="187">
        <v>1.5625E-2</v>
      </c>
      <c r="AT165" s="187">
        <v>0.7138671875</v>
      </c>
      <c r="AU165" s="187">
        <v>19.155964168258066</v>
      </c>
      <c r="BG165" s="187">
        <v>1.5625E-2</v>
      </c>
      <c r="BH165" s="187">
        <v>0.697265625</v>
      </c>
      <c r="BI165" s="187">
        <v>13760.8</v>
      </c>
      <c r="BU165" s="187">
        <v>1.953125E-3</v>
      </c>
      <c r="BV165" s="187">
        <v>0.662109375</v>
      </c>
      <c r="BW165" s="187">
        <v>26.754351483870959</v>
      </c>
    </row>
    <row r="166" spans="31:75" x14ac:dyDescent="0.2">
      <c r="AE166" s="187">
        <v>1.953125E-3</v>
      </c>
      <c r="AF166" s="187">
        <v>0.6640625</v>
      </c>
      <c r="AG166" s="187">
        <v>8.2189367758451599</v>
      </c>
      <c r="AS166" s="187">
        <v>9.765625E-4</v>
      </c>
      <c r="AT166" s="187">
        <v>0.71484375</v>
      </c>
      <c r="AU166" s="187">
        <v>19.194922756954835</v>
      </c>
      <c r="BG166" s="187">
        <v>1.5625E-2</v>
      </c>
      <c r="BH166" s="187">
        <v>0.712890625</v>
      </c>
      <c r="BI166" s="187">
        <v>13760.8</v>
      </c>
      <c r="BU166" s="187">
        <v>1.953125E-3</v>
      </c>
      <c r="BV166" s="187">
        <v>0.6640625</v>
      </c>
      <c r="BW166" s="187">
        <v>26.754351483870959</v>
      </c>
    </row>
    <row r="167" spans="31:75" x14ac:dyDescent="0.2">
      <c r="AE167" s="187">
        <v>7.8125E-3</v>
      </c>
      <c r="AF167" s="187">
        <v>0.671875</v>
      </c>
      <c r="AG167" s="187">
        <v>8.4225590833548392</v>
      </c>
      <c r="AS167" s="187">
        <v>3.90625E-3</v>
      </c>
      <c r="AT167" s="187">
        <v>0.71875</v>
      </c>
      <c r="AU167" s="187">
        <v>19.423336857599995</v>
      </c>
      <c r="BG167" s="187">
        <v>1.953125E-3</v>
      </c>
      <c r="BH167" s="187">
        <v>0.71484375</v>
      </c>
      <c r="BI167" s="187">
        <v>14080.4</v>
      </c>
      <c r="BU167" s="187">
        <v>7.8125E-3</v>
      </c>
      <c r="BV167" s="187">
        <v>0.671875</v>
      </c>
      <c r="BW167" s="187">
        <v>27.41718451612903</v>
      </c>
    </row>
    <row r="168" spans="31:75" x14ac:dyDescent="0.2">
      <c r="AE168" s="187">
        <v>1.953125E-3</v>
      </c>
      <c r="AF168" s="187">
        <v>0.673828125</v>
      </c>
      <c r="AG168" s="187">
        <v>8.607670272</v>
      </c>
      <c r="AS168" s="187">
        <v>3.90625E-3</v>
      </c>
      <c r="AT168" s="187">
        <v>0.72265625</v>
      </c>
      <c r="AU168" s="187">
        <v>19.521024673858065</v>
      </c>
      <c r="BG168" s="187">
        <v>1.953125E-3</v>
      </c>
      <c r="BH168" s="187">
        <v>0.716796875</v>
      </c>
      <c r="BI168" s="187">
        <v>14080.4</v>
      </c>
      <c r="BU168" s="187">
        <v>1.953125E-3</v>
      </c>
      <c r="BV168" s="187">
        <v>0.673828125</v>
      </c>
      <c r="BW168" s="187">
        <v>28.019759999999998</v>
      </c>
    </row>
    <row r="169" spans="31:75" x14ac:dyDescent="0.2">
      <c r="AE169" s="187">
        <v>1.953125E-3</v>
      </c>
      <c r="AF169" s="187">
        <v>0.67578125</v>
      </c>
      <c r="AG169" s="187">
        <v>8.607670272</v>
      </c>
      <c r="AS169" s="187">
        <v>9.765625E-4</v>
      </c>
      <c r="AT169" s="187">
        <v>0.7236328125</v>
      </c>
      <c r="AU169" s="187">
        <v>19.671688246172899</v>
      </c>
      <c r="BG169" s="187">
        <v>3.90625E-3</v>
      </c>
      <c r="BH169" s="187">
        <v>0.720703125</v>
      </c>
      <c r="BI169" s="187">
        <v>14080.8</v>
      </c>
      <c r="BU169" s="187">
        <v>1.953125E-3</v>
      </c>
      <c r="BV169" s="187">
        <v>0.67578125</v>
      </c>
      <c r="BW169" s="187">
        <v>28.019759999999998</v>
      </c>
    </row>
    <row r="170" spans="31:75" x14ac:dyDescent="0.2">
      <c r="AE170" s="187">
        <v>1.953125E-3</v>
      </c>
      <c r="AF170" s="187">
        <v>0.677734375</v>
      </c>
      <c r="AG170" s="187">
        <v>9.0244257990193546</v>
      </c>
      <c r="AS170" s="187">
        <v>7.8125E-3</v>
      </c>
      <c r="AT170" s="187">
        <v>0.7314453125</v>
      </c>
      <c r="AU170" s="187">
        <v>19.87849856825806</v>
      </c>
      <c r="BG170" s="187">
        <v>3.90625E-3</v>
      </c>
      <c r="BH170" s="187">
        <v>0.724609375</v>
      </c>
      <c r="BI170" s="187">
        <v>14080.8</v>
      </c>
      <c r="BU170" s="187">
        <v>1.953125E-3</v>
      </c>
      <c r="BV170" s="187">
        <v>0.677734375</v>
      </c>
      <c r="BW170" s="187">
        <v>29.376386064516126</v>
      </c>
    </row>
    <row r="171" spans="31:75" x14ac:dyDescent="0.2">
      <c r="AE171" s="187">
        <v>1.5625E-2</v>
      </c>
      <c r="AF171" s="187">
        <v>0.693359375</v>
      </c>
      <c r="AG171" s="187">
        <v>9.0244257990193546</v>
      </c>
      <c r="AS171" s="187">
        <v>9.765625E-4</v>
      </c>
      <c r="AT171" s="187">
        <v>0.732421875</v>
      </c>
      <c r="AU171" s="187">
        <v>19.949749783122581</v>
      </c>
      <c r="BG171" s="187">
        <v>1.953125E-3</v>
      </c>
      <c r="BH171" s="187">
        <v>0.7265625</v>
      </c>
      <c r="BI171" s="187">
        <v>14200.4</v>
      </c>
      <c r="BU171" s="187">
        <v>1.5625E-2</v>
      </c>
      <c r="BV171" s="187">
        <v>0.693359375</v>
      </c>
      <c r="BW171" s="187">
        <v>29.376386064516126</v>
      </c>
    </row>
    <row r="172" spans="31:75" x14ac:dyDescent="0.2">
      <c r="AE172" s="187">
        <v>9.765625E-4</v>
      </c>
      <c r="AF172" s="187">
        <v>0.6943359375</v>
      </c>
      <c r="AG172" s="187">
        <v>9.1074704813419345</v>
      </c>
      <c r="AS172" s="187">
        <v>1.953125E-3</v>
      </c>
      <c r="AT172" s="187">
        <v>0.734375</v>
      </c>
      <c r="AU172" s="187">
        <v>20.238775196903227</v>
      </c>
      <c r="BG172" s="187">
        <v>1.953125E-3</v>
      </c>
      <c r="BH172" s="187">
        <v>0.728515625</v>
      </c>
      <c r="BI172" s="187">
        <v>14400.4</v>
      </c>
      <c r="BU172" s="187">
        <v>9.765625E-4</v>
      </c>
      <c r="BV172" s="187">
        <v>0.6943359375</v>
      </c>
      <c r="BW172" s="187">
        <v>29.646713806451608</v>
      </c>
    </row>
    <row r="173" spans="31:75" x14ac:dyDescent="0.2">
      <c r="AE173" s="187">
        <v>9.765625E-4</v>
      </c>
      <c r="AF173" s="187">
        <v>0.6953125</v>
      </c>
      <c r="AG173" s="187">
        <v>9.1074704813419345</v>
      </c>
      <c r="AS173" s="187">
        <v>3.90625E-3</v>
      </c>
      <c r="AT173" s="187">
        <v>0.73828125</v>
      </c>
      <c r="AU173" s="187">
        <v>20.493375342658066</v>
      </c>
      <c r="BG173" s="187">
        <v>3.90625E-3</v>
      </c>
      <c r="BH173" s="187">
        <v>0.732421875</v>
      </c>
      <c r="BI173" s="187">
        <v>14561.6</v>
      </c>
      <c r="BU173" s="187">
        <v>9.765625E-4</v>
      </c>
      <c r="BV173" s="187">
        <v>0.6953125</v>
      </c>
      <c r="BW173" s="187">
        <v>29.646713806451608</v>
      </c>
    </row>
    <row r="174" spans="31:75" x14ac:dyDescent="0.2">
      <c r="AE174" s="187">
        <v>1.5625E-2</v>
      </c>
      <c r="AF174" s="187">
        <v>0.7109375</v>
      </c>
      <c r="AG174" s="187">
        <v>9.2898500872258065</v>
      </c>
      <c r="AS174" s="187">
        <v>3.90625E-3</v>
      </c>
      <c r="AT174" s="187">
        <v>0.7421875</v>
      </c>
      <c r="AU174" s="187">
        <v>20.647718013522578</v>
      </c>
      <c r="BG174" s="187">
        <v>1.953125E-3</v>
      </c>
      <c r="BH174" s="187">
        <v>0.734375</v>
      </c>
      <c r="BI174" s="187">
        <v>14680.8</v>
      </c>
      <c r="BU174" s="187">
        <v>1.5625E-2</v>
      </c>
      <c r="BV174" s="187">
        <v>0.7109375</v>
      </c>
      <c r="BW174" s="187">
        <v>30.240397419354835</v>
      </c>
    </row>
    <row r="175" spans="31:75" x14ac:dyDescent="0.2">
      <c r="AE175" s="187">
        <v>1.953125E-3</v>
      </c>
      <c r="AF175" s="187">
        <v>0.712890625</v>
      </c>
      <c r="AG175" s="187">
        <v>9.3227492649290316</v>
      </c>
      <c r="AS175" s="187">
        <v>1.953125E-3</v>
      </c>
      <c r="AT175" s="187">
        <v>0.744140625</v>
      </c>
      <c r="AU175" s="187">
        <v>20.762006640309675</v>
      </c>
      <c r="BG175" s="187">
        <v>1.953125E-3</v>
      </c>
      <c r="BH175" s="187">
        <v>0.736328125</v>
      </c>
      <c r="BI175" s="187">
        <v>14720.8</v>
      </c>
      <c r="BU175" s="187">
        <v>1.953125E-3</v>
      </c>
      <c r="BV175" s="187">
        <v>0.712890625</v>
      </c>
      <c r="BW175" s="187">
        <v>30.347491096774188</v>
      </c>
    </row>
    <row r="176" spans="31:75" x14ac:dyDescent="0.2">
      <c r="AE176" s="187">
        <v>3.90625E-3</v>
      </c>
      <c r="AF176" s="187">
        <v>0.716796875</v>
      </c>
      <c r="AG176" s="187">
        <v>9.3277678426838708</v>
      </c>
      <c r="AS176" s="187">
        <v>1.953125E-3</v>
      </c>
      <c r="AT176" s="187">
        <v>0.74609375</v>
      </c>
      <c r="AU176" s="187">
        <v>21.076309104309676</v>
      </c>
      <c r="BG176" s="187">
        <v>1.953125E-3</v>
      </c>
      <c r="BH176" s="187">
        <v>0.73828125</v>
      </c>
      <c r="BI176" s="187">
        <v>14720.8</v>
      </c>
      <c r="BU176" s="187">
        <v>3.90625E-3</v>
      </c>
      <c r="BV176" s="187">
        <v>0.716796875</v>
      </c>
      <c r="BW176" s="187">
        <v>30.363827612903222</v>
      </c>
    </row>
    <row r="177" spans="31:75" x14ac:dyDescent="0.2">
      <c r="AE177" s="187">
        <v>1.5625E-2</v>
      </c>
      <c r="AF177" s="187">
        <v>0.732421875</v>
      </c>
      <c r="AG177" s="187">
        <v>9.479438864516128</v>
      </c>
      <c r="AS177" s="187">
        <v>1.953125E-3</v>
      </c>
      <c r="AT177" s="187">
        <v>0.748046875</v>
      </c>
      <c r="AU177" s="187">
        <v>21.250772027458062</v>
      </c>
      <c r="BG177" s="187">
        <v>3.90625E-3</v>
      </c>
      <c r="BH177" s="187">
        <v>0.7421875</v>
      </c>
      <c r="BI177" s="187">
        <v>14961.6</v>
      </c>
      <c r="BU177" s="187">
        <v>1.5625E-2</v>
      </c>
      <c r="BV177" s="187">
        <v>0.732421875</v>
      </c>
      <c r="BW177" s="187">
        <v>30.857548387096767</v>
      </c>
    </row>
    <row r="178" spans="31:75" x14ac:dyDescent="0.2">
      <c r="AE178" s="187">
        <v>1.5625E-2</v>
      </c>
      <c r="AF178" s="187">
        <v>0.748046875</v>
      </c>
      <c r="AG178" s="187">
        <v>9.479438864516128</v>
      </c>
      <c r="AS178" s="187">
        <v>3.90625E-3</v>
      </c>
      <c r="AT178" s="187">
        <v>0.751953125</v>
      </c>
      <c r="AU178" s="187">
        <v>21.381661464774194</v>
      </c>
      <c r="BG178" s="187">
        <v>3.90625E-3</v>
      </c>
      <c r="BH178" s="187">
        <v>0.74609375</v>
      </c>
      <c r="BI178" s="187">
        <v>14961.6</v>
      </c>
      <c r="BU178" s="187">
        <v>1.5625E-2</v>
      </c>
      <c r="BV178" s="187">
        <v>0.748046875</v>
      </c>
      <c r="BW178" s="187">
        <v>30.857548387096767</v>
      </c>
    </row>
    <row r="179" spans="31:75" x14ac:dyDescent="0.2">
      <c r="AE179" s="187">
        <v>3.90625E-3</v>
      </c>
      <c r="AF179" s="187">
        <v>0.751953125</v>
      </c>
      <c r="AG179" s="187">
        <v>9.6257818095483874</v>
      </c>
      <c r="AS179" s="187">
        <v>7.8125E-3</v>
      </c>
      <c r="AT179" s="187">
        <v>0.759765625</v>
      </c>
      <c r="AU179" s="187">
        <v>21.503659067458063</v>
      </c>
      <c r="BG179" s="187">
        <v>3.90625E-3</v>
      </c>
      <c r="BH179" s="187">
        <v>0.75</v>
      </c>
      <c r="BI179" s="187">
        <v>15021.6</v>
      </c>
      <c r="BU179" s="187">
        <v>3.90625E-3</v>
      </c>
      <c r="BV179" s="187">
        <v>0.751953125</v>
      </c>
      <c r="BW179" s="187">
        <v>31.33392516129032</v>
      </c>
    </row>
    <row r="180" spans="31:75" x14ac:dyDescent="0.2">
      <c r="AE180" s="187">
        <v>3.90625E-3</v>
      </c>
      <c r="AF180" s="187">
        <v>0.755859375</v>
      </c>
      <c r="AG180" s="187">
        <v>9.6257818095483874</v>
      </c>
      <c r="AS180" s="187">
        <v>3.90625E-3</v>
      </c>
      <c r="AT180" s="187">
        <v>0.763671875</v>
      </c>
      <c r="AU180" s="187">
        <v>21.720669943741935</v>
      </c>
      <c r="BG180" s="187">
        <v>3.90625E-3</v>
      </c>
      <c r="BH180" s="187">
        <v>0.75390625</v>
      </c>
      <c r="BI180" s="187">
        <v>15021.6</v>
      </c>
      <c r="BU180" s="187">
        <v>3.90625E-3</v>
      </c>
      <c r="BV180" s="187">
        <v>0.755859375</v>
      </c>
      <c r="BW180" s="187">
        <v>31.33392516129032</v>
      </c>
    </row>
    <row r="181" spans="31:75" x14ac:dyDescent="0.2">
      <c r="AE181" s="187">
        <v>3.90625E-3</v>
      </c>
      <c r="AF181" s="187">
        <v>0.759765625</v>
      </c>
      <c r="AG181" s="187">
        <v>9.8206986636387086</v>
      </c>
      <c r="AS181" s="187">
        <v>3.90625E-3</v>
      </c>
      <c r="AT181" s="187">
        <v>0.767578125</v>
      </c>
      <c r="AU181" s="187">
        <v>22.406465800258065</v>
      </c>
      <c r="BG181" s="187">
        <v>7.8125E-3</v>
      </c>
      <c r="BH181" s="187">
        <v>0.76171875</v>
      </c>
      <c r="BI181" s="187">
        <v>15041.6</v>
      </c>
      <c r="BU181" s="187">
        <v>3.90625E-3</v>
      </c>
      <c r="BV181" s="187">
        <v>0.759765625</v>
      </c>
      <c r="BW181" s="187">
        <v>31.96842012903225</v>
      </c>
    </row>
    <row r="182" spans="31:75" x14ac:dyDescent="0.2">
      <c r="AE182" s="187">
        <v>3.90625E-3</v>
      </c>
      <c r="AF182" s="187">
        <v>0.763671875</v>
      </c>
      <c r="AG182" s="187">
        <v>9.8206986636387086</v>
      </c>
      <c r="AS182" s="187">
        <v>1.953125E-3</v>
      </c>
      <c r="AT182" s="187">
        <v>0.76953125</v>
      </c>
      <c r="AU182" s="187">
        <v>22.523440623483868</v>
      </c>
      <c r="BG182" s="187">
        <v>7.8125E-3</v>
      </c>
      <c r="BH182" s="187">
        <v>0.76953125</v>
      </c>
      <c r="BI182" s="187">
        <v>15041.6</v>
      </c>
      <c r="BU182" s="187">
        <v>3.90625E-3</v>
      </c>
      <c r="BV182" s="187">
        <v>0.763671875</v>
      </c>
      <c r="BW182" s="187">
        <v>31.96842012903225</v>
      </c>
    </row>
    <row r="183" spans="31:75" x14ac:dyDescent="0.2">
      <c r="AE183" s="187">
        <v>1.953125E-3</v>
      </c>
      <c r="AF183" s="187">
        <v>0.765625</v>
      </c>
      <c r="AG183" s="187">
        <v>9.8479152359225797</v>
      </c>
      <c r="AS183" s="187">
        <v>3.90625E-3</v>
      </c>
      <c r="AT183" s="187">
        <v>0.7734375</v>
      </c>
      <c r="AU183" s="187">
        <v>22.523708660438707</v>
      </c>
      <c r="BG183" s="187">
        <v>9.765625E-4</v>
      </c>
      <c r="BH183" s="187">
        <v>0.7705078125</v>
      </c>
      <c r="BI183" s="187">
        <v>15200.4</v>
      </c>
      <c r="BU183" s="187">
        <v>1.953125E-3</v>
      </c>
      <c r="BV183" s="187">
        <v>0.765625</v>
      </c>
      <c r="BW183" s="187">
        <v>32.05701574193548</v>
      </c>
    </row>
    <row r="184" spans="31:75" x14ac:dyDescent="0.2">
      <c r="AE184" s="187">
        <v>3.90625E-3</v>
      </c>
      <c r="AF184" s="187">
        <v>0.76953125</v>
      </c>
      <c r="AG184" s="187">
        <v>10.285191168000001</v>
      </c>
      <c r="AS184" s="187">
        <v>7.8125E-3</v>
      </c>
      <c r="AT184" s="187">
        <v>0.78125</v>
      </c>
      <c r="AU184" s="187">
        <v>22.791477578322581</v>
      </c>
      <c r="BG184" s="187">
        <v>9.765625E-4</v>
      </c>
      <c r="BH184" s="187">
        <v>0.771484375</v>
      </c>
      <c r="BI184" s="187">
        <v>15200.4</v>
      </c>
      <c r="BU184" s="187">
        <v>3.90625E-3</v>
      </c>
      <c r="BV184" s="187">
        <v>0.76953125</v>
      </c>
      <c r="BW184" s="187">
        <v>33.480440000000002</v>
      </c>
    </row>
    <row r="185" spans="31:75" x14ac:dyDescent="0.2">
      <c r="AE185" s="187">
        <v>3.90625E-3</v>
      </c>
      <c r="AF185" s="187">
        <v>0.7734375</v>
      </c>
      <c r="AG185" s="187">
        <v>10.285191168000001</v>
      </c>
      <c r="AS185" s="187">
        <v>7.8125E-3</v>
      </c>
      <c r="AT185" s="187">
        <v>0.7890625</v>
      </c>
      <c r="AU185" s="187">
        <v>22.850037826064515</v>
      </c>
      <c r="BG185" s="187">
        <v>3.90625E-3</v>
      </c>
      <c r="BH185" s="187">
        <v>0.775390625</v>
      </c>
      <c r="BI185" s="187">
        <v>15521.6</v>
      </c>
      <c r="BU185" s="187">
        <v>3.90625E-3</v>
      </c>
      <c r="BV185" s="187">
        <v>0.7734375</v>
      </c>
      <c r="BW185" s="187">
        <v>33.480440000000002</v>
      </c>
    </row>
    <row r="186" spans="31:75" x14ac:dyDescent="0.2">
      <c r="AE186" s="187">
        <v>1.953125E-3</v>
      </c>
      <c r="AF186" s="187">
        <v>0.775390625</v>
      </c>
      <c r="AG186" s="187">
        <v>10.882395816464516</v>
      </c>
      <c r="AS186" s="187">
        <v>3.90625E-3</v>
      </c>
      <c r="AT186" s="187">
        <v>0.79296875</v>
      </c>
      <c r="AU186" s="187">
        <v>22.98575775545806</v>
      </c>
      <c r="BG186" s="187">
        <v>3.90625E-3</v>
      </c>
      <c r="BH186" s="187">
        <v>0.779296875</v>
      </c>
      <c r="BI186" s="187">
        <v>15521.6</v>
      </c>
      <c r="BU186" s="187">
        <v>1.953125E-3</v>
      </c>
      <c r="BV186" s="187">
        <v>0.775390625</v>
      </c>
      <c r="BW186" s="187">
        <v>35.424465548387097</v>
      </c>
    </row>
    <row r="187" spans="31:75" x14ac:dyDescent="0.2">
      <c r="AE187" s="187">
        <v>1.953125E-3</v>
      </c>
      <c r="AF187" s="187">
        <v>0.77734375</v>
      </c>
      <c r="AG187" s="187">
        <v>10.882395816464516</v>
      </c>
      <c r="AS187" s="187">
        <v>1.953125E-3</v>
      </c>
      <c r="AT187" s="187">
        <v>0.794921875</v>
      </c>
      <c r="AU187" s="187">
        <v>23.273542041599999</v>
      </c>
      <c r="BG187" s="187">
        <v>7.8125E-3</v>
      </c>
      <c r="BH187" s="187">
        <v>0.787109375</v>
      </c>
      <c r="BI187" s="187">
        <v>15560.8</v>
      </c>
      <c r="BU187" s="187">
        <v>1.953125E-3</v>
      </c>
      <c r="BV187" s="187">
        <v>0.77734375</v>
      </c>
      <c r="BW187" s="187">
        <v>35.424465548387097</v>
      </c>
    </row>
    <row r="188" spans="31:75" x14ac:dyDescent="0.2">
      <c r="AE188" s="187">
        <v>3.90625E-3</v>
      </c>
      <c r="AF188" s="187">
        <v>0.78125</v>
      </c>
      <c r="AG188" s="187">
        <v>10.884537892335484</v>
      </c>
      <c r="AS188" s="187">
        <v>7.8125E-3</v>
      </c>
      <c r="AT188" s="187">
        <v>0.802734375</v>
      </c>
      <c r="AU188" s="187">
        <v>23.671804168258063</v>
      </c>
      <c r="BG188" s="187">
        <v>7.8125E-3</v>
      </c>
      <c r="BH188" s="187">
        <v>0.794921875</v>
      </c>
      <c r="BI188" s="187">
        <v>15560.8</v>
      </c>
      <c r="BU188" s="187">
        <v>3.90625E-3</v>
      </c>
      <c r="BV188" s="187">
        <v>0.78125</v>
      </c>
      <c r="BW188" s="187">
        <v>35.431438451612898</v>
      </c>
    </row>
    <row r="189" spans="31:75" x14ac:dyDescent="0.2">
      <c r="AE189" s="187">
        <v>9.765625E-4</v>
      </c>
      <c r="AF189" s="187">
        <v>0.7822265625</v>
      </c>
      <c r="AG189" s="187">
        <v>11.028130228025805</v>
      </c>
      <c r="AS189" s="187">
        <v>1.953125E-3</v>
      </c>
      <c r="AT189" s="187">
        <v>0.8046875</v>
      </c>
      <c r="AU189" s="187">
        <v>23.763204769858067</v>
      </c>
      <c r="BG189" s="187">
        <v>3.90625E-3</v>
      </c>
      <c r="BH189" s="187">
        <v>0.798828125</v>
      </c>
      <c r="BI189" s="187">
        <v>15681.6</v>
      </c>
      <c r="BU189" s="187">
        <v>9.765625E-4</v>
      </c>
      <c r="BV189" s="187">
        <v>0.7822265625</v>
      </c>
      <c r="BW189" s="187">
        <v>35.89886141935483</v>
      </c>
    </row>
    <row r="190" spans="31:75" x14ac:dyDescent="0.2">
      <c r="AE190" s="187">
        <v>1.953125E-3</v>
      </c>
      <c r="AF190" s="187">
        <v>0.7841796875</v>
      </c>
      <c r="AG190" s="187">
        <v>11.034066838296775</v>
      </c>
      <c r="AS190" s="187">
        <v>3.90625E-3</v>
      </c>
      <c r="AT190" s="187">
        <v>0.80859375</v>
      </c>
      <c r="AU190" s="187">
        <v>24.221175041651609</v>
      </c>
      <c r="BG190" s="187">
        <v>3.90625E-3</v>
      </c>
      <c r="BH190" s="187">
        <v>0.802734375</v>
      </c>
      <c r="BI190" s="187">
        <v>15681.6</v>
      </c>
      <c r="BU190" s="187">
        <v>1.953125E-3</v>
      </c>
      <c r="BV190" s="187">
        <v>0.7841796875</v>
      </c>
      <c r="BW190" s="187">
        <v>35.918186322580645</v>
      </c>
    </row>
    <row r="191" spans="31:75" x14ac:dyDescent="0.2">
      <c r="AE191" s="187">
        <v>3.90625E-3</v>
      </c>
      <c r="AF191" s="187">
        <v>0.7880859375</v>
      </c>
      <c r="AG191" s="187">
        <v>11.106671318709678</v>
      </c>
      <c r="AS191" s="187">
        <v>1.953125E-3</v>
      </c>
      <c r="AT191" s="187">
        <v>0.810546875</v>
      </c>
      <c r="AU191" s="187">
        <v>25.134831444232251</v>
      </c>
      <c r="BG191" s="187">
        <v>3.90625E-3</v>
      </c>
      <c r="BH191" s="187">
        <v>0.806640625</v>
      </c>
      <c r="BI191" s="187">
        <v>16000.4</v>
      </c>
      <c r="BU191" s="187">
        <v>3.90625E-3</v>
      </c>
      <c r="BV191" s="187">
        <v>0.7880859375</v>
      </c>
      <c r="BW191" s="187">
        <v>36.154529032258061</v>
      </c>
    </row>
    <row r="192" spans="31:75" x14ac:dyDescent="0.2">
      <c r="AE192" s="187">
        <v>3.90625E-3</v>
      </c>
      <c r="AF192" s="187">
        <v>0.7919921875</v>
      </c>
      <c r="AG192" s="187">
        <v>11.106671318709678</v>
      </c>
      <c r="AS192" s="187">
        <v>1.5625E-2</v>
      </c>
      <c r="AT192" s="187">
        <v>0.826171875</v>
      </c>
      <c r="AU192" s="187">
        <v>25.297506568258065</v>
      </c>
      <c r="BG192" s="187">
        <v>7.8125E-3</v>
      </c>
      <c r="BH192" s="187">
        <v>0.814453125</v>
      </c>
      <c r="BI192" s="187">
        <v>16000.8</v>
      </c>
      <c r="BU192" s="187">
        <v>3.90625E-3</v>
      </c>
      <c r="BV192" s="187">
        <v>0.7919921875</v>
      </c>
      <c r="BW192" s="187">
        <v>36.154529032258061</v>
      </c>
    </row>
    <row r="193" spans="31:75" x14ac:dyDescent="0.2">
      <c r="AE193" s="187">
        <v>3.90625E-3</v>
      </c>
      <c r="AF193" s="187">
        <v>0.7958984375</v>
      </c>
      <c r="AG193" s="187">
        <v>11.402849220541937</v>
      </c>
      <c r="AS193" s="187">
        <v>9.765625E-4</v>
      </c>
      <c r="AT193" s="187">
        <v>0.8271484375</v>
      </c>
      <c r="AU193" s="187">
        <v>25.656594511277419</v>
      </c>
      <c r="BG193" s="187">
        <v>7.8125E-3</v>
      </c>
      <c r="BH193" s="187">
        <v>0.822265625</v>
      </c>
      <c r="BI193" s="187">
        <v>16160.8</v>
      </c>
      <c r="BU193" s="187">
        <v>3.90625E-3</v>
      </c>
      <c r="BV193" s="187">
        <v>0.7958984375</v>
      </c>
      <c r="BW193" s="187">
        <v>37.118649806451614</v>
      </c>
    </row>
    <row r="194" spans="31:75" x14ac:dyDescent="0.2">
      <c r="AE194" s="187">
        <v>3.90625E-3</v>
      </c>
      <c r="AF194" s="187">
        <v>0.7998046875</v>
      </c>
      <c r="AG194" s="187">
        <v>11.402849220541937</v>
      </c>
      <c r="AS194" s="187">
        <v>9.765625E-4</v>
      </c>
      <c r="AT194" s="187">
        <v>0.828125</v>
      </c>
      <c r="AU194" s="187">
        <v>26.063404686038712</v>
      </c>
      <c r="BG194" s="187">
        <v>7.8125E-3</v>
      </c>
      <c r="BH194" s="187">
        <v>0.830078125</v>
      </c>
      <c r="BI194" s="187">
        <v>16160.8</v>
      </c>
      <c r="BU194" s="187">
        <v>3.90625E-3</v>
      </c>
      <c r="BV194" s="187">
        <v>0.7998046875</v>
      </c>
      <c r="BW194" s="187">
        <v>37.118649806451614</v>
      </c>
    </row>
    <row r="195" spans="31:75" x14ac:dyDescent="0.2">
      <c r="AE195" s="187">
        <v>3.90625E-3</v>
      </c>
      <c r="AF195" s="187">
        <v>0.8037109375</v>
      </c>
      <c r="AG195" s="187">
        <v>11.791582716696773</v>
      </c>
      <c r="AS195" s="187">
        <v>7.8125E-3</v>
      </c>
      <c r="AT195" s="187">
        <v>0.8359375</v>
      </c>
      <c r="AU195" s="187">
        <v>26.276494065135484</v>
      </c>
      <c r="BG195" s="187">
        <v>3.90625E-3</v>
      </c>
      <c r="BH195" s="187">
        <v>0.833984375</v>
      </c>
      <c r="BI195" s="187">
        <v>16180.8</v>
      </c>
      <c r="BU195" s="187">
        <v>3.90625E-3</v>
      </c>
      <c r="BV195" s="187">
        <v>0.8037109375</v>
      </c>
      <c r="BW195" s="187">
        <v>38.384058322580636</v>
      </c>
    </row>
    <row r="196" spans="31:75" x14ac:dyDescent="0.2">
      <c r="AE196" s="187">
        <v>7.8125E-3</v>
      </c>
      <c r="AF196" s="187">
        <v>0.8115234375</v>
      </c>
      <c r="AG196" s="187">
        <v>12.323270523870969</v>
      </c>
      <c r="AS196" s="187">
        <v>3.90625E-3</v>
      </c>
      <c r="AT196" s="187">
        <v>0.83984375</v>
      </c>
      <c r="AU196" s="187">
        <v>26.308512827458063</v>
      </c>
      <c r="BG196" s="187">
        <v>3.90625E-3</v>
      </c>
      <c r="BH196" s="187">
        <v>0.837890625</v>
      </c>
      <c r="BI196" s="187">
        <v>16480.8</v>
      </c>
      <c r="BU196" s="187">
        <v>7.8125E-3</v>
      </c>
      <c r="BV196" s="187">
        <v>0.8115234375</v>
      </c>
      <c r="BW196" s="187">
        <v>40.114812903225804</v>
      </c>
    </row>
    <row r="197" spans="31:75" x14ac:dyDescent="0.2">
      <c r="AE197" s="187">
        <v>7.8125E-3</v>
      </c>
      <c r="AF197" s="187">
        <v>0.8193359375</v>
      </c>
      <c r="AG197" s="187">
        <v>12.323270523870969</v>
      </c>
      <c r="AS197" s="187">
        <v>1.953125E-3</v>
      </c>
      <c r="AT197" s="187">
        <v>0.841796875</v>
      </c>
      <c r="AU197" s="187">
        <v>26.441033794064516</v>
      </c>
      <c r="BG197" s="187">
        <v>1.5625E-2</v>
      </c>
      <c r="BH197" s="187">
        <v>0.853515625</v>
      </c>
      <c r="BI197" s="187">
        <v>16961.599999999999</v>
      </c>
      <c r="BU197" s="187">
        <v>7.8125E-3</v>
      </c>
      <c r="BV197" s="187">
        <v>0.8193359375</v>
      </c>
      <c r="BW197" s="187">
        <v>40.114812903225804</v>
      </c>
    </row>
    <row r="198" spans="31:75" x14ac:dyDescent="0.2">
      <c r="AE198" s="187">
        <v>1.953125E-3</v>
      </c>
      <c r="AF198" s="187">
        <v>0.8212890625</v>
      </c>
      <c r="AG198" s="187">
        <v>12.587560827870966</v>
      </c>
      <c r="AS198" s="187">
        <v>7.8125E-3</v>
      </c>
      <c r="AT198" s="187">
        <v>0.849609375</v>
      </c>
      <c r="AU198" s="187">
        <v>26.815551342658065</v>
      </c>
      <c r="BG198" s="187">
        <v>1.953125E-3</v>
      </c>
      <c r="BH198" s="187">
        <v>0.85546875</v>
      </c>
      <c r="BI198" s="187">
        <v>17200.400000000001</v>
      </c>
      <c r="BU198" s="187">
        <v>1.953125E-3</v>
      </c>
      <c r="BV198" s="187">
        <v>0.8212890625</v>
      </c>
      <c r="BW198" s="187">
        <v>40.975132903225798</v>
      </c>
    </row>
    <row r="199" spans="31:75" x14ac:dyDescent="0.2">
      <c r="AE199" s="187">
        <v>1.5625E-2</v>
      </c>
      <c r="AF199" s="187">
        <v>0.8369140625</v>
      </c>
      <c r="AG199" s="187">
        <v>12.587560827870966</v>
      </c>
      <c r="AS199" s="187">
        <v>1.953125E-3</v>
      </c>
      <c r="AT199" s="187">
        <v>0.8515625</v>
      </c>
      <c r="AU199" s="187">
        <v>27.348373847535481</v>
      </c>
      <c r="BG199" s="187">
        <v>1.953125E-3</v>
      </c>
      <c r="BH199" s="187">
        <v>0.857421875</v>
      </c>
      <c r="BI199" s="187">
        <v>17521.599999999999</v>
      </c>
      <c r="BU199" s="187">
        <v>1.5625E-2</v>
      </c>
      <c r="BV199" s="187">
        <v>0.8369140625</v>
      </c>
      <c r="BW199" s="187">
        <v>40.975132903225798</v>
      </c>
    </row>
    <row r="200" spans="31:75" x14ac:dyDescent="0.2">
      <c r="AE200" s="187">
        <v>7.8125E-3</v>
      </c>
      <c r="AF200" s="187">
        <v>0.8447265625</v>
      </c>
      <c r="AG200" s="187">
        <v>13.00579012211613</v>
      </c>
      <c r="AS200" s="187">
        <v>3.90625E-3</v>
      </c>
      <c r="AT200" s="187">
        <v>0.85546875</v>
      </c>
      <c r="AU200" s="187">
        <v>27.744625697032255</v>
      </c>
      <c r="BG200" s="187">
        <v>1.953125E-3</v>
      </c>
      <c r="BH200" s="187">
        <v>0.859375</v>
      </c>
      <c r="BI200" s="187">
        <v>17521.599999999999</v>
      </c>
      <c r="BU200" s="187">
        <v>7.8125E-3</v>
      </c>
      <c r="BV200" s="187">
        <v>0.8447265625</v>
      </c>
      <c r="BW200" s="187">
        <v>42.33655638709677</v>
      </c>
    </row>
    <row r="201" spans="31:75" x14ac:dyDescent="0.2">
      <c r="AE201" s="187">
        <v>7.8125E-3</v>
      </c>
      <c r="AF201" s="187">
        <v>0.8525390625</v>
      </c>
      <c r="AG201" s="187">
        <v>13.271214410322582</v>
      </c>
      <c r="AS201" s="187">
        <v>3.90625E-3</v>
      </c>
      <c r="AT201" s="187">
        <v>0.859375</v>
      </c>
      <c r="AU201" s="187">
        <v>27.827099502658061</v>
      </c>
      <c r="BG201" s="187">
        <v>1.953125E-3</v>
      </c>
      <c r="BH201" s="187">
        <v>0.861328125</v>
      </c>
      <c r="BI201" s="187">
        <v>17521.599999999999</v>
      </c>
      <c r="BU201" s="187">
        <v>7.8125E-3</v>
      </c>
      <c r="BV201" s="187">
        <v>0.8525390625</v>
      </c>
      <c r="BW201" s="187">
        <v>43.200567741935487</v>
      </c>
    </row>
    <row r="202" spans="31:75" x14ac:dyDescent="0.2">
      <c r="AE202" s="187">
        <v>7.8125E-3</v>
      </c>
      <c r="AF202" s="187">
        <v>0.8603515625</v>
      </c>
      <c r="AG202" s="187">
        <v>13.271214410322582</v>
      </c>
      <c r="AS202" s="187">
        <v>3.90625E-3</v>
      </c>
      <c r="AT202" s="187">
        <v>0.86328125</v>
      </c>
      <c r="AU202" s="187">
        <v>27.884179720258064</v>
      </c>
      <c r="BG202" s="187">
        <v>1.953125E-3</v>
      </c>
      <c r="BH202" s="187">
        <v>0.86328125</v>
      </c>
      <c r="BI202" s="187">
        <v>17521.599999999999</v>
      </c>
      <c r="BU202" s="187">
        <v>7.8125E-3</v>
      </c>
      <c r="BV202" s="187">
        <v>0.8603515625</v>
      </c>
      <c r="BW202" s="187">
        <v>43.200567741935487</v>
      </c>
    </row>
    <row r="203" spans="31:75" x14ac:dyDescent="0.2">
      <c r="AE203" s="187">
        <v>3.90625E-3</v>
      </c>
      <c r="AF203" s="187">
        <v>0.8642578125</v>
      </c>
      <c r="AG203" s="187">
        <v>13.413405993290322</v>
      </c>
      <c r="AS203" s="187">
        <v>9.765625E-4</v>
      </c>
      <c r="AT203" s="187">
        <v>0.8642578125</v>
      </c>
      <c r="AU203" s="187">
        <v>28.331486782761289</v>
      </c>
      <c r="BG203" s="187">
        <v>1.953125E-3</v>
      </c>
      <c r="BH203" s="187">
        <v>0.865234375</v>
      </c>
      <c r="BI203" s="187">
        <v>17561.599999999999</v>
      </c>
      <c r="BU203" s="187">
        <v>3.90625E-3</v>
      </c>
      <c r="BV203" s="187">
        <v>0.8642578125</v>
      </c>
      <c r="BW203" s="187">
        <v>43.663430967741931</v>
      </c>
    </row>
    <row r="204" spans="31:75" x14ac:dyDescent="0.2">
      <c r="AE204" s="187">
        <v>1.953125E-3</v>
      </c>
      <c r="AF204" s="187">
        <v>0.8662109375</v>
      </c>
      <c r="AG204" s="187">
        <v>13.476094533367741</v>
      </c>
      <c r="AS204" s="187">
        <v>1.953125E-3</v>
      </c>
      <c r="AT204" s="187">
        <v>0.8662109375</v>
      </c>
      <c r="AU204" s="187">
        <v>28.404765755458058</v>
      </c>
      <c r="BG204" s="187">
        <v>1.953125E-3</v>
      </c>
      <c r="BH204" s="187">
        <v>0.8671875</v>
      </c>
      <c r="BI204" s="187">
        <v>17600.400000000001</v>
      </c>
      <c r="BU204" s="187">
        <v>1.953125E-3</v>
      </c>
      <c r="BV204" s="187">
        <v>0.8662109375</v>
      </c>
      <c r="BW204" s="187">
        <v>43.867495225806444</v>
      </c>
    </row>
    <row r="205" spans="31:75" x14ac:dyDescent="0.2">
      <c r="AE205" s="187">
        <v>1.953125E-3</v>
      </c>
      <c r="AF205" s="187">
        <v>0.8681640625</v>
      </c>
      <c r="AG205" s="187">
        <v>13.476094533367741</v>
      </c>
      <c r="AS205" s="187">
        <v>7.8125E-3</v>
      </c>
      <c r="AT205" s="187">
        <v>0.8740234375</v>
      </c>
      <c r="AU205" s="187">
        <v>28.421593814709677</v>
      </c>
      <c r="BG205" s="187">
        <v>9.765625E-4</v>
      </c>
      <c r="BH205" s="187">
        <v>0.8681640625</v>
      </c>
      <c r="BI205" s="187">
        <v>17641.599999999999</v>
      </c>
      <c r="BU205" s="187">
        <v>1.953125E-3</v>
      </c>
      <c r="BV205" s="187">
        <v>0.8681640625</v>
      </c>
      <c r="BW205" s="187">
        <v>43.867495225806444</v>
      </c>
    </row>
    <row r="206" spans="31:75" x14ac:dyDescent="0.2">
      <c r="AE206" s="187">
        <v>3.90625E-3</v>
      </c>
      <c r="AF206" s="187">
        <v>0.8720703125</v>
      </c>
      <c r="AG206" s="187">
        <v>13.698227959741933</v>
      </c>
      <c r="AS206" s="187">
        <v>3.90625E-3</v>
      </c>
      <c r="AT206" s="187">
        <v>0.8779296875</v>
      </c>
      <c r="AU206" s="187">
        <v>29.273252104258063</v>
      </c>
      <c r="BG206" s="187">
        <v>1.953125E-3</v>
      </c>
      <c r="BH206" s="187">
        <v>0.8701171875</v>
      </c>
      <c r="BI206" s="187">
        <v>17680.8</v>
      </c>
      <c r="BU206" s="187">
        <v>3.90625E-3</v>
      </c>
      <c r="BV206" s="187">
        <v>0.8720703125</v>
      </c>
      <c r="BW206" s="187">
        <v>44.5905858064516</v>
      </c>
    </row>
    <row r="207" spans="31:75" x14ac:dyDescent="0.2">
      <c r="AE207" s="187">
        <v>3.90625E-3</v>
      </c>
      <c r="AF207" s="187">
        <v>0.8759765625</v>
      </c>
      <c r="AG207" s="187">
        <v>13.698227959741933</v>
      </c>
      <c r="AS207" s="187">
        <v>3.90625E-3</v>
      </c>
      <c r="AT207" s="187">
        <v>0.8818359375</v>
      </c>
      <c r="AU207" s="187">
        <v>29.493741634064513</v>
      </c>
      <c r="BG207" s="187">
        <v>1.953125E-3</v>
      </c>
      <c r="BH207" s="187">
        <v>0.8720703125</v>
      </c>
      <c r="BI207" s="187">
        <v>17680.8</v>
      </c>
      <c r="BU207" s="187">
        <v>3.90625E-3</v>
      </c>
      <c r="BV207" s="187">
        <v>0.8759765625</v>
      </c>
      <c r="BW207" s="187">
        <v>44.5905858064516</v>
      </c>
    </row>
    <row r="208" spans="31:75" x14ac:dyDescent="0.2">
      <c r="AE208" s="187">
        <v>3.90625E-3</v>
      </c>
      <c r="AF208" s="187">
        <v>0.8798828125</v>
      </c>
      <c r="AG208" s="187">
        <v>14.346117119999999</v>
      </c>
      <c r="AS208" s="187">
        <v>1.953125E-3</v>
      </c>
      <c r="AT208" s="187">
        <v>0.8837890625</v>
      </c>
      <c r="AU208" s="187">
        <v>29.931527557780644</v>
      </c>
      <c r="BG208" s="187">
        <v>3.90625E-3</v>
      </c>
      <c r="BH208" s="187">
        <v>0.8759765625</v>
      </c>
      <c r="BI208" s="187">
        <v>18041.599999999999</v>
      </c>
      <c r="BU208" s="187">
        <v>3.90625E-3</v>
      </c>
      <c r="BV208" s="187">
        <v>0.8798828125</v>
      </c>
      <c r="BW208" s="187">
        <v>46.69959999999999</v>
      </c>
    </row>
    <row r="209" spans="31:75" x14ac:dyDescent="0.2">
      <c r="AE209" s="187">
        <v>3.90625E-3</v>
      </c>
      <c r="AF209" s="187">
        <v>0.8837890625</v>
      </c>
      <c r="AG209" s="187">
        <v>14.346117119999999</v>
      </c>
      <c r="AS209" s="187">
        <v>1.953125E-3</v>
      </c>
      <c r="AT209" s="187">
        <v>0.8857421875</v>
      </c>
      <c r="AU209" s="187">
        <v>30.406139428335489</v>
      </c>
      <c r="BG209" s="187">
        <v>3.90625E-3</v>
      </c>
      <c r="BH209" s="187">
        <v>0.8798828125</v>
      </c>
      <c r="BI209" s="187">
        <v>18041.599999999999</v>
      </c>
      <c r="BU209" s="187">
        <v>3.90625E-3</v>
      </c>
      <c r="BV209" s="187">
        <v>0.8837890625</v>
      </c>
      <c r="BW209" s="187">
        <v>46.69959999999999</v>
      </c>
    </row>
    <row r="210" spans="31:75" x14ac:dyDescent="0.2">
      <c r="AE210" s="187">
        <v>1.953125E-3</v>
      </c>
      <c r="AF210" s="187">
        <v>0.8857421875</v>
      </c>
      <c r="AG210" s="187">
        <v>14.43867271432258</v>
      </c>
      <c r="AS210" s="187">
        <v>7.8125E-3</v>
      </c>
      <c r="AT210" s="187">
        <v>0.8935546875</v>
      </c>
      <c r="AU210" s="187">
        <v>30.716514568258063</v>
      </c>
      <c r="BG210" s="187">
        <v>3.90625E-3</v>
      </c>
      <c r="BH210" s="187">
        <v>0.8837890625</v>
      </c>
      <c r="BI210" s="187">
        <v>18560.8</v>
      </c>
      <c r="BU210" s="187">
        <v>1.953125E-3</v>
      </c>
      <c r="BV210" s="187">
        <v>0.8857421875</v>
      </c>
      <c r="BW210" s="187">
        <v>47.000887741935479</v>
      </c>
    </row>
    <row r="211" spans="31:75" x14ac:dyDescent="0.2">
      <c r="AE211" s="187">
        <v>1.953125E-3</v>
      </c>
      <c r="AF211" s="187">
        <v>0.8876953125</v>
      </c>
      <c r="AG211" s="187">
        <v>14.43867271432258</v>
      </c>
      <c r="AS211" s="187">
        <v>1.953125E-3</v>
      </c>
      <c r="AT211" s="187">
        <v>0.8955078125</v>
      </c>
      <c r="AU211" s="187">
        <v>31.366253627458065</v>
      </c>
      <c r="BG211" s="187">
        <v>3.90625E-3</v>
      </c>
      <c r="BH211" s="187">
        <v>0.8876953125</v>
      </c>
      <c r="BI211" s="187">
        <v>18560.8</v>
      </c>
      <c r="BU211" s="187">
        <v>1.953125E-3</v>
      </c>
      <c r="BV211" s="187">
        <v>0.8876953125</v>
      </c>
      <c r="BW211" s="187">
        <v>47.000887741935479</v>
      </c>
    </row>
    <row r="212" spans="31:75" x14ac:dyDescent="0.2">
      <c r="AE212" s="187">
        <v>1.953125E-3</v>
      </c>
      <c r="AF212" s="187">
        <v>0.8896484375</v>
      </c>
      <c r="AG212" s="187">
        <v>15.179117468903225</v>
      </c>
      <c r="AS212" s="187">
        <v>9.765625E-4</v>
      </c>
      <c r="AT212" s="187">
        <v>0.896484375</v>
      </c>
      <c r="AU212" s="187">
        <v>31.530018379974187</v>
      </c>
      <c r="BG212" s="187">
        <v>1.953125E-3</v>
      </c>
      <c r="BH212" s="187">
        <v>0.8896484375</v>
      </c>
      <c r="BI212" s="187">
        <v>18561.599999999999</v>
      </c>
      <c r="BU212" s="187">
        <v>1.953125E-3</v>
      </c>
      <c r="BV212" s="187">
        <v>0.8896484375</v>
      </c>
      <c r="BW212" s="187">
        <v>49.411189677419351</v>
      </c>
    </row>
    <row r="213" spans="31:75" x14ac:dyDescent="0.2">
      <c r="AE213" s="187">
        <v>1.953125E-3</v>
      </c>
      <c r="AF213" s="187">
        <v>0.8916015625</v>
      </c>
      <c r="AG213" s="187">
        <v>15.179117468903225</v>
      </c>
      <c r="AS213" s="187">
        <v>3.90625E-3</v>
      </c>
      <c r="AT213" s="187">
        <v>0.900390625</v>
      </c>
      <c r="AU213" s="187">
        <v>31.905270116748387</v>
      </c>
      <c r="BG213" s="187">
        <v>1.953125E-3</v>
      </c>
      <c r="BH213" s="187">
        <v>0.8916015625</v>
      </c>
      <c r="BI213" s="187">
        <v>18681.599999999999</v>
      </c>
      <c r="BU213" s="187">
        <v>1.953125E-3</v>
      </c>
      <c r="BV213" s="187">
        <v>0.8916015625</v>
      </c>
      <c r="BW213" s="187">
        <v>49.411189677419351</v>
      </c>
    </row>
    <row r="214" spans="31:75" x14ac:dyDescent="0.2">
      <c r="AE214" s="187">
        <v>7.8125E-3</v>
      </c>
      <c r="AF214" s="187">
        <v>0.8994140625</v>
      </c>
      <c r="AG214" s="187">
        <v>15.546279737806451</v>
      </c>
      <c r="AS214" s="187">
        <v>3.90625E-3</v>
      </c>
      <c r="AT214" s="187">
        <v>0.904296875</v>
      </c>
      <c r="AU214" s="187">
        <v>31.987254463587092</v>
      </c>
      <c r="BG214" s="187">
        <v>1.953125E-3</v>
      </c>
      <c r="BH214" s="187">
        <v>0.8935546875</v>
      </c>
      <c r="BI214" s="187">
        <v>18681.599999999999</v>
      </c>
      <c r="BU214" s="187">
        <v>7.8125E-3</v>
      </c>
      <c r="BV214" s="187">
        <v>0.8994140625</v>
      </c>
      <c r="BW214" s="187">
        <v>50.606379354838701</v>
      </c>
    </row>
    <row r="215" spans="31:75" x14ac:dyDescent="0.2">
      <c r="AE215" s="187">
        <v>9.765625E-4</v>
      </c>
      <c r="AF215" s="187">
        <v>0.900390625</v>
      </c>
      <c r="AG215" s="187">
        <v>15.715939915974195</v>
      </c>
      <c r="AS215" s="187">
        <v>3.90625E-3</v>
      </c>
      <c r="AT215" s="187">
        <v>0.908203125</v>
      </c>
      <c r="AU215" s="187">
        <v>33.137727342658067</v>
      </c>
      <c r="BG215" s="187">
        <v>7.8125E-3</v>
      </c>
      <c r="BH215" s="187">
        <v>0.9013671875</v>
      </c>
      <c r="BI215" s="187">
        <v>18880.8</v>
      </c>
      <c r="BU215" s="187">
        <v>9.765625E-4</v>
      </c>
      <c r="BV215" s="187">
        <v>0.900390625</v>
      </c>
      <c r="BW215" s="187">
        <v>51.158658580645159</v>
      </c>
    </row>
    <row r="216" spans="31:75" x14ac:dyDescent="0.2">
      <c r="AE216" s="187">
        <v>3.90625E-3</v>
      </c>
      <c r="AF216" s="187">
        <v>0.904296875</v>
      </c>
      <c r="AG216" s="187">
        <v>17.252578733419355</v>
      </c>
      <c r="AS216" s="187">
        <v>1.953125E-3</v>
      </c>
      <c r="AT216" s="187">
        <v>0.91015625</v>
      </c>
      <c r="AU216" s="187">
        <v>33.244918817032264</v>
      </c>
      <c r="BG216" s="187">
        <v>3.90625E-3</v>
      </c>
      <c r="BH216" s="187">
        <v>0.9052734375</v>
      </c>
      <c r="BI216" s="187">
        <v>19041.599999999999</v>
      </c>
      <c r="BU216" s="187">
        <v>3.90625E-3</v>
      </c>
      <c r="BV216" s="187">
        <v>0.904296875</v>
      </c>
      <c r="BW216" s="187">
        <v>56.160738064516124</v>
      </c>
    </row>
    <row r="217" spans="31:75" x14ac:dyDescent="0.2">
      <c r="AE217" s="187">
        <v>3.90625E-3</v>
      </c>
      <c r="AF217" s="187">
        <v>0.908203125</v>
      </c>
      <c r="AG217" s="187">
        <v>17.252578733419355</v>
      </c>
      <c r="AS217" s="187">
        <v>1.953125E-3</v>
      </c>
      <c r="AT217" s="187">
        <v>0.912109375</v>
      </c>
      <c r="AU217" s="187">
        <v>34.104513331200003</v>
      </c>
      <c r="BG217" s="187">
        <v>3.90625E-3</v>
      </c>
      <c r="BH217" s="187">
        <v>0.9091796875</v>
      </c>
      <c r="BI217" s="187">
        <v>19041.599999999999</v>
      </c>
      <c r="BU217" s="187">
        <v>3.90625E-3</v>
      </c>
      <c r="BV217" s="187">
        <v>0.908203125</v>
      </c>
      <c r="BW217" s="187">
        <v>56.160738064516124</v>
      </c>
    </row>
    <row r="218" spans="31:75" x14ac:dyDescent="0.2">
      <c r="AE218" s="187">
        <v>9.765625E-4</v>
      </c>
      <c r="AF218" s="187">
        <v>0.9091796875</v>
      </c>
      <c r="AG218" s="187">
        <v>17.622585159019355</v>
      </c>
      <c r="AS218" s="187">
        <v>3.90625E-3</v>
      </c>
      <c r="AT218" s="187">
        <v>0.916015625</v>
      </c>
      <c r="AU218" s="187">
        <v>34.598680245677421</v>
      </c>
      <c r="BG218" s="187">
        <v>9.765625E-4</v>
      </c>
      <c r="BH218" s="187">
        <v>0.91015625</v>
      </c>
      <c r="BI218" s="187">
        <v>19200.400000000001</v>
      </c>
      <c r="BU218" s="187">
        <v>9.765625E-4</v>
      </c>
      <c r="BV218" s="187">
        <v>0.9091796875</v>
      </c>
      <c r="BW218" s="187">
        <v>57.365186064516124</v>
      </c>
    </row>
    <row r="219" spans="31:75" x14ac:dyDescent="0.2">
      <c r="AE219" s="187">
        <v>7.8125E-3</v>
      </c>
      <c r="AF219" s="187">
        <v>0.9169921875</v>
      </c>
      <c r="AG219" s="187">
        <v>17.622585159019355</v>
      </c>
      <c r="AS219" s="187">
        <v>3.90625E-3</v>
      </c>
      <c r="AT219" s="187">
        <v>0.919921875</v>
      </c>
      <c r="AU219" s="187">
        <v>35.122517685677423</v>
      </c>
      <c r="BG219" s="187">
        <v>7.8125E-3</v>
      </c>
      <c r="BH219" s="187">
        <v>0.91796875</v>
      </c>
      <c r="BI219" s="187">
        <v>19521.599999999999</v>
      </c>
      <c r="BU219" s="187">
        <v>7.8125E-3</v>
      </c>
      <c r="BV219" s="187">
        <v>0.9169921875</v>
      </c>
      <c r="BW219" s="187">
        <v>57.365186064516124</v>
      </c>
    </row>
    <row r="220" spans="31:75" x14ac:dyDescent="0.2">
      <c r="AE220" s="187">
        <v>7.8125E-3</v>
      </c>
      <c r="AF220" s="187">
        <v>0.9248046875</v>
      </c>
      <c r="AG220" s="187">
        <v>18.140896487225806</v>
      </c>
      <c r="AS220" s="187">
        <v>7.8125E-3</v>
      </c>
      <c r="AT220" s="187">
        <v>0.927734375</v>
      </c>
      <c r="AU220" s="187">
        <v>35.413710702658072</v>
      </c>
      <c r="BG220" s="187">
        <v>7.8125E-3</v>
      </c>
      <c r="BH220" s="187">
        <v>0.92578125</v>
      </c>
      <c r="BI220" s="187">
        <v>19521.599999999999</v>
      </c>
      <c r="BU220" s="187">
        <v>7.8125E-3</v>
      </c>
      <c r="BV220" s="187">
        <v>0.9248046875</v>
      </c>
      <c r="BW220" s="187">
        <v>59.052397419354833</v>
      </c>
    </row>
    <row r="221" spans="31:75" x14ac:dyDescent="0.2">
      <c r="AE221" s="187">
        <v>1.953125E-3</v>
      </c>
      <c r="AF221" s="187">
        <v>0.9267578125</v>
      </c>
      <c r="AG221" s="187">
        <v>18.214940962683869</v>
      </c>
      <c r="AS221" s="187">
        <v>9.765625E-4</v>
      </c>
      <c r="AT221" s="187">
        <v>0.9287109375</v>
      </c>
      <c r="AU221" s="187">
        <v>37.014648818787109</v>
      </c>
      <c r="BG221" s="187">
        <v>1.953125E-3</v>
      </c>
      <c r="BH221" s="187">
        <v>0.927734375</v>
      </c>
      <c r="BI221" s="187">
        <v>19681.599999999999</v>
      </c>
      <c r="BU221" s="187">
        <v>1.953125E-3</v>
      </c>
      <c r="BV221" s="187">
        <v>0.9267578125</v>
      </c>
      <c r="BW221" s="187">
        <v>59.293427612903216</v>
      </c>
    </row>
    <row r="222" spans="31:75" x14ac:dyDescent="0.2">
      <c r="AE222" s="187">
        <v>3.90625E-3</v>
      </c>
      <c r="AF222" s="187">
        <v>0.9306640625</v>
      </c>
      <c r="AG222" s="187">
        <v>18.390111397161288</v>
      </c>
      <c r="AS222" s="187">
        <v>7.8125E-3</v>
      </c>
      <c r="AT222" s="187">
        <v>0.9365234375</v>
      </c>
      <c r="AU222" s="187">
        <v>37.534850279225815</v>
      </c>
      <c r="BG222" s="187">
        <v>1.953125E-3</v>
      </c>
      <c r="BH222" s="187">
        <v>0.9296875</v>
      </c>
      <c r="BI222" s="187">
        <v>19681.599999999999</v>
      </c>
      <c r="BU222" s="187">
        <v>3.90625E-3</v>
      </c>
      <c r="BV222" s="187">
        <v>0.9306640625</v>
      </c>
      <c r="BW222" s="187">
        <v>59.863643870967728</v>
      </c>
    </row>
    <row r="223" spans="31:75" x14ac:dyDescent="0.2">
      <c r="AE223" s="187">
        <v>7.8125E-3</v>
      </c>
      <c r="AF223" s="187">
        <v>0.9384765625</v>
      </c>
      <c r="AG223" s="187">
        <v>18.511118864516128</v>
      </c>
      <c r="AS223" s="187">
        <v>7.8125E-3</v>
      </c>
      <c r="AT223" s="187">
        <v>0.9443359375</v>
      </c>
      <c r="AU223" s="187">
        <v>38.304932104258071</v>
      </c>
      <c r="BG223" s="187">
        <v>7.8125E-3</v>
      </c>
      <c r="BH223" s="187">
        <v>0.9375</v>
      </c>
      <c r="BI223" s="187">
        <v>19961.599999999999</v>
      </c>
      <c r="BU223" s="187">
        <v>7.8125E-3</v>
      </c>
      <c r="BV223" s="187">
        <v>0.9384765625</v>
      </c>
      <c r="BW223" s="187">
        <v>60.257548387096762</v>
      </c>
    </row>
    <row r="224" spans="31:75" x14ac:dyDescent="0.2">
      <c r="AE224" s="187">
        <v>7.8125E-3</v>
      </c>
      <c r="AF224" s="187">
        <v>0.9462890625</v>
      </c>
      <c r="AG224" s="187">
        <v>18.511118864516128</v>
      </c>
      <c r="AS224" s="187">
        <v>1.953125E-3</v>
      </c>
      <c r="AT224" s="187">
        <v>0.9462890625</v>
      </c>
      <c r="AU224" s="187">
        <v>38.83967748294193</v>
      </c>
      <c r="BG224" s="187">
        <v>1.953125E-3</v>
      </c>
      <c r="BH224" s="187">
        <v>0.939453125</v>
      </c>
      <c r="BI224" s="187">
        <v>20141.599999999999</v>
      </c>
      <c r="BU224" s="187">
        <v>7.8125E-3</v>
      </c>
      <c r="BV224" s="187">
        <v>0.9462890625</v>
      </c>
      <c r="BW224" s="187">
        <v>60.257548387096762</v>
      </c>
    </row>
    <row r="225" spans="31:75" x14ac:dyDescent="0.2">
      <c r="AE225" s="187">
        <v>1.953125E-3</v>
      </c>
      <c r="AF225" s="187">
        <v>0.9482421875</v>
      </c>
      <c r="AG225" s="187">
        <v>18.778768390606452</v>
      </c>
      <c r="AS225" s="187">
        <v>1.953125E-3</v>
      </c>
      <c r="AT225" s="187">
        <v>0.9482421875</v>
      </c>
      <c r="AU225" s="187">
        <v>39.035053115458069</v>
      </c>
      <c r="BG225" s="187">
        <v>1.953125E-3</v>
      </c>
      <c r="BH225" s="187">
        <v>0.94140625</v>
      </c>
      <c r="BI225" s="187">
        <v>20641.599999999999</v>
      </c>
      <c r="BU225" s="187">
        <v>1.953125E-3</v>
      </c>
      <c r="BV225" s="187">
        <v>0.9482421875</v>
      </c>
      <c r="BW225" s="187">
        <v>61.128803354838702</v>
      </c>
    </row>
    <row r="226" spans="31:75" x14ac:dyDescent="0.2">
      <c r="AE226" s="187">
        <v>1.953125E-3</v>
      </c>
      <c r="AF226" s="187">
        <v>0.9501953125</v>
      </c>
      <c r="AG226" s="187">
        <v>19.177519143638708</v>
      </c>
      <c r="AS226" s="187">
        <v>3.90625E-3</v>
      </c>
      <c r="AT226" s="187">
        <v>0.9521484375</v>
      </c>
      <c r="AU226" s="187">
        <v>39.787432847690326</v>
      </c>
      <c r="BG226" s="187">
        <v>3.90625E-3</v>
      </c>
      <c r="BH226" s="187">
        <v>0.9453125</v>
      </c>
      <c r="BI226" s="187">
        <v>20680.8</v>
      </c>
      <c r="BU226" s="187">
        <v>1.953125E-3</v>
      </c>
      <c r="BV226" s="187">
        <v>0.9501953125</v>
      </c>
      <c r="BW226" s="187">
        <v>62.426820129032251</v>
      </c>
    </row>
    <row r="227" spans="31:75" x14ac:dyDescent="0.2">
      <c r="AE227" s="187">
        <v>1.953125E-3</v>
      </c>
      <c r="AF227" s="187">
        <v>0.9521484375</v>
      </c>
      <c r="AG227" s="187">
        <v>19.177519143638708</v>
      </c>
      <c r="AS227" s="187">
        <v>1.953125E-3</v>
      </c>
      <c r="AT227" s="187">
        <v>0.9541015625</v>
      </c>
      <c r="AU227" s="187">
        <v>40.979754453058071</v>
      </c>
      <c r="BG227" s="187">
        <v>7.8125E-3</v>
      </c>
      <c r="BH227" s="187">
        <v>0.953125</v>
      </c>
      <c r="BI227" s="187">
        <v>20961.599999999999</v>
      </c>
      <c r="BU227" s="187">
        <v>1.953125E-3</v>
      </c>
      <c r="BV227" s="187">
        <v>0.9521484375</v>
      </c>
      <c r="BW227" s="187">
        <v>62.426820129032251</v>
      </c>
    </row>
    <row r="228" spans="31:75" x14ac:dyDescent="0.2">
      <c r="AE228" s="187">
        <v>1.953125E-3</v>
      </c>
      <c r="AF228" s="187">
        <v>0.9541015625</v>
      </c>
      <c r="AG228" s="187">
        <v>20.084563968000001</v>
      </c>
      <c r="AS228" s="187">
        <v>1.953125E-3</v>
      </c>
      <c r="AT228" s="187">
        <v>0.9560546875</v>
      </c>
      <c r="AU228" s="187">
        <v>41.288439794787095</v>
      </c>
      <c r="BG228" s="187">
        <v>3.90625E-3</v>
      </c>
      <c r="BH228" s="187">
        <v>0.95703125</v>
      </c>
      <c r="BI228" s="187">
        <v>21280.799999999999</v>
      </c>
      <c r="BU228" s="187">
        <v>1.953125E-3</v>
      </c>
      <c r="BV228" s="187">
        <v>0.9541015625</v>
      </c>
      <c r="BW228" s="187">
        <v>65.379440000000002</v>
      </c>
    </row>
    <row r="229" spans="31:75" x14ac:dyDescent="0.2">
      <c r="AE229" s="187">
        <v>1.953125E-3</v>
      </c>
      <c r="AF229" s="187">
        <v>0.9560546875</v>
      </c>
      <c r="AG229" s="187">
        <v>20.084563968000001</v>
      </c>
      <c r="AS229" s="187">
        <v>9.765625E-4</v>
      </c>
      <c r="AT229" s="187">
        <v>0.95703125</v>
      </c>
      <c r="AU229" s="187">
        <v>42.145621976361291</v>
      </c>
      <c r="BG229" s="187">
        <v>3.90625E-3</v>
      </c>
      <c r="BH229" s="187">
        <v>0.9609375</v>
      </c>
      <c r="BI229" s="187">
        <v>22521.599999999999</v>
      </c>
      <c r="BU229" s="187">
        <v>1.953125E-3</v>
      </c>
      <c r="BV229" s="187">
        <v>0.9560546875</v>
      </c>
      <c r="BW229" s="187">
        <v>65.379440000000002</v>
      </c>
    </row>
    <row r="230" spans="31:75" x14ac:dyDescent="0.2">
      <c r="AE230" s="187">
        <v>9.765625E-4</v>
      </c>
      <c r="AF230" s="187">
        <v>0.95703125</v>
      </c>
      <c r="AG230" s="187">
        <v>21.250764456464516</v>
      </c>
      <c r="AS230" s="187">
        <v>1.953125E-3</v>
      </c>
      <c r="AT230" s="187">
        <v>0.958984375</v>
      </c>
      <c r="AU230" s="187">
        <v>42.756326697290326</v>
      </c>
      <c r="BG230" s="187">
        <v>3.90625E-3</v>
      </c>
      <c r="BH230" s="187">
        <v>0.96484375</v>
      </c>
      <c r="BI230" s="187">
        <v>22521.599999999999</v>
      </c>
      <c r="BU230" s="187">
        <v>9.765625E-4</v>
      </c>
      <c r="BV230" s="187">
        <v>0.95703125</v>
      </c>
      <c r="BW230" s="187">
        <v>69.175665548387087</v>
      </c>
    </row>
    <row r="231" spans="31:75" x14ac:dyDescent="0.2">
      <c r="AE231" s="187">
        <v>9.765625E-4</v>
      </c>
      <c r="AF231" s="187">
        <v>0.9580078125</v>
      </c>
      <c r="AG231" s="187">
        <v>21.250764456464516</v>
      </c>
      <c r="AS231" s="187">
        <v>3.90625E-3</v>
      </c>
      <c r="AT231" s="187">
        <v>0.962890625</v>
      </c>
      <c r="AU231" s="187">
        <v>43.000321902658065</v>
      </c>
      <c r="BG231" s="187">
        <v>9.765625E-4</v>
      </c>
      <c r="BH231" s="187">
        <v>0.9658203125</v>
      </c>
      <c r="BI231" s="187">
        <v>22561.599999999999</v>
      </c>
      <c r="BU231" s="187">
        <v>9.765625E-4</v>
      </c>
      <c r="BV231" s="187">
        <v>0.9580078125</v>
      </c>
      <c r="BW231" s="187">
        <v>69.175665548387087</v>
      </c>
    </row>
    <row r="232" spans="31:75" x14ac:dyDescent="0.2">
      <c r="AE232" s="187">
        <v>9.765625E-4</v>
      </c>
      <c r="AF232" s="187">
        <v>0.958984375</v>
      </c>
      <c r="AG232" s="187">
        <v>21.546942358296779</v>
      </c>
      <c r="AS232" s="187">
        <v>1.953125E-3</v>
      </c>
      <c r="AT232" s="187">
        <v>0.96484375</v>
      </c>
      <c r="AU232" s="187">
        <v>43.43434365522581</v>
      </c>
      <c r="BG232" s="187">
        <v>9.765625E-4</v>
      </c>
      <c r="BH232" s="187">
        <v>0.966796875</v>
      </c>
      <c r="BI232" s="187">
        <v>22641.599999999999</v>
      </c>
      <c r="BU232" s="187">
        <v>9.765625E-4</v>
      </c>
      <c r="BV232" s="187">
        <v>0.958984375</v>
      </c>
      <c r="BW232" s="187">
        <v>70.139786322580647</v>
      </c>
    </row>
    <row r="233" spans="31:75" x14ac:dyDescent="0.2">
      <c r="AE233" s="187">
        <v>3.90625E-3</v>
      </c>
      <c r="AF233" s="187">
        <v>0.962890625</v>
      </c>
      <c r="AG233" s="187">
        <v>21.764791632929033</v>
      </c>
      <c r="AS233" s="187">
        <v>3.90625E-3</v>
      </c>
      <c r="AT233" s="187">
        <v>0.96875</v>
      </c>
      <c r="AU233" s="187">
        <v>45.575958924387102</v>
      </c>
      <c r="BG233" s="187">
        <v>9.765625E-4</v>
      </c>
      <c r="BH233" s="187">
        <v>0.9677734375</v>
      </c>
      <c r="BI233" s="187">
        <v>22641.599999999999</v>
      </c>
      <c r="BU233" s="187">
        <v>3.90625E-3</v>
      </c>
      <c r="BV233" s="187">
        <v>0.962890625</v>
      </c>
      <c r="BW233" s="187">
        <v>70.848931096774194</v>
      </c>
    </row>
    <row r="234" spans="31:75" x14ac:dyDescent="0.2">
      <c r="AE234" s="187">
        <v>3.90625E-3</v>
      </c>
      <c r="AF234" s="187">
        <v>0.966796875</v>
      </c>
      <c r="AG234" s="187">
        <v>24.064454523870968</v>
      </c>
      <c r="AS234" s="187">
        <v>9.765625E-4</v>
      </c>
      <c r="AT234" s="187">
        <v>0.9697265625</v>
      </c>
      <c r="AU234" s="187">
        <v>46.540087850941937</v>
      </c>
      <c r="BG234" s="187">
        <v>1.953125E-3</v>
      </c>
      <c r="BH234" s="187">
        <v>0.9697265625</v>
      </c>
      <c r="BI234" s="187">
        <v>23041.599999999999</v>
      </c>
      <c r="BU234" s="187">
        <v>3.90625E-3</v>
      </c>
      <c r="BV234" s="187">
        <v>0.966796875</v>
      </c>
      <c r="BW234" s="187">
        <v>78.334812903225796</v>
      </c>
    </row>
    <row r="235" spans="31:75" x14ac:dyDescent="0.2">
      <c r="AE235" s="187">
        <v>3.90625E-3</v>
      </c>
      <c r="AF235" s="187">
        <v>0.970703125</v>
      </c>
      <c r="AG235" s="187">
        <v>24.064454523870968</v>
      </c>
      <c r="AS235" s="187">
        <v>3.90625E-3</v>
      </c>
      <c r="AT235" s="187">
        <v>0.9736328125</v>
      </c>
      <c r="AU235" s="187">
        <v>47.336612104258066</v>
      </c>
      <c r="BG235" s="187">
        <v>1.953125E-3</v>
      </c>
      <c r="BH235" s="187">
        <v>0.9716796875</v>
      </c>
      <c r="BI235" s="187">
        <v>23041.599999999999</v>
      </c>
      <c r="BU235" s="187">
        <v>3.90625E-3</v>
      </c>
      <c r="BV235" s="187">
        <v>0.970703125</v>
      </c>
      <c r="BW235" s="187">
        <v>78.334812903225796</v>
      </c>
    </row>
    <row r="236" spans="31:75" x14ac:dyDescent="0.2">
      <c r="AE236" s="187">
        <v>3.90625E-3</v>
      </c>
      <c r="AF236" s="187">
        <v>0.974609375</v>
      </c>
      <c r="AG236" s="187">
        <v>25.397255082116128</v>
      </c>
      <c r="AS236" s="187">
        <v>1.953125E-3</v>
      </c>
      <c r="AT236" s="187">
        <v>0.9755859375</v>
      </c>
      <c r="AU236" s="187">
        <v>48.435353851045157</v>
      </c>
      <c r="BG236" s="187">
        <v>3.90625E-3</v>
      </c>
      <c r="BH236" s="187">
        <v>0.9755859375</v>
      </c>
      <c r="BI236" s="187">
        <v>23521.599999999999</v>
      </c>
      <c r="BU236" s="187">
        <v>3.90625E-3</v>
      </c>
      <c r="BV236" s="187">
        <v>0.974609375</v>
      </c>
      <c r="BW236" s="187">
        <v>82.67335638709676</v>
      </c>
    </row>
    <row r="237" spans="31:75" x14ac:dyDescent="0.2">
      <c r="AE237" s="187">
        <v>1.953125E-3</v>
      </c>
      <c r="AF237" s="187">
        <v>0.9765625</v>
      </c>
      <c r="AG237" s="187">
        <v>25.74615595602581</v>
      </c>
      <c r="AS237" s="187">
        <v>1.953125E-3</v>
      </c>
      <c r="AT237" s="187">
        <v>0.9775390625</v>
      </c>
      <c r="AU237" s="187">
        <v>49.168726267045166</v>
      </c>
      <c r="BG237" s="187">
        <v>3.90625E-3</v>
      </c>
      <c r="BH237" s="187">
        <v>0.9794921875</v>
      </c>
      <c r="BI237" s="187">
        <v>23521.599999999999</v>
      </c>
      <c r="BU237" s="187">
        <v>1.953125E-3</v>
      </c>
      <c r="BV237" s="187">
        <v>0.9765625</v>
      </c>
      <c r="BW237" s="187">
        <v>83.809101419354846</v>
      </c>
    </row>
    <row r="238" spans="31:75" x14ac:dyDescent="0.2">
      <c r="AE238" s="187">
        <v>3.90625E-3</v>
      </c>
      <c r="AF238" s="187">
        <v>0.98046875</v>
      </c>
      <c r="AG238" s="187">
        <v>25.915566410322583</v>
      </c>
      <c r="AS238" s="187">
        <v>3.90625E-3</v>
      </c>
      <c r="AT238" s="187">
        <v>0.9814453125</v>
      </c>
      <c r="AU238" s="187">
        <v>52.545991898012907</v>
      </c>
      <c r="BG238" s="187">
        <v>1.953125E-3</v>
      </c>
      <c r="BH238" s="187">
        <v>0.9814453125</v>
      </c>
      <c r="BI238" s="187">
        <v>23680.799999999999</v>
      </c>
      <c r="BU238" s="187">
        <v>3.90625E-3</v>
      </c>
      <c r="BV238" s="187">
        <v>0.98046875</v>
      </c>
      <c r="BW238" s="187">
        <v>84.360567741935483</v>
      </c>
    </row>
    <row r="239" spans="31:75" x14ac:dyDescent="0.2">
      <c r="AE239" s="187">
        <v>3.90625E-3</v>
      </c>
      <c r="AF239" s="187">
        <v>0.984375</v>
      </c>
      <c r="AG239" s="187">
        <v>25.915566410322583</v>
      </c>
      <c r="AS239" s="187">
        <v>3.90625E-3</v>
      </c>
      <c r="AT239" s="187">
        <v>0.9853515625</v>
      </c>
      <c r="AU239" s="187">
        <v>53.624106453058069</v>
      </c>
      <c r="BG239" s="187">
        <v>9.765625E-4</v>
      </c>
      <c r="BH239" s="187">
        <v>0.982421875</v>
      </c>
      <c r="BI239" s="187">
        <v>23681.599999999999</v>
      </c>
      <c r="BU239" s="187">
        <v>3.90625E-3</v>
      </c>
      <c r="BV239" s="187">
        <v>0.984375</v>
      </c>
      <c r="BW239" s="187">
        <v>84.360567741935483</v>
      </c>
    </row>
    <row r="240" spans="31:75" x14ac:dyDescent="0.2">
      <c r="AE240" s="187">
        <v>1.953125E-3</v>
      </c>
      <c r="AF240" s="187">
        <v>0.986328125</v>
      </c>
      <c r="AG240" s="187">
        <v>26.193233193290322</v>
      </c>
      <c r="AS240" s="187">
        <v>3.90625E-3</v>
      </c>
      <c r="AT240" s="187">
        <v>0.9892578125</v>
      </c>
      <c r="AU240" s="187">
        <v>56.836191397161294</v>
      </c>
      <c r="BG240" s="187">
        <v>9.765625E-4</v>
      </c>
      <c r="BH240" s="187">
        <v>0.9833984375</v>
      </c>
      <c r="BI240" s="187">
        <v>23681.599999999999</v>
      </c>
      <c r="BU240" s="187">
        <v>1.953125E-3</v>
      </c>
      <c r="BV240" s="187">
        <v>0.986328125</v>
      </c>
      <c r="BW240" s="187">
        <v>85.26443096774193</v>
      </c>
    </row>
    <row r="241" spans="31:75" x14ac:dyDescent="0.2">
      <c r="AE241" s="187">
        <v>3.90625E-3</v>
      </c>
      <c r="AF241" s="187">
        <v>0.990234375</v>
      </c>
      <c r="AG241" s="187">
        <v>30.358234937806451</v>
      </c>
      <c r="AS241" s="187">
        <v>9.765625E-4</v>
      </c>
      <c r="AT241" s="187">
        <v>0.990234375</v>
      </c>
      <c r="AU241" s="187">
        <v>59.856058883303227</v>
      </c>
      <c r="BG241" s="187">
        <v>3.90625E-3</v>
      </c>
      <c r="BH241" s="187">
        <v>0.9873046875</v>
      </c>
      <c r="BI241" s="187">
        <v>24641.599999999999</v>
      </c>
      <c r="BU241" s="187">
        <v>3.90625E-3</v>
      </c>
      <c r="BV241" s="187">
        <v>0.990234375</v>
      </c>
      <c r="BW241" s="187">
        <v>98.822379354838702</v>
      </c>
    </row>
    <row r="242" spans="31:75" x14ac:dyDescent="0.2">
      <c r="AE242" s="187">
        <v>1.953125E-3</v>
      </c>
      <c r="AF242" s="187">
        <v>0.9921875</v>
      </c>
      <c r="AG242" s="187">
        <v>33.690236333419357</v>
      </c>
      <c r="AS242" s="187">
        <v>9.765625E-4</v>
      </c>
      <c r="AT242" s="187">
        <v>0.9912109375</v>
      </c>
      <c r="AU242" s="187">
        <v>60.805282624412918</v>
      </c>
      <c r="BG242" s="187">
        <v>3.90625E-3</v>
      </c>
      <c r="BH242" s="187">
        <v>0.9912109375</v>
      </c>
      <c r="BI242" s="187">
        <v>24961.599999999999</v>
      </c>
      <c r="BU242" s="187">
        <v>1.953125E-3</v>
      </c>
      <c r="BV242" s="187">
        <v>0.9921875</v>
      </c>
      <c r="BW242" s="187">
        <v>109.66873806451612</v>
      </c>
    </row>
    <row r="243" spans="31:75" x14ac:dyDescent="0.2">
      <c r="AE243" s="187">
        <v>1.953125E-3</v>
      </c>
      <c r="AF243" s="187">
        <v>0.994140625</v>
      </c>
      <c r="AG243" s="187">
        <v>33.690236333419357</v>
      </c>
      <c r="AS243" s="187">
        <v>1.953125E-3</v>
      </c>
      <c r="AT243" s="187">
        <v>0.9931640625</v>
      </c>
      <c r="AU243" s="187">
        <v>63.803544001238713</v>
      </c>
      <c r="BG243" s="187">
        <v>1.953125E-3</v>
      </c>
      <c r="BH243" s="187">
        <v>0.9931640625</v>
      </c>
      <c r="BI243" s="187">
        <v>27521.599999999999</v>
      </c>
      <c r="BU243" s="187">
        <v>1.953125E-3</v>
      </c>
      <c r="BV243" s="187">
        <v>0.994140625</v>
      </c>
      <c r="BW243" s="187">
        <v>109.66873806451612</v>
      </c>
    </row>
    <row r="244" spans="31:75" x14ac:dyDescent="0.2">
      <c r="AE244" s="187">
        <v>1.953125E-3</v>
      </c>
      <c r="AF244" s="187">
        <v>0.99609375</v>
      </c>
      <c r="AG244" s="187">
        <v>35.911570597161287</v>
      </c>
      <c r="AS244" s="187">
        <v>1.953125E-3</v>
      </c>
      <c r="AT244" s="187">
        <v>0.9951171875</v>
      </c>
      <c r="AU244" s="187">
        <v>66.268458453058059</v>
      </c>
      <c r="BG244" s="187">
        <v>1.953125E-3</v>
      </c>
      <c r="BH244" s="187">
        <v>0.9951171875</v>
      </c>
      <c r="BI244" s="187">
        <v>27521.599999999999</v>
      </c>
      <c r="BU244" s="187">
        <v>1.953125E-3</v>
      </c>
      <c r="BV244" s="187">
        <v>0.99609375</v>
      </c>
      <c r="BW244" s="187">
        <v>116.89964387096772</v>
      </c>
    </row>
    <row r="245" spans="31:75" x14ac:dyDescent="0.2">
      <c r="AE245" s="187">
        <v>9.765625E-4</v>
      </c>
      <c r="AF245" s="187">
        <v>0.9970703125</v>
      </c>
      <c r="AG245" s="187">
        <v>36.670526470606447</v>
      </c>
      <c r="AS245" s="187">
        <v>1.953125E-3</v>
      </c>
      <c r="AT245" s="187">
        <v>0.9970703125</v>
      </c>
      <c r="AU245" s="187">
        <v>70.23803913909677</v>
      </c>
      <c r="BG245" s="187">
        <v>1.953125E-3</v>
      </c>
      <c r="BH245" s="187">
        <v>0.9970703125</v>
      </c>
      <c r="BI245" s="187">
        <v>27641.599999999999</v>
      </c>
      <c r="BU245" s="187">
        <v>9.765625E-4</v>
      </c>
      <c r="BV245" s="187">
        <v>0.9970703125</v>
      </c>
      <c r="BW245" s="187">
        <v>119.37020335483868</v>
      </c>
    </row>
    <row r="246" spans="31:75" x14ac:dyDescent="0.2">
      <c r="AE246" s="187">
        <v>1.953125E-3</v>
      </c>
      <c r="AF246" s="187">
        <v>0.9990234375</v>
      </c>
      <c r="AG246" s="187">
        <v>42.501528912929032</v>
      </c>
      <c r="AS246" s="187">
        <v>1.953125E-3</v>
      </c>
      <c r="AT246" s="187">
        <v>0.9990234375</v>
      </c>
      <c r="AU246" s="187">
        <v>79.567869463122577</v>
      </c>
      <c r="BG246" s="187">
        <v>1.953125E-3</v>
      </c>
      <c r="BH246" s="187">
        <v>0.9990234375</v>
      </c>
      <c r="BI246" s="187">
        <v>28641.599999999999</v>
      </c>
      <c r="BU246" s="187">
        <v>1.953125E-3</v>
      </c>
      <c r="BV246" s="187">
        <v>0.9990234375</v>
      </c>
      <c r="BW246" s="187">
        <v>138.35133109677417</v>
      </c>
    </row>
    <row r="247" spans="31:75" x14ac:dyDescent="0.2">
      <c r="AE247" s="187">
        <v>9.765625E-4</v>
      </c>
      <c r="AF247" s="187">
        <v>1</v>
      </c>
      <c r="AG247" s="187">
        <v>50.276198836025813</v>
      </c>
      <c r="AS247" s="187">
        <v>9.765625E-4</v>
      </c>
      <c r="AT247" s="187">
        <v>1</v>
      </c>
      <c r="AU247" s="187">
        <v>98.330456301832257</v>
      </c>
      <c r="BG247" s="187">
        <v>9.765625E-4</v>
      </c>
      <c r="BH247" s="187">
        <v>1</v>
      </c>
      <c r="BI247" s="187">
        <v>32641.599999999999</v>
      </c>
      <c r="BU247" s="187">
        <v>9.765625E-4</v>
      </c>
      <c r="BV247" s="187">
        <v>1</v>
      </c>
      <c r="BW247" s="187">
        <v>163.65950141935485</v>
      </c>
    </row>
  </sheetData>
  <mergeCells count="20">
    <mergeCell ref="EC2:EO2"/>
    <mergeCell ref="EM3:EO3"/>
    <mergeCell ref="EQ2:FC2"/>
    <mergeCell ref="FA3:FC3"/>
    <mergeCell ref="CM2:CY2"/>
    <mergeCell ref="CW3:CY3"/>
    <mergeCell ref="DA2:DM2"/>
    <mergeCell ref="DK3:DM3"/>
    <mergeCell ref="DO2:EA2"/>
    <mergeCell ref="DY3:EA3"/>
    <mergeCell ref="CI3:CK3"/>
    <mergeCell ref="AI2:AU2"/>
    <mergeCell ref="AS3:AU3"/>
    <mergeCell ref="AE3:AG3"/>
    <mergeCell ref="U2:AG2"/>
    <mergeCell ref="AW2:BI2"/>
    <mergeCell ref="BG3:BI3"/>
    <mergeCell ref="BK2:BW2"/>
    <mergeCell ref="BU3:BW3"/>
    <mergeCell ref="BY2:CK2"/>
  </mergeCells>
  <dataValidations disablePrompts="1" count="1">
    <dataValidation type="list" allowBlank="1" showInputMessage="1" showErrorMessage="1" sqref="C2" xr:uid="{8051957F-CA3D-9C42-8EC7-46E3064F9816}">
      <formula1>$S$3:$S$12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3" name="Button 10">
              <controlPr defaultSize="0" print="0" autoFill="0" autoPict="0" macro="[0]!UpdateTornado">
                <anchor moveWithCells="1" sizeWithCells="1">
                  <from>
                    <xdr:col>0</xdr:col>
                    <xdr:colOff>939800</xdr:colOff>
                    <xdr:row>2</xdr:row>
                    <xdr:rowOff>25400</xdr:rowOff>
                  </from>
                  <to>
                    <xdr:col>2</xdr:col>
                    <xdr:colOff>1308100</xdr:colOff>
                    <xdr:row>4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74"/>
  <sheetViews>
    <sheetView zoomScale="120" zoomScaleNormal="120" workbookViewId="0">
      <selection activeCell="U5" sqref="U5:AD33"/>
    </sheetView>
  </sheetViews>
  <sheetFormatPr baseColWidth="10" defaultRowHeight="14" x14ac:dyDescent="0.2"/>
  <cols>
    <col min="1" max="1" width="5.42578125" style="184" customWidth="1"/>
    <col min="2" max="2" width="7" style="184" bestFit="1" customWidth="1"/>
    <col min="3" max="3" width="47.7109375" style="261" customWidth="1"/>
    <col min="4" max="4" width="10.7109375" style="184"/>
    <col min="5" max="5" width="51.42578125" style="261" customWidth="1"/>
    <col min="6" max="16384" width="10.7109375" style="184"/>
  </cols>
  <sheetData>
    <row r="1" spans="1:10" ht="15" x14ac:dyDescent="0.2">
      <c r="C1" s="241"/>
      <c r="D1" s="242" t="s">
        <v>62</v>
      </c>
      <c r="E1" s="270" t="s">
        <v>63</v>
      </c>
      <c r="F1" s="243" t="s">
        <v>64</v>
      </c>
      <c r="G1" s="243" t="s">
        <v>65</v>
      </c>
      <c r="H1" s="242" t="s">
        <v>67</v>
      </c>
      <c r="I1" s="244" t="s">
        <v>11</v>
      </c>
      <c r="J1" s="244"/>
    </row>
    <row r="2" spans="1:10" ht="15" x14ac:dyDescent="0.2">
      <c r="C2" s="245" t="s">
        <v>4</v>
      </c>
      <c r="D2" s="246">
        <f>D8</f>
        <v>1</v>
      </c>
      <c r="E2" s="271">
        <f>D13</f>
        <v>1</v>
      </c>
      <c r="F2" s="246">
        <f>D17</f>
        <v>1</v>
      </c>
      <c r="G2" s="246">
        <f>D23</f>
        <v>1</v>
      </c>
      <c r="H2" s="247">
        <f>D2*E2*F2*G2</f>
        <v>1</v>
      </c>
      <c r="I2" s="248" t="s">
        <v>40</v>
      </c>
      <c r="J2" s="249"/>
    </row>
    <row r="3" spans="1:10" ht="15" x14ac:dyDescent="0.2">
      <c r="C3" s="250" t="s">
        <v>0</v>
      </c>
      <c r="D3" s="251">
        <f>D28</f>
        <v>0.8</v>
      </c>
      <c r="E3" s="272">
        <f>D28</f>
        <v>0.8</v>
      </c>
      <c r="F3" s="252">
        <f>D39</f>
        <v>0.8</v>
      </c>
      <c r="G3" s="252">
        <f>D44</f>
        <v>0.8</v>
      </c>
      <c r="H3" s="253">
        <f t="shared" ref="H3:H4" si="0">D3*E3*F3*G3</f>
        <v>0.40960000000000013</v>
      </c>
      <c r="I3" s="238" t="s">
        <v>24</v>
      </c>
      <c r="J3" s="254"/>
    </row>
    <row r="4" spans="1:10" ht="15" x14ac:dyDescent="0.2">
      <c r="C4" s="255" t="s">
        <v>68</v>
      </c>
      <c r="D4" s="256">
        <f>D50</f>
        <v>0.7</v>
      </c>
      <c r="E4" s="273">
        <f>D55</f>
        <v>0.75</v>
      </c>
      <c r="F4" s="257">
        <f>D59</f>
        <v>0.7</v>
      </c>
      <c r="G4" s="257">
        <f>D65</f>
        <v>0.8</v>
      </c>
      <c r="H4" s="258">
        <f t="shared" si="0"/>
        <v>0.29399999999999998</v>
      </c>
      <c r="I4" s="259" t="s">
        <v>41</v>
      </c>
      <c r="J4" s="260"/>
    </row>
    <row r="7" spans="1:10" x14ac:dyDescent="0.2">
      <c r="A7" s="184" t="s">
        <v>4</v>
      </c>
      <c r="D7" s="262"/>
    </row>
    <row r="8" spans="1:10" s="275" customFormat="1" ht="15" x14ac:dyDescent="0.2">
      <c r="B8" s="276" t="s">
        <v>62</v>
      </c>
      <c r="C8" s="277"/>
      <c r="D8" s="278">
        <v>1</v>
      </c>
      <c r="E8" s="277" t="s">
        <v>191</v>
      </c>
    </row>
    <row r="9" spans="1:10" ht="16" x14ac:dyDescent="0.2">
      <c r="C9" s="263" t="s">
        <v>188</v>
      </c>
      <c r="D9" s="262"/>
      <c r="E9" s="274" t="s">
        <v>192</v>
      </c>
    </row>
    <row r="10" spans="1:10" ht="31" x14ac:dyDescent="0.2">
      <c r="C10" s="263" t="s">
        <v>189</v>
      </c>
      <c r="D10" s="262"/>
    </row>
    <row r="11" spans="1:10" ht="46" x14ac:dyDescent="0.2">
      <c r="C11" s="263" t="s">
        <v>190</v>
      </c>
      <c r="D11" s="262"/>
    </row>
    <row r="12" spans="1:10" x14ac:dyDescent="0.2">
      <c r="C12" s="264"/>
      <c r="D12" s="262"/>
    </row>
    <row r="13" spans="1:10" s="275" customFormat="1" ht="15" x14ac:dyDescent="0.2">
      <c r="B13" s="276" t="s">
        <v>63</v>
      </c>
      <c r="C13" s="277"/>
      <c r="D13" s="278">
        <v>1</v>
      </c>
      <c r="E13" s="277" t="s">
        <v>191</v>
      </c>
    </row>
    <row r="14" spans="1:10" ht="16" x14ac:dyDescent="0.2">
      <c r="C14" s="263" t="s">
        <v>193</v>
      </c>
      <c r="E14" s="274" t="s">
        <v>195</v>
      </c>
    </row>
    <row r="15" spans="1:10" ht="16" x14ac:dyDescent="0.2">
      <c r="C15" s="263" t="s">
        <v>194</v>
      </c>
      <c r="D15" s="262"/>
    </row>
    <row r="16" spans="1:10" x14ac:dyDescent="0.2">
      <c r="C16" s="264"/>
      <c r="D16" s="262"/>
    </row>
    <row r="17" spans="1:5" s="275" customFormat="1" ht="15" x14ac:dyDescent="0.2">
      <c r="B17" s="276" t="s">
        <v>64</v>
      </c>
      <c r="C17" s="277"/>
      <c r="D17" s="278">
        <v>1</v>
      </c>
      <c r="E17" s="277" t="s">
        <v>191</v>
      </c>
    </row>
    <row r="18" spans="1:5" ht="31" x14ac:dyDescent="0.2">
      <c r="C18" s="263" t="s">
        <v>196</v>
      </c>
      <c r="D18" s="262"/>
      <c r="E18" s="274" t="s">
        <v>200</v>
      </c>
    </row>
    <row r="19" spans="1:5" ht="16" x14ac:dyDescent="0.2">
      <c r="C19" s="263" t="s">
        <v>197</v>
      </c>
      <c r="D19" s="262"/>
    </row>
    <row r="20" spans="1:5" ht="16" x14ac:dyDescent="0.2">
      <c r="C20" s="263" t="s">
        <v>198</v>
      </c>
      <c r="D20" s="262"/>
    </row>
    <row r="21" spans="1:5" ht="16" x14ac:dyDescent="0.2">
      <c r="B21" s="186"/>
      <c r="C21" s="266" t="s">
        <v>199</v>
      </c>
      <c r="D21" s="265"/>
    </row>
    <row r="22" spans="1:5" ht="15" x14ac:dyDescent="0.2">
      <c r="B22" s="186"/>
      <c r="C22" s="266"/>
      <c r="D22" s="265"/>
    </row>
    <row r="23" spans="1:5" s="275" customFormat="1" ht="15" x14ac:dyDescent="0.2">
      <c r="B23" s="276" t="s">
        <v>65</v>
      </c>
      <c r="C23" s="277"/>
      <c r="D23" s="278">
        <v>1</v>
      </c>
      <c r="E23" s="277" t="s">
        <v>191</v>
      </c>
    </row>
    <row r="24" spans="1:5" ht="16" x14ac:dyDescent="0.2">
      <c r="C24" s="263" t="s">
        <v>201</v>
      </c>
      <c r="D24" s="262"/>
      <c r="E24" s="274" t="s">
        <v>203</v>
      </c>
    </row>
    <row r="25" spans="1:5" ht="16" x14ac:dyDescent="0.2">
      <c r="C25" s="263" t="s">
        <v>202</v>
      </c>
      <c r="D25" s="262"/>
    </row>
    <row r="26" spans="1:5" x14ac:dyDescent="0.2">
      <c r="C26" s="264"/>
      <c r="D26" s="262"/>
    </row>
    <row r="27" spans="1:5" x14ac:dyDescent="0.2">
      <c r="A27" s="184" t="s">
        <v>0</v>
      </c>
      <c r="D27" s="262"/>
    </row>
    <row r="28" spans="1:5" s="275" customFormat="1" ht="15" x14ac:dyDescent="0.2">
      <c r="B28" s="276" t="s">
        <v>62</v>
      </c>
      <c r="C28" s="277" t="s">
        <v>229</v>
      </c>
      <c r="D28" s="278">
        <v>0.8</v>
      </c>
      <c r="E28" s="277" t="s">
        <v>191</v>
      </c>
    </row>
    <row r="29" spans="1:5" ht="16" x14ac:dyDescent="0.2">
      <c r="C29" s="267" t="s">
        <v>204</v>
      </c>
      <c r="D29" s="262"/>
      <c r="E29" s="274" t="s">
        <v>227</v>
      </c>
    </row>
    <row r="30" spans="1:5" ht="31" customHeight="1" x14ac:dyDescent="0.2">
      <c r="C30" s="267" t="s">
        <v>226</v>
      </c>
      <c r="D30" s="262"/>
      <c r="E30" s="274" t="s">
        <v>228</v>
      </c>
    </row>
    <row r="31" spans="1:5" ht="16" x14ac:dyDescent="0.2">
      <c r="B31" s="186"/>
      <c r="C31" s="268" t="s">
        <v>225</v>
      </c>
      <c r="D31" s="265"/>
      <c r="E31" s="241"/>
    </row>
    <row r="32" spans="1:5" ht="16" x14ac:dyDescent="0.2">
      <c r="B32" s="186"/>
      <c r="C32" s="268" t="s">
        <v>205</v>
      </c>
      <c r="D32" s="265"/>
      <c r="E32" s="241"/>
    </row>
    <row r="33" spans="2:5" ht="15" x14ac:dyDescent="0.2">
      <c r="B33" s="186"/>
      <c r="C33" s="268"/>
      <c r="D33" s="265"/>
      <c r="E33" s="241"/>
    </row>
    <row r="34" spans="2:5" s="275" customFormat="1" ht="15" x14ac:dyDescent="0.2">
      <c r="B34" s="276" t="s">
        <v>63</v>
      </c>
      <c r="C34" s="277" t="s">
        <v>229</v>
      </c>
      <c r="D34" s="278">
        <v>0.6</v>
      </c>
      <c r="E34" s="277" t="s">
        <v>191</v>
      </c>
    </row>
    <row r="35" spans="2:5" ht="31" x14ac:dyDescent="0.2">
      <c r="C35" s="269" t="s">
        <v>206</v>
      </c>
      <c r="D35" s="262"/>
      <c r="E35" s="274" t="s">
        <v>230</v>
      </c>
    </row>
    <row r="36" spans="2:5" ht="46" x14ac:dyDescent="0.2">
      <c r="C36" s="269" t="s">
        <v>207</v>
      </c>
      <c r="D36" s="262"/>
    </row>
    <row r="37" spans="2:5" ht="16" x14ac:dyDescent="0.2">
      <c r="C37" s="269" t="s">
        <v>208</v>
      </c>
      <c r="D37" s="262"/>
    </row>
    <row r="38" spans="2:5" x14ac:dyDescent="0.2">
      <c r="D38" s="262"/>
    </row>
    <row r="39" spans="2:5" s="275" customFormat="1" ht="15" x14ac:dyDescent="0.2">
      <c r="B39" s="276" t="s">
        <v>64</v>
      </c>
      <c r="C39" s="277" t="s">
        <v>229</v>
      </c>
      <c r="D39" s="278">
        <v>0.8</v>
      </c>
      <c r="E39" s="277" t="s">
        <v>191</v>
      </c>
    </row>
    <row r="40" spans="2:5" ht="16" x14ac:dyDescent="0.2">
      <c r="C40" s="269" t="s">
        <v>209</v>
      </c>
      <c r="D40" s="262"/>
      <c r="E40" s="261" t="s">
        <v>231</v>
      </c>
    </row>
    <row r="41" spans="2:5" ht="45" x14ac:dyDescent="0.2">
      <c r="C41" s="269" t="s">
        <v>210</v>
      </c>
      <c r="D41" s="262"/>
      <c r="E41" s="274" t="s">
        <v>232</v>
      </c>
    </row>
    <row r="42" spans="2:5" ht="16" x14ac:dyDescent="0.2">
      <c r="C42" s="269" t="s">
        <v>211</v>
      </c>
      <c r="D42" s="262"/>
    </row>
    <row r="43" spans="2:5" ht="15" x14ac:dyDescent="0.2">
      <c r="C43" s="269"/>
      <c r="D43" s="262"/>
    </row>
    <row r="44" spans="2:5" s="275" customFormat="1" ht="15" x14ac:dyDescent="0.2">
      <c r="B44" s="276" t="s">
        <v>65</v>
      </c>
      <c r="C44" s="277" t="s">
        <v>229</v>
      </c>
      <c r="D44" s="278">
        <v>0.8</v>
      </c>
      <c r="E44" s="277" t="s">
        <v>191</v>
      </c>
    </row>
    <row r="45" spans="2:5" ht="31" x14ac:dyDescent="0.2">
      <c r="C45" s="269" t="s">
        <v>212</v>
      </c>
      <c r="D45" s="262"/>
      <c r="E45" s="261" t="s">
        <v>233</v>
      </c>
    </row>
    <row r="46" spans="2:5" ht="31" x14ac:dyDescent="0.2">
      <c r="C46" s="269" t="s">
        <v>213</v>
      </c>
      <c r="D46" s="262"/>
      <c r="E46" s="274" t="s">
        <v>234</v>
      </c>
    </row>
    <row r="47" spans="2:5" x14ac:dyDescent="0.2">
      <c r="D47" s="262"/>
    </row>
    <row r="48" spans="2:5" x14ac:dyDescent="0.2">
      <c r="D48" s="262"/>
    </row>
    <row r="49" spans="1:5" x14ac:dyDescent="0.2">
      <c r="A49" s="184" t="s">
        <v>68</v>
      </c>
      <c r="D49" s="262"/>
    </row>
    <row r="50" spans="1:5" s="275" customFormat="1" ht="15" x14ac:dyDescent="0.2">
      <c r="B50" s="276" t="s">
        <v>62</v>
      </c>
      <c r="C50" s="277" t="s">
        <v>229</v>
      </c>
      <c r="D50" s="278">
        <v>0.7</v>
      </c>
      <c r="E50" s="277" t="s">
        <v>191</v>
      </c>
    </row>
    <row r="51" spans="1:5" ht="30" x14ac:dyDescent="0.2">
      <c r="C51" s="267" t="s">
        <v>214</v>
      </c>
      <c r="D51" s="262"/>
      <c r="E51" s="274" t="s">
        <v>235</v>
      </c>
    </row>
    <row r="52" spans="1:5" ht="16" x14ac:dyDescent="0.2">
      <c r="C52" s="267" t="s">
        <v>215</v>
      </c>
      <c r="D52" s="262"/>
    </row>
    <row r="53" spans="1:5" ht="16" x14ac:dyDescent="0.2">
      <c r="C53" s="267" t="s">
        <v>216</v>
      </c>
      <c r="D53" s="262"/>
    </row>
    <row r="54" spans="1:5" x14ac:dyDescent="0.2">
      <c r="B54" s="186"/>
      <c r="C54" s="241"/>
      <c r="D54" s="265"/>
    </row>
    <row r="55" spans="1:5" s="275" customFormat="1" ht="15" x14ac:dyDescent="0.2">
      <c r="B55" s="276" t="s">
        <v>63</v>
      </c>
      <c r="C55" s="277" t="s">
        <v>229</v>
      </c>
      <c r="D55" s="278">
        <v>0.75</v>
      </c>
      <c r="E55" s="277" t="s">
        <v>191</v>
      </c>
    </row>
    <row r="56" spans="1:5" ht="31" x14ac:dyDescent="0.2">
      <c r="C56" s="267" t="s">
        <v>217</v>
      </c>
      <c r="E56" s="274" t="s">
        <v>236</v>
      </c>
    </row>
    <row r="57" spans="1:5" ht="30" x14ac:dyDescent="0.2">
      <c r="C57" s="267" t="s">
        <v>218</v>
      </c>
      <c r="D57" s="262"/>
      <c r="E57" s="274" t="s">
        <v>237</v>
      </c>
    </row>
    <row r="58" spans="1:5" ht="15" x14ac:dyDescent="0.2">
      <c r="C58" s="267"/>
      <c r="D58" s="262"/>
    </row>
    <row r="59" spans="1:5" s="275" customFormat="1" ht="15" x14ac:dyDescent="0.2">
      <c r="B59" s="276" t="s">
        <v>64</v>
      </c>
      <c r="C59" s="277" t="s">
        <v>229</v>
      </c>
      <c r="D59" s="278">
        <v>0.7</v>
      </c>
      <c r="E59" s="277" t="s">
        <v>191</v>
      </c>
    </row>
    <row r="60" spans="1:5" ht="30" x14ac:dyDescent="0.2">
      <c r="C60" s="269" t="s">
        <v>219</v>
      </c>
      <c r="D60" s="262"/>
      <c r="E60" s="274" t="s">
        <v>238</v>
      </c>
    </row>
    <row r="61" spans="1:5" ht="30" x14ac:dyDescent="0.2">
      <c r="C61" s="269" t="s">
        <v>220</v>
      </c>
      <c r="D61" s="262"/>
      <c r="E61" s="274" t="s">
        <v>239</v>
      </c>
    </row>
    <row r="62" spans="1:5" ht="16" x14ac:dyDescent="0.2">
      <c r="C62" s="269" t="s">
        <v>221</v>
      </c>
      <c r="D62" s="262"/>
    </row>
    <row r="63" spans="1:5" ht="16" x14ac:dyDescent="0.2">
      <c r="C63" s="269" t="s">
        <v>222</v>
      </c>
      <c r="D63" s="262"/>
    </row>
    <row r="64" spans="1:5" ht="15" x14ac:dyDescent="0.2">
      <c r="C64" s="269"/>
      <c r="D64" s="262"/>
    </row>
    <row r="65" spans="2:5" s="275" customFormat="1" ht="16" customHeight="1" x14ac:dyDescent="0.2">
      <c r="B65" s="276" t="s">
        <v>65</v>
      </c>
      <c r="C65" s="277" t="s">
        <v>229</v>
      </c>
      <c r="D65" s="278">
        <v>0.8</v>
      </c>
      <c r="E65" s="277" t="s">
        <v>191</v>
      </c>
    </row>
    <row r="66" spans="2:5" ht="30" x14ac:dyDescent="0.2">
      <c r="C66" s="269" t="s">
        <v>223</v>
      </c>
      <c r="E66" s="274" t="s">
        <v>240</v>
      </c>
    </row>
    <row r="67" spans="2:5" ht="16" x14ac:dyDescent="0.2">
      <c r="C67" s="269" t="s">
        <v>224</v>
      </c>
      <c r="D67" s="262"/>
    </row>
    <row r="68" spans="2:5" x14ac:dyDescent="0.2">
      <c r="C68" s="264"/>
      <c r="D68" s="262"/>
    </row>
    <row r="69" spans="2:5" x14ac:dyDescent="0.2">
      <c r="D69" s="262"/>
    </row>
    <row r="70" spans="2:5" x14ac:dyDescent="0.2">
      <c r="D70" s="262"/>
    </row>
    <row r="71" spans="2:5" x14ac:dyDescent="0.2">
      <c r="D71" s="262"/>
    </row>
    <row r="72" spans="2:5" x14ac:dyDescent="0.2">
      <c r="D72" s="262"/>
    </row>
    <row r="73" spans="2:5" x14ac:dyDescent="0.2">
      <c r="D73" s="262"/>
    </row>
    <row r="74" spans="2:5" x14ac:dyDescent="0.2">
      <c r="D74" s="262"/>
    </row>
  </sheetData>
  <conditionalFormatting sqref="G1:G4">
    <cfRule type="expression" dxfId="3" priority="4" stopIfTrue="1">
      <formula>IF($G1=2, TRUE, FALSE)</formula>
    </cfRule>
  </conditionalFormatting>
  <conditionalFormatting sqref="F3:F4 F1">
    <cfRule type="expression" dxfId="2" priority="1" stopIfTrue="1">
      <formula>IF($G1=1, TRUE, FALSE)</formula>
    </cfRule>
  </conditionalFormatting>
  <conditionalFormatting sqref="H1:H4">
    <cfRule type="expression" dxfId="1" priority="2" stopIfTrue="1">
      <formula>IF($G1=3, TRUE, FALSE)</formula>
    </cfRule>
  </conditionalFormatting>
  <conditionalFormatting sqref="I1">
    <cfRule type="expression" dxfId="0" priority="3" stopIfTrue="1">
      <formula>IF($G1=4, TRUE, 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35EF3-FEBD-F542-91AA-396BCFD830FD}">
  <sheetPr codeName="Sheet6"/>
  <dimension ref="C2:T250"/>
  <sheetViews>
    <sheetView workbookViewId="0">
      <selection activeCell="T7" sqref="T7"/>
    </sheetView>
  </sheetViews>
  <sheetFormatPr baseColWidth="10" defaultRowHeight="14" x14ac:dyDescent="0.2"/>
  <cols>
    <col min="1" max="1" width="10.7109375" style="293"/>
    <col min="2" max="3" width="14.7109375" style="293" bestFit="1" customWidth="1"/>
    <col min="4" max="13" width="10.7109375" style="293"/>
    <col min="14" max="14" width="12.5703125" style="293" bestFit="1" customWidth="1"/>
    <col min="15" max="15" width="10.7109375" style="293"/>
    <col min="16" max="16" width="12" style="293" bestFit="1" customWidth="1"/>
    <col min="17" max="18" width="10.7109375" style="293"/>
    <col min="19" max="19" width="13" style="293" bestFit="1" customWidth="1"/>
    <col min="20" max="16384" width="10.7109375" style="293"/>
  </cols>
  <sheetData>
    <row r="2" spans="3:20" ht="19" x14ac:dyDescent="0.25">
      <c r="C2" s="291" t="s">
        <v>254</v>
      </c>
      <c r="D2" s="292">
        <f>SUMPRODUCT(R6:R250,T6:T250)</f>
        <v>7.6831290797419367</v>
      </c>
    </row>
    <row r="3" spans="3:20" x14ac:dyDescent="0.2">
      <c r="M3" s="294" t="s">
        <v>242</v>
      </c>
    </row>
    <row r="5" spans="3:20" x14ac:dyDescent="0.2">
      <c r="M5" s="349" t="s">
        <v>129</v>
      </c>
      <c r="N5" s="350"/>
      <c r="O5" s="351"/>
      <c r="P5" s="295"/>
      <c r="R5" s="296" t="s">
        <v>127</v>
      </c>
      <c r="S5" s="297" t="s">
        <v>128</v>
      </c>
      <c r="T5" s="298" t="s">
        <v>9</v>
      </c>
    </row>
    <row r="6" spans="3:20" x14ac:dyDescent="0.2">
      <c r="M6" s="299" t="s">
        <v>127</v>
      </c>
      <c r="N6" s="300" t="s">
        <v>128</v>
      </c>
      <c r="O6" s="301" t="s">
        <v>9</v>
      </c>
      <c r="P6" s="302" t="s">
        <v>255</v>
      </c>
      <c r="R6" s="293">
        <v>0</v>
      </c>
      <c r="S6" s="303">
        <v>0</v>
      </c>
      <c r="T6" s="304">
        <v>0</v>
      </c>
    </row>
    <row r="7" spans="3:20" x14ac:dyDescent="0.2">
      <c r="M7" s="305">
        <f>Tornado!BU5</f>
        <v>9.765625E-4</v>
      </c>
      <c r="N7" s="306">
        <f>Tornado!BV5</f>
        <v>9.765625E-4</v>
      </c>
      <c r="O7" s="307">
        <f>Tornado!BW5</f>
        <v>1.2292319999999997</v>
      </c>
      <c r="P7" s="308">
        <f t="shared" ref="P7:P70" si="0">pCrossChasm_total * N7</f>
        <v>3.0000000000000003E-4</v>
      </c>
      <c r="R7" s="293">
        <f>S7-S6</f>
        <v>0.69279999999999997</v>
      </c>
      <c r="S7" s="309">
        <f>1-pCrossChasm_total</f>
        <v>0.69279999999999997</v>
      </c>
      <c r="T7" s="308">
        <v>0</v>
      </c>
    </row>
    <row r="8" spans="3:20" x14ac:dyDescent="0.2">
      <c r="M8" s="309">
        <f>Tornado!BU6</f>
        <v>1.953125E-3</v>
      </c>
      <c r="N8" s="310">
        <f>Tornado!BV6</f>
        <v>2.9296875E-3</v>
      </c>
      <c r="O8" s="308">
        <f>Tornado!BW6</f>
        <v>1.7050637419354835</v>
      </c>
      <c r="P8" s="308">
        <f t="shared" si="0"/>
        <v>9.0000000000000008E-4</v>
      </c>
      <c r="R8" s="293">
        <f t="shared" ref="R8:R71" si="1">S8-S7</f>
        <v>2.9999999999996696E-4</v>
      </c>
      <c r="S8" s="309">
        <f>P7+$S$7</f>
        <v>0.69309999999999994</v>
      </c>
      <c r="T8" s="308">
        <f>O7</f>
        <v>1.2292319999999997</v>
      </c>
    </row>
    <row r="9" spans="3:20" x14ac:dyDescent="0.2">
      <c r="M9" s="309">
        <f>Tornado!BU7</f>
        <v>1.953125E-3</v>
      </c>
      <c r="N9" s="310">
        <f>Tornado!BV7</f>
        <v>4.8828125E-3</v>
      </c>
      <c r="O9" s="308">
        <f>Tornado!BW7</f>
        <v>1.7050637419354835</v>
      </c>
      <c r="P9" s="308">
        <f t="shared" si="0"/>
        <v>1.5E-3</v>
      </c>
      <c r="R9" s="293">
        <f t="shared" si="1"/>
        <v>6.0000000000004494E-4</v>
      </c>
      <c r="S9" s="309">
        <f t="shared" ref="S9:S72" si="2">P8+$S$7</f>
        <v>0.69369999999999998</v>
      </c>
      <c r="T9" s="308">
        <f t="shared" ref="T9:T72" si="3">O8</f>
        <v>1.7050637419354835</v>
      </c>
    </row>
    <row r="10" spans="3:20" x14ac:dyDescent="0.2">
      <c r="M10" s="309">
        <f>Tornado!BU8</f>
        <v>1.953125E-3</v>
      </c>
      <c r="N10" s="310">
        <f>Tornado!BV8</f>
        <v>6.8359375E-3</v>
      </c>
      <c r="O10" s="308">
        <f>Tornado!BW8</f>
        <v>2.0487199999999994</v>
      </c>
      <c r="P10" s="308">
        <f t="shared" si="0"/>
        <v>2.1000000000000003E-3</v>
      </c>
      <c r="R10" s="293">
        <f t="shared" si="1"/>
        <v>5.9999999999993392E-4</v>
      </c>
      <c r="S10" s="309">
        <f t="shared" si="2"/>
        <v>0.69429999999999992</v>
      </c>
      <c r="T10" s="308">
        <f t="shared" si="3"/>
        <v>1.7050637419354835</v>
      </c>
    </row>
    <row r="11" spans="3:20" x14ac:dyDescent="0.2">
      <c r="M11" s="309">
        <f>Tornado!BU9</f>
        <v>9.765625E-4</v>
      </c>
      <c r="N11" s="310">
        <f>Tornado!BV9</f>
        <v>7.8125E-3</v>
      </c>
      <c r="O11" s="308">
        <f>Tornado!BW9</f>
        <v>2.3395060645161285</v>
      </c>
      <c r="P11" s="308">
        <f t="shared" si="0"/>
        <v>2.4000000000000002E-3</v>
      </c>
      <c r="R11" s="293">
        <f t="shared" si="1"/>
        <v>6.0000000000004494E-4</v>
      </c>
      <c r="S11" s="309">
        <f t="shared" si="2"/>
        <v>0.69489999999999996</v>
      </c>
      <c r="T11" s="308">
        <f t="shared" si="3"/>
        <v>2.0487199999999994</v>
      </c>
    </row>
    <row r="12" spans="3:20" x14ac:dyDescent="0.2">
      <c r="M12" s="309">
        <f>Tornado!BU10</f>
        <v>9.765625E-4</v>
      </c>
      <c r="N12" s="310">
        <f>Tornado!BV10</f>
        <v>8.7890625E-3</v>
      </c>
      <c r="O12" s="308">
        <f>Tornado!BW10</f>
        <v>2.3395060645161285</v>
      </c>
      <c r="P12" s="308">
        <f t="shared" si="0"/>
        <v>2.7000000000000001E-3</v>
      </c>
      <c r="R12" s="293">
        <f t="shared" si="1"/>
        <v>2.9999999999996696E-4</v>
      </c>
      <c r="S12" s="309">
        <f t="shared" si="2"/>
        <v>0.69519999999999993</v>
      </c>
      <c r="T12" s="308">
        <f t="shared" si="3"/>
        <v>2.3395060645161285</v>
      </c>
    </row>
    <row r="13" spans="3:20" x14ac:dyDescent="0.2">
      <c r="M13" s="309">
        <f>Tornado!BU11</f>
        <v>3.90625E-3</v>
      </c>
      <c r="N13" s="310">
        <f>Tornado!BV11</f>
        <v>1.26953125E-2</v>
      </c>
      <c r="O13" s="308">
        <f>Tornado!BW11</f>
        <v>2.8417729032258059</v>
      </c>
      <c r="P13" s="308">
        <f t="shared" si="0"/>
        <v>3.9000000000000003E-3</v>
      </c>
      <c r="R13" s="293">
        <f t="shared" si="1"/>
        <v>3.0000000000007798E-4</v>
      </c>
      <c r="S13" s="309">
        <f t="shared" si="2"/>
        <v>0.69550000000000001</v>
      </c>
      <c r="T13" s="308">
        <f t="shared" si="3"/>
        <v>2.3395060645161285</v>
      </c>
    </row>
    <row r="14" spans="3:20" x14ac:dyDescent="0.2">
      <c r="M14" s="309">
        <f>Tornado!BU12</f>
        <v>3.90625E-3</v>
      </c>
      <c r="N14" s="310">
        <f>Tornado!BV12</f>
        <v>1.66015625E-2</v>
      </c>
      <c r="O14" s="308">
        <f>Tornado!BW12</f>
        <v>2.8417729032258059</v>
      </c>
      <c r="P14" s="308">
        <f t="shared" si="0"/>
        <v>5.1000000000000004E-3</v>
      </c>
      <c r="R14" s="293">
        <f t="shared" si="1"/>
        <v>1.1999999999999789E-3</v>
      </c>
      <c r="S14" s="309">
        <f t="shared" si="2"/>
        <v>0.69669999999999999</v>
      </c>
      <c r="T14" s="308">
        <f t="shared" si="3"/>
        <v>2.8417729032258059</v>
      </c>
    </row>
    <row r="15" spans="3:20" x14ac:dyDescent="0.2">
      <c r="M15" s="309">
        <f>Tornado!BU13</f>
        <v>9.765625E-4</v>
      </c>
      <c r="N15" s="310">
        <f>Tornado!BV13</f>
        <v>1.7578125E-2</v>
      </c>
      <c r="O15" s="308">
        <f>Tornado!BW13</f>
        <v>2.8682079999999996</v>
      </c>
      <c r="P15" s="308">
        <f t="shared" si="0"/>
        <v>5.4000000000000003E-3</v>
      </c>
      <c r="R15" s="293">
        <f t="shared" si="1"/>
        <v>1.1999999999999789E-3</v>
      </c>
      <c r="S15" s="309">
        <f t="shared" si="2"/>
        <v>0.69789999999999996</v>
      </c>
      <c r="T15" s="308">
        <f t="shared" si="3"/>
        <v>2.8417729032258059</v>
      </c>
    </row>
    <row r="16" spans="3:20" x14ac:dyDescent="0.2">
      <c r="M16" s="309">
        <f>Tornado!BU14</f>
        <v>1.953125E-3</v>
      </c>
      <c r="N16" s="310">
        <f>Tornado!BV14</f>
        <v>1.953125E-2</v>
      </c>
      <c r="O16" s="308">
        <f>Tornado!BW14</f>
        <v>2.8697519999999996</v>
      </c>
      <c r="P16" s="308">
        <f t="shared" si="0"/>
        <v>6.0000000000000001E-3</v>
      </c>
      <c r="R16" s="293">
        <f t="shared" si="1"/>
        <v>2.9999999999996696E-4</v>
      </c>
      <c r="S16" s="309">
        <f t="shared" si="2"/>
        <v>0.69819999999999993</v>
      </c>
      <c r="T16" s="308">
        <f t="shared" si="3"/>
        <v>2.8682079999999996</v>
      </c>
    </row>
    <row r="17" spans="13:20" x14ac:dyDescent="0.2">
      <c r="M17" s="309">
        <f>Tornado!BU15</f>
        <v>1.953125E-3</v>
      </c>
      <c r="N17" s="310">
        <f>Tornado!BV15</f>
        <v>2.1484375E-2</v>
      </c>
      <c r="O17" s="308">
        <f>Tornado!BW15</f>
        <v>3.0136010322580637</v>
      </c>
      <c r="P17" s="308">
        <f t="shared" si="0"/>
        <v>6.6000000000000008E-3</v>
      </c>
      <c r="R17" s="293">
        <f t="shared" si="1"/>
        <v>6.0000000000004494E-4</v>
      </c>
      <c r="S17" s="309">
        <f t="shared" si="2"/>
        <v>0.69879999999999998</v>
      </c>
      <c r="T17" s="308">
        <f t="shared" si="3"/>
        <v>2.8697519999999996</v>
      </c>
    </row>
    <row r="18" spans="13:20" x14ac:dyDescent="0.2">
      <c r="M18" s="309">
        <f>Tornado!BU16</f>
        <v>3.90625E-3</v>
      </c>
      <c r="N18" s="310">
        <f>Tornado!BV16</f>
        <v>2.5390625E-2</v>
      </c>
      <c r="O18" s="308">
        <f>Tornado!BW16</f>
        <v>3.4894327741935474</v>
      </c>
      <c r="P18" s="308">
        <f t="shared" si="0"/>
        <v>7.8000000000000005E-3</v>
      </c>
      <c r="R18" s="293">
        <f t="shared" si="1"/>
        <v>6.0000000000004494E-4</v>
      </c>
      <c r="S18" s="309">
        <f t="shared" si="2"/>
        <v>0.69940000000000002</v>
      </c>
      <c r="T18" s="308">
        <f t="shared" si="3"/>
        <v>3.0136010322580637</v>
      </c>
    </row>
    <row r="19" spans="13:20" x14ac:dyDescent="0.2">
      <c r="M19" s="309">
        <f>Tornado!BU17</f>
        <v>3.90625E-3</v>
      </c>
      <c r="N19" s="310">
        <f>Tornado!BV17</f>
        <v>2.9296875E-2</v>
      </c>
      <c r="O19" s="308">
        <f>Tornado!BW17</f>
        <v>3.4894327741935474</v>
      </c>
      <c r="P19" s="308">
        <f t="shared" si="0"/>
        <v>9.0000000000000011E-3</v>
      </c>
      <c r="R19" s="293">
        <f t="shared" si="1"/>
        <v>1.1999999999999789E-3</v>
      </c>
      <c r="S19" s="309">
        <f t="shared" si="2"/>
        <v>0.7006</v>
      </c>
      <c r="T19" s="308">
        <f t="shared" si="3"/>
        <v>3.4894327741935474</v>
      </c>
    </row>
    <row r="20" spans="13:20" x14ac:dyDescent="0.2">
      <c r="M20" s="309">
        <f>Tornado!BU18</f>
        <v>3.90625E-3</v>
      </c>
      <c r="N20" s="310">
        <f>Tornado!BV18</f>
        <v>3.3203125E-2</v>
      </c>
      <c r="O20" s="308">
        <f>Tornado!BW18</f>
        <v>3.6083907096774182</v>
      </c>
      <c r="P20" s="308">
        <f t="shared" si="0"/>
        <v>1.0200000000000001E-2</v>
      </c>
      <c r="R20" s="293">
        <f t="shared" si="1"/>
        <v>1.1999999999999789E-3</v>
      </c>
      <c r="S20" s="309">
        <f t="shared" si="2"/>
        <v>0.70179999999999998</v>
      </c>
      <c r="T20" s="308">
        <f t="shared" si="3"/>
        <v>3.4894327741935474</v>
      </c>
    </row>
    <row r="21" spans="13:20" x14ac:dyDescent="0.2">
      <c r="M21" s="309">
        <f>Tornado!BU19</f>
        <v>1.953125E-3</v>
      </c>
      <c r="N21" s="310">
        <f>Tornado!BV19</f>
        <v>3.515625E-2</v>
      </c>
      <c r="O21" s="308">
        <f>Tornado!BW19</f>
        <v>3.8991767741935468</v>
      </c>
      <c r="P21" s="308">
        <f t="shared" si="0"/>
        <v>1.0800000000000001E-2</v>
      </c>
      <c r="R21" s="293">
        <f t="shared" si="1"/>
        <v>1.1999999999999789E-3</v>
      </c>
      <c r="S21" s="309">
        <f t="shared" si="2"/>
        <v>0.70299999999999996</v>
      </c>
      <c r="T21" s="308">
        <f t="shared" si="3"/>
        <v>3.6083907096774182</v>
      </c>
    </row>
    <row r="22" spans="13:20" x14ac:dyDescent="0.2">
      <c r="M22" s="309">
        <f>Tornado!BU20</f>
        <v>1.953125E-3</v>
      </c>
      <c r="N22" s="310">
        <f>Tornado!BV20</f>
        <v>3.7109375E-2</v>
      </c>
      <c r="O22" s="308">
        <f>Tornado!BW20</f>
        <v>3.8991767741935468</v>
      </c>
      <c r="P22" s="308">
        <f t="shared" si="0"/>
        <v>1.14E-2</v>
      </c>
      <c r="R22" s="293">
        <f t="shared" si="1"/>
        <v>6.0000000000004494E-4</v>
      </c>
      <c r="S22" s="309">
        <f t="shared" si="2"/>
        <v>0.7036</v>
      </c>
      <c r="T22" s="308">
        <f t="shared" si="3"/>
        <v>3.8991767741935468</v>
      </c>
    </row>
    <row r="23" spans="13:20" x14ac:dyDescent="0.2">
      <c r="M23" s="309">
        <f>Tornado!BU21</f>
        <v>1.953125E-3</v>
      </c>
      <c r="N23" s="310">
        <f>Tornado!BV21</f>
        <v>3.90625E-2</v>
      </c>
      <c r="O23" s="308">
        <f>Tornado!BW21</f>
        <v>3.9784820645161276</v>
      </c>
      <c r="P23" s="308">
        <f t="shared" si="0"/>
        <v>1.2E-2</v>
      </c>
      <c r="R23" s="293">
        <f t="shared" si="1"/>
        <v>5.9999999999993392E-4</v>
      </c>
      <c r="S23" s="309">
        <f t="shared" si="2"/>
        <v>0.70419999999999994</v>
      </c>
      <c r="T23" s="308">
        <f t="shared" si="3"/>
        <v>3.8991767741935468</v>
      </c>
    </row>
    <row r="24" spans="13:20" x14ac:dyDescent="0.2">
      <c r="M24" s="309">
        <f>Tornado!BU22</f>
        <v>1.953125E-3</v>
      </c>
      <c r="N24" s="310">
        <f>Tornado!BV22</f>
        <v>4.1015625E-2</v>
      </c>
      <c r="O24" s="308">
        <f>Tornado!BW22</f>
        <v>3.9784820645161276</v>
      </c>
      <c r="P24" s="308">
        <f t="shared" si="0"/>
        <v>1.2600000000000002E-2</v>
      </c>
      <c r="R24" s="293">
        <f t="shared" si="1"/>
        <v>6.0000000000004494E-4</v>
      </c>
      <c r="S24" s="309">
        <f t="shared" si="2"/>
        <v>0.70479999999999998</v>
      </c>
      <c r="T24" s="308">
        <f t="shared" si="3"/>
        <v>3.9784820645161276</v>
      </c>
    </row>
    <row r="25" spans="13:20" x14ac:dyDescent="0.2">
      <c r="M25" s="309">
        <f>Tornado!BU23</f>
        <v>3.90625E-3</v>
      </c>
      <c r="N25" s="310">
        <f>Tornado!BV23</f>
        <v>4.4921875E-2</v>
      </c>
      <c r="O25" s="308">
        <f>Tornado!BW23</f>
        <v>3.9806237419354833</v>
      </c>
      <c r="P25" s="308">
        <f t="shared" si="0"/>
        <v>1.3800000000000002E-2</v>
      </c>
      <c r="R25" s="293">
        <f t="shared" si="1"/>
        <v>6.0000000000004494E-4</v>
      </c>
      <c r="S25" s="309">
        <f t="shared" si="2"/>
        <v>0.70540000000000003</v>
      </c>
      <c r="T25" s="308">
        <f t="shared" si="3"/>
        <v>3.9784820645161276</v>
      </c>
    </row>
    <row r="26" spans="13:20" x14ac:dyDescent="0.2">
      <c r="M26" s="309">
        <f>Tornado!BU24</f>
        <v>3.90625E-3</v>
      </c>
      <c r="N26" s="310">
        <f>Tornado!BV24</f>
        <v>4.8828125E-2</v>
      </c>
      <c r="O26" s="308">
        <f>Tornado!BW24</f>
        <v>3.9806237419354833</v>
      </c>
      <c r="P26" s="308">
        <f t="shared" si="0"/>
        <v>1.5000000000000001E-2</v>
      </c>
      <c r="R26" s="293">
        <f t="shared" si="1"/>
        <v>1.1999999999999789E-3</v>
      </c>
      <c r="S26" s="309">
        <f t="shared" si="2"/>
        <v>0.70660000000000001</v>
      </c>
      <c r="T26" s="308">
        <f t="shared" si="3"/>
        <v>3.9806237419354833</v>
      </c>
    </row>
    <row r="27" spans="13:20" x14ac:dyDescent="0.2">
      <c r="M27" s="309">
        <f>Tornado!BU25</f>
        <v>1.953125E-3</v>
      </c>
      <c r="N27" s="310">
        <f>Tornado!BV25</f>
        <v>5.078125E-2</v>
      </c>
      <c r="O27" s="308">
        <f>Tornado!BW25</f>
        <v>4.1238750967741931</v>
      </c>
      <c r="P27" s="308">
        <f t="shared" si="0"/>
        <v>1.5600000000000001E-2</v>
      </c>
      <c r="R27" s="293">
        <f t="shared" si="1"/>
        <v>1.1999999999999789E-3</v>
      </c>
      <c r="S27" s="309">
        <f t="shared" si="2"/>
        <v>0.70779999999999998</v>
      </c>
      <c r="T27" s="308">
        <f t="shared" si="3"/>
        <v>3.9806237419354833</v>
      </c>
    </row>
    <row r="28" spans="13:20" x14ac:dyDescent="0.2">
      <c r="M28" s="309">
        <f>Tornado!BU26</f>
        <v>1.953125E-3</v>
      </c>
      <c r="N28" s="310">
        <f>Tornado!BV26</f>
        <v>5.2734375E-2</v>
      </c>
      <c r="O28" s="308">
        <f>Tornado!BW26</f>
        <v>4.1238750967741931</v>
      </c>
      <c r="P28" s="308">
        <f t="shared" si="0"/>
        <v>1.6200000000000003E-2</v>
      </c>
      <c r="R28" s="293">
        <f t="shared" si="1"/>
        <v>5.9999999999993392E-4</v>
      </c>
      <c r="S28" s="309">
        <f t="shared" si="2"/>
        <v>0.70839999999999992</v>
      </c>
      <c r="T28" s="308">
        <f t="shared" si="3"/>
        <v>4.1238750967741931</v>
      </c>
    </row>
    <row r="29" spans="13:20" x14ac:dyDescent="0.2">
      <c r="M29" s="309">
        <f>Tornado!BU27</f>
        <v>3.90625E-3</v>
      </c>
      <c r="N29" s="310">
        <f>Tornado!BV27</f>
        <v>5.6640625E-2</v>
      </c>
      <c r="O29" s="308">
        <f>Tornado!BW27</f>
        <v>4.7829199999999998</v>
      </c>
      <c r="P29" s="308">
        <f t="shared" si="0"/>
        <v>1.7400000000000002E-2</v>
      </c>
      <c r="R29" s="293">
        <f t="shared" si="1"/>
        <v>6.0000000000004494E-4</v>
      </c>
      <c r="S29" s="309">
        <f t="shared" si="2"/>
        <v>0.70899999999999996</v>
      </c>
      <c r="T29" s="308">
        <f t="shared" si="3"/>
        <v>4.1238750967741931</v>
      </c>
    </row>
    <row r="30" spans="13:20" x14ac:dyDescent="0.2">
      <c r="M30" s="309">
        <f>Tornado!BU28</f>
        <v>3.90625E-3</v>
      </c>
      <c r="N30" s="310">
        <f>Tornado!BV28</f>
        <v>6.0546875E-2</v>
      </c>
      <c r="O30" s="308">
        <f>Tornado!BW28</f>
        <v>5.0226683870967728</v>
      </c>
      <c r="P30" s="308">
        <f t="shared" si="0"/>
        <v>1.8600000000000002E-2</v>
      </c>
      <c r="R30" s="293">
        <f t="shared" si="1"/>
        <v>1.1999999999999789E-3</v>
      </c>
      <c r="S30" s="309">
        <f t="shared" si="2"/>
        <v>0.71019999999999994</v>
      </c>
      <c r="T30" s="308">
        <f t="shared" si="3"/>
        <v>4.7829199999999998</v>
      </c>
    </row>
    <row r="31" spans="13:20" x14ac:dyDescent="0.2">
      <c r="M31" s="309">
        <f>Tornado!BU29</f>
        <v>7.8125E-3</v>
      </c>
      <c r="N31" s="310">
        <f>Tornado!BV29</f>
        <v>6.8359375E-2</v>
      </c>
      <c r="O31" s="308">
        <f>Tornado!BW29</f>
        <v>5.3927597419354818</v>
      </c>
      <c r="P31" s="308">
        <f t="shared" si="0"/>
        <v>2.1000000000000001E-2</v>
      </c>
      <c r="R31" s="293">
        <f t="shared" si="1"/>
        <v>1.1999999999999789E-3</v>
      </c>
      <c r="S31" s="309">
        <f t="shared" si="2"/>
        <v>0.71139999999999992</v>
      </c>
      <c r="T31" s="308">
        <f t="shared" si="3"/>
        <v>5.0226683870967728</v>
      </c>
    </row>
    <row r="32" spans="13:20" x14ac:dyDescent="0.2">
      <c r="M32" s="309">
        <f>Tornado!BU30</f>
        <v>9.765625E-4</v>
      </c>
      <c r="N32" s="310">
        <f>Tornado!BV30</f>
        <v>6.93359375E-2</v>
      </c>
      <c r="O32" s="308">
        <f>Tornado!BW30</f>
        <v>5.3927597419354818</v>
      </c>
      <c r="P32" s="308">
        <f t="shared" si="0"/>
        <v>2.1300000000000003E-2</v>
      </c>
      <c r="R32" s="293">
        <f t="shared" si="1"/>
        <v>2.4000000000000687E-3</v>
      </c>
      <c r="S32" s="309">
        <f t="shared" si="2"/>
        <v>0.71379999999999999</v>
      </c>
      <c r="T32" s="308">
        <f t="shared" si="3"/>
        <v>5.3927597419354818</v>
      </c>
    </row>
    <row r="33" spans="13:20" x14ac:dyDescent="0.2">
      <c r="M33" s="309">
        <f>Tornado!BU31</f>
        <v>9.765625E-4</v>
      </c>
      <c r="N33" s="310">
        <f>Tornado!BV31</f>
        <v>7.03125E-2</v>
      </c>
      <c r="O33" s="308">
        <f>Tornado!BW31</f>
        <v>5.458847483870966</v>
      </c>
      <c r="P33" s="308">
        <f t="shared" si="0"/>
        <v>2.1600000000000001E-2</v>
      </c>
      <c r="R33" s="293">
        <f t="shared" si="1"/>
        <v>2.9999999999996696E-4</v>
      </c>
      <c r="S33" s="309">
        <f t="shared" si="2"/>
        <v>0.71409999999999996</v>
      </c>
      <c r="T33" s="308">
        <f t="shared" si="3"/>
        <v>5.3927597419354818</v>
      </c>
    </row>
    <row r="34" spans="13:20" x14ac:dyDescent="0.2">
      <c r="M34" s="309">
        <f>Tornado!BU32</f>
        <v>9.765625E-4</v>
      </c>
      <c r="N34" s="310">
        <f>Tornado!BV32</f>
        <v>7.12890625E-2</v>
      </c>
      <c r="O34" s="308">
        <f>Tornado!BW32</f>
        <v>5.458847483870966</v>
      </c>
      <c r="P34" s="308">
        <f t="shared" si="0"/>
        <v>2.1900000000000003E-2</v>
      </c>
      <c r="R34" s="293">
        <f t="shared" si="1"/>
        <v>2.9999999999996696E-4</v>
      </c>
      <c r="S34" s="309">
        <f t="shared" si="2"/>
        <v>0.71439999999999992</v>
      </c>
      <c r="T34" s="308">
        <f t="shared" si="3"/>
        <v>5.458847483870966</v>
      </c>
    </row>
    <row r="35" spans="13:20" x14ac:dyDescent="0.2">
      <c r="M35" s="309">
        <f>Tornado!BU33</f>
        <v>1.953125E-3</v>
      </c>
      <c r="N35" s="310">
        <f>Tornado!BV33</f>
        <v>7.32421875E-2</v>
      </c>
      <c r="O35" s="308">
        <f>Tornado!BW33</f>
        <v>5.4617860645161285</v>
      </c>
      <c r="P35" s="308">
        <f t="shared" si="0"/>
        <v>2.2500000000000003E-2</v>
      </c>
      <c r="R35" s="293">
        <f t="shared" si="1"/>
        <v>3.0000000000007798E-4</v>
      </c>
      <c r="S35" s="309">
        <f t="shared" si="2"/>
        <v>0.7147</v>
      </c>
      <c r="T35" s="308">
        <f t="shared" si="3"/>
        <v>5.458847483870966</v>
      </c>
    </row>
    <row r="36" spans="13:20" x14ac:dyDescent="0.2">
      <c r="M36" s="309">
        <f>Tornado!BU34</f>
        <v>1.953125E-3</v>
      </c>
      <c r="N36" s="310">
        <f>Tornado!BV34</f>
        <v>7.51953125E-2</v>
      </c>
      <c r="O36" s="308">
        <f>Tornado!BW34</f>
        <v>5.4617860645161285</v>
      </c>
      <c r="P36" s="308">
        <f t="shared" si="0"/>
        <v>2.3100000000000002E-2</v>
      </c>
      <c r="R36" s="293">
        <f t="shared" si="1"/>
        <v>5.9999999999993392E-4</v>
      </c>
      <c r="S36" s="309">
        <f t="shared" si="2"/>
        <v>0.71529999999999994</v>
      </c>
      <c r="T36" s="308">
        <f t="shared" si="3"/>
        <v>5.4617860645161285</v>
      </c>
    </row>
    <row r="37" spans="13:20" x14ac:dyDescent="0.2">
      <c r="M37" s="309">
        <f>Tornado!BU35</f>
        <v>9.765625E-4</v>
      </c>
      <c r="N37" s="310">
        <f>Tornado!BV35</f>
        <v>7.6171875E-2</v>
      </c>
      <c r="O37" s="308">
        <f>Tornado!BW35</f>
        <v>5.6039519999999996</v>
      </c>
      <c r="P37" s="308">
        <f t="shared" si="0"/>
        <v>2.3400000000000001E-2</v>
      </c>
      <c r="R37" s="293">
        <f t="shared" si="1"/>
        <v>6.0000000000004494E-4</v>
      </c>
      <c r="S37" s="309">
        <f t="shared" si="2"/>
        <v>0.71589999999999998</v>
      </c>
      <c r="T37" s="308">
        <f t="shared" si="3"/>
        <v>5.4617860645161285</v>
      </c>
    </row>
    <row r="38" spans="13:20" x14ac:dyDescent="0.2">
      <c r="M38" s="309">
        <f>Tornado!BU36</f>
        <v>7.8125E-3</v>
      </c>
      <c r="N38" s="310">
        <f>Tornado!BV36</f>
        <v>8.3984375E-2</v>
      </c>
      <c r="O38" s="308">
        <f>Tornado!BW36</f>
        <v>5.8157212903225783</v>
      </c>
      <c r="P38" s="308">
        <f t="shared" si="0"/>
        <v>2.5800000000000003E-2</v>
      </c>
      <c r="R38" s="293">
        <f t="shared" si="1"/>
        <v>2.9999999999996696E-4</v>
      </c>
      <c r="S38" s="309">
        <f t="shared" si="2"/>
        <v>0.71619999999999995</v>
      </c>
      <c r="T38" s="308">
        <f t="shared" si="3"/>
        <v>5.6039519999999996</v>
      </c>
    </row>
    <row r="39" spans="13:20" x14ac:dyDescent="0.2">
      <c r="M39" s="309">
        <f>Tornado!BU37</f>
        <v>7.8125E-3</v>
      </c>
      <c r="N39" s="310">
        <f>Tornado!BV37</f>
        <v>9.1796875E-2</v>
      </c>
      <c r="O39" s="308">
        <f>Tornado!BW37</f>
        <v>5.8157212903225783</v>
      </c>
      <c r="P39" s="308">
        <f t="shared" si="0"/>
        <v>2.8200000000000003E-2</v>
      </c>
      <c r="R39" s="293">
        <f t="shared" si="1"/>
        <v>2.4000000000000687E-3</v>
      </c>
      <c r="S39" s="309">
        <f t="shared" si="2"/>
        <v>0.71860000000000002</v>
      </c>
      <c r="T39" s="308">
        <f t="shared" si="3"/>
        <v>5.8157212903225783</v>
      </c>
    </row>
    <row r="40" spans="13:20" x14ac:dyDescent="0.2">
      <c r="M40" s="309">
        <f>Tornado!BU38</f>
        <v>1.953125E-3</v>
      </c>
      <c r="N40" s="310">
        <f>Tornado!BV38</f>
        <v>9.375E-2</v>
      </c>
      <c r="O40" s="308">
        <f>Tornado!BW38</f>
        <v>5.8685914838709667</v>
      </c>
      <c r="P40" s="308">
        <f t="shared" si="0"/>
        <v>2.8800000000000003E-2</v>
      </c>
      <c r="R40" s="293">
        <f t="shared" si="1"/>
        <v>2.3999999999999577E-3</v>
      </c>
      <c r="S40" s="309">
        <f t="shared" si="2"/>
        <v>0.72099999999999997</v>
      </c>
      <c r="T40" s="308">
        <f t="shared" si="3"/>
        <v>5.8157212903225783</v>
      </c>
    </row>
    <row r="41" spans="13:20" x14ac:dyDescent="0.2">
      <c r="M41" s="309">
        <f>Tornado!BU39</f>
        <v>1.953125E-3</v>
      </c>
      <c r="N41" s="310">
        <f>Tornado!BV39</f>
        <v>9.5703125E-2</v>
      </c>
      <c r="O41" s="308">
        <f>Tornado!BW39</f>
        <v>5.8685914838709667</v>
      </c>
      <c r="P41" s="308">
        <f t="shared" si="0"/>
        <v>2.9400000000000003E-2</v>
      </c>
      <c r="R41" s="293">
        <f t="shared" si="1"/>
        <v>6.0000000000004494E-4</v>
      </c>
      <c r="S41" s="309">
        <f t="shared" si="2"/>
        <v>0.72160000000000002</v>
      </c>
      <c r="T41" s="308">
        <f t="shared" si="3"/>
        <v>5.8685914838709667</v>
      </c>
    </row>
    <row r="42" spans="13:20" x14ac:dyDescent="0.2">
      <c r="M42" s="309">
        <f>Tornado!BU40</f>
        <v>7.8125E-3</v>
      </c>
      <c r="N42" s="310">
        <f>Tornado!BV40</f>
        <v>0.103515625</v>
      </c>
      <c r="O42" s="308">
        <f>Tornado!BW40</f>
        <v>6.01398451612903</v>
      </c>
      <c r="P42" s="308">
        <f t="shared" si="0"/>
        <v>3.1800000000000002E-2</v>
      </c>
      <c r="R42" s="293">
        <f t="shared" si="1"/>
        <v>5.9999999999993392E-4</v>
      </c>
      <c r="S42" s="309">
        <f t="shared" si="2"/>
        <v>0.72219999999999995</v>
      </c>
      <c r="T42" s="308">
        <f t="shared" si="3"/>
        <v>5.8685914838709667</v>
      </c>
    </row>
    <row r="43" spans="13:20" x14ac:dyDescent="0.2">
      <c r="M43" s="309">
        <f>Tornado!BU41</f>
        <v>1.953125E-3</v>
      </c>
      <c r="N43" s="310">
        <f>Tornado!BV41</f>
        <v>0.10546875</v>
      </c>
      <c r="O43" s="308">
        <f>Tornado!BW41</f>
        <v>6.1461599999999983</v>
      </c>
      <c r="P43" s="308">
        <f t="shared" si="0"/>
        <v>3.2400000000000005E-2</v>
      </c>
      <c r="R43" s="293">
        <f t="shared" si="1"/>
        <v>2.4000000000000687E-3</v>
      </c>
      <c r="S43" s="309">
        <f t="shared" si="2"/>
        <v>0.72460000000000002</v>
      </c>
      <c r="T43" s="308">
        <f t="shared" si="3"/>
        <v>6.01398451612903</v>
      </c>
    </row>
    <row r="44" spans="13:20" x14ac:dyDescent="0.2">
      <c r="M44" s="309">
        <f>Tornado!BU42</f>
        <v>1.953125E-3</v>
      </c>
      <c r="N44" s="310">
        <f>Tornado!BV42</f>
        <v>0.107421875</v>
      </c>
      <c r="O44" s="308">
        <f>Tornado!BW42</f>
        <v>6.1461599999999983</v>
      </c>
      <c r="P44" s="308">
        <f t="shared" si="0"/>
        <v>3.3000000000000002E-2</v>
      </c>
      <c r="R44" s="293">
        <f t="shared" si="1"/>
        <v>5.9999999999993392E-4</v>
      </c>
      <c r="S44" s="309">
        <f t="shared" si="2"/>
        <v>0.72519999999999996</v>
      </c>
      <c r="T44" s="308">
        <f t="shared" si="3"/>
        <v>6.1461599999999983</v>
      </c>
    </row>
    <row r="45" spans="13:20" x14ac:dyDescent="0.2">
      <c r="M45" s="309">
        <f>Tornado!BU43</f>
        <v>9.765625E-4</v>
      </c>
      <c r="N45" s="310">
        <f>Tornado!BV43</f>
        <v>0.1083984375</v>
      </c>
      <c r="O45" s="308">
        <f>Tornado!BW43</f>
        <v>6.5030338064516107</v>
      </c>
      <c r="P45" s="308">
        <f t="shared" si="0"/>
        <v>3.3300000000000003E-2</v>
      </c>
      <c r="R45" s="293">
        <f t="shared" si="1"/>
        <v>6.0000000000004494E-4</v>
      </c>
      <c r="S45" s="309">
        <f t="shared" si="2"/>
        <v>0.7258</v>
      </c>
      <c r="T45" s="308">
        <f t="shared" si="3"/>
        <v>6.1461599999999983</v>
      </c>
    </row>
    <row r="46" spans="13:20" x14ac:dyDescent="0.2">
      <c r="M46" s="309">
        <f>Tornado!BU44</f>
        <v>9.765625E-4</v>
      </c>
      <c r="N46" s="310">
        <f>Tornado!BV44</f>
        <v>0.109375</v>
      </c>
      <c r="O46" s="308">
        <f>Tornado!BW44</f>
        <v>6.5030338064516107</v>
      </c>
      <c r="P46" s="308">
        <f t="shared" si="0"/>
        <v>3.3600000000000005E-2</v>
      </c>
      <c r="R46" s="293">
        <f t="shared" si="1"/>
        <v>2.9999999999996696E-4</v>
      </c>
      <c r="S46" s="309">
        <f t="shared" si="2"/>
        <v>0.72609999999999997</v>
      </c>
      <c r="T46" s="308">
        <f t="shared" si="3"/>
        <v>6.5030338064516107</v>
      </c>
    </row>
    <row r="47" spans="13:20" x14ac:dyDescent="0.2">
      <c r="M47" s="309">
        <f>Tornado!BU45</f>
        <v>7.8125E-3</v>
      </c>
      <c r="N47" s="310">
        <f>Tornado!BV45</f>
        <v>0.1171875</v>
      </c>
      <c r="O47" s="308">
        <f>Tornado!BW45</f>
        <v>6.634372903225807</v>
      </c>
      <c r="P47" s="308">
        <f t="shared" si="0"/>
        <v>3.6000000000000004E-2</v>
      </c>
      <c r="R47" s="293">
        <f t="shared" si="1"/>
        <v>2.9999999999996696E-4</v>
      </c>
      <c r="S47" s="309">
        <f t="shared" si="2"/>
        <v>0.72639999999999993</v>
      </c>
      <c r="T47" s="308">
        <f t="shared" si="3"/>
        <v>6.5030338064516107</v>
      </c>
    </row>
    <row r="48" spans="13:20" x14ac:dyDescent="0.2">
      <c r="M48" s="309">
        <f>Tornado!BU46</f>
        <v>7.8125E-3</v>
      </c>
      <c r="N48" s="310">
        <f>Tornado!BV46</f>
        <v>0.125</v>
      </c>
      <c r="O48" s="308">
        <f>Tornado!BW46</f>
        <v>6.634372903225807</v>
      </c>
      <c r="P48" s="308">
        <f t="shared" si="0"/>
        <v>3.8400000000000004E-2</v>
      </c>
      <c r="R48" s="293">
        <f t="shared" si="1"/>
        <v>2.4000000000000687E-3</v>
      </c>
      <c r="S48" s="309">
        <f t="shared" si="2"/>
        <v>0.7288</v>
      </c>
      <c r="T48" s="308">
        <f t="shared" si="3"/>
        <v>6.634372903225807</v>
      </c>
    </row>
    <row r="49" spans="13:20" x14ac:dyDescent="0.2">
      <c r="M49" s="309">
        <f>Tornado!BU47</f>
        <v>1.953125E-3</v>
      </c>
      <c r="N49" s="310">
        <f>Tornado!BV47</f>
        <v>0.126953125</v>
      </c>
      <c r="O49" s="308">
        <f>Tornado!BW47</f>
        <v>6.6960879999999996</v>
      </c>
      <c r="P49" s="308">
        <f t="shared" si="0"/>
        <v>3.9000000000000007E-2</v>
      </c>
      <c r="R49" s="293">
        <f t="shared" si="1"/>
        <v>2.3999999999999577E-3</v>
      </c>
      <c r="S49" s="309">
        <f t="shared" si="2"/>
        <v>0.73119999999999996</v>
      </c>
      <c r="T49" s="308">
        <f t="shared" si="3"/>
        <v>6.634372903225807</v>
      </c>
    </row>
    <row r="50" spans="13:20" x14ac:dyDescent="0.2">
      <c r="M50" s="309">
        <f>Tornado!BU48</f>
        <v>3.90625E-3</v>
      </c>
      <c r="N50" s="310">
        <f>Tornado!BV48</f>
        <v>0.130859375</v>
      </c>
      <c r="O50" s="308">
        <f>Tornado!BW48</f>
        <v>6.8731251612903206</v>
      </c>
      <c r="P50" s="308">
        <f t="shared" si="0"/>
        <v>4.0200000000000007E-2</v>
      </c>
      <c r="R50" s="293">
        <f t="shared" si="1"/>
        <v>6.0000000000004494E-4</v>
      </c>
      <c r="S50" s="309">
        <f t="shared" si="2"/>
        <v>0.73180000000000001</v>
      </c>
      <c r="T50" s="308">
        <f t="shared" si="3"/>
        <v>6.6960879999999996</v>
      </c>
    </row>
    <row r="51" spans="13:20" x14ac:dyDescent="0.2">
      <c r="M51" s="309">
        <f>Tornado!BU49</f>
        <v>3.90625E-3</v>
      </c>
      <c r="N51" s="310">
        <f>Tornado!BV49</f>
        <v>0.134765625</v>
      </c>
      <c r="O51" s="308">
        <f>Tornado!BW49</f>
        <v>6.8731251612903206</v>
      </c>
      <c r="P51" s="308">
        <f t="shared" si="0"/>
        <v>4.1400000000000006E-2</v>
      </c>
      <c r="R51" s="293">
        <f t="shared" si="1"/>
        <v>1.1999999999999789E-3</v>
      </c>
      <c r="S51" s="309">
        <f t="shared" si="2"/>
        <v>0.73299999999999998</v>
      </c>
      <c r="T51" s="308">
        <f t="shared" si="3"/>
        <v>6.8731251612903206</v>
      </c>
    </row>
    <row r="52" spans="13:20" x14ac:dyDescent="0.2">
      <c r="M52" s="309">
        <f>Tornado!BU50</f>
        <v>1.953125E-3</v>
      </c>
      <c r="N52" s="310">
        <f>Tornado!BV50</f>
        <v>0.13671875</v>
      </c>
      <c r="O52" s="308">
        <f>Tornado!BW50</f>
        <v>7.0317357419354822</v>
      </c>
      <c r="P52" s="308">
        <f t="shared" si="0"/>
        <v>4.2000000000000003E-2</v>
      </c>
      <c r="R52" s="293">
        <f t="shared" si="1"/>
        <v>1.1999999999999789E-3</v>
      </c>
      <c r="S52" s="309">
        <f t="shared" si="2"/>
        <v>0.73419999999999996</v>
      </c>
      <c r="T52" s="308">
        <f t="shared" si="3"/>
        <v>6.8731251612903206</v>
      </c>
    </row>
    <row r="53" spans="13:20" x14ac:dyDescent="0.2">
      <c r="M53" s="309">
        <f>Tornado!BU51</f>
        <v>3.90625E-3</v>
      </c>
      <c r="N53" s="310">
        <f>Tornado!BV51</f>
        <v>0.140625</v>
      </c>
      <c r="O53" s="308">
        <f>Tornado!BW51</f>
        <v>7.0355210322580639</v>
      </c>
      <c r="P53" s="308">
        <f t="shared" si="0"/>
        <v>4.3200000000000002E-2</v>
      </c>
      <c r="R53" s="293">
        <f t="shared" si="1"/>
        <v>6.0000000000004494E-4</v>
      </c>
      <c r="S53" s="309">
        <f t="shared" si="2"/>
        <v>0.73480000000000001</v>
      </c>
      <c r="T53" s="308">
        <f t="shared" si="3"/>
        <v>7.0317357419354822</v>
      </c>
    </row>
    <row r="54" spans="13:20" x14ac:dyDescent="0.2">
      <c r="M54" s="309">
        <f>Tornado!BU52</f>
        <v>3.90625E-3</v>
      </c>
      <c r="N54" s="310">
        <f>Tornado!BV52</f>
        <v>0.14453125</v>
      </c>
      <c r="O54" s="308">
        <f>Tornado!BW52</f>
        <v>7.7719184516129012</v>
      </c>
      <c r="P54" s="308">
        <f t="shared" si="0"/>
        <v>4.4400000000000002E-2</v>
      </c>
      <c r="R54" s="293">
        <f t="shared" si="1"/>
        <v>1.1999999999999789E-3</v>
      </c>
      <c r="S54" s="309">
        <f t="shared" si="2"/>
        <v>0.73599999999999999</v>
      </c>
      <c r="T54" s="308">
        <f t="shared" si="3"/>
        <v>7.0355210322580639</v>
      </c>
    </row>
    <row r="55" spans="13:20" x14ac:dyDescent="0.2">
      <c r="M55" s="309">
        <f>Tornado!BU53</f>
        <v>1.953125E-3</v>
      </c>
      <c r="N55" s="310">
        <f>Tornado!BV53</f>
        <v>0.146484375</v>
      </c>
      <c r="O55" s="308">
        <f>Tornado!BW53</f>
        <v>7.7732237419354835</v>
      </c>
      <c r="P55" s="308">
        <f t="shared" si="0"/>
        <v>4.5000000000000005E-2</v>
      </c>
      <c r="R55" s="293">
        <f t="shared" si="1"/>
        <v>1.1999999999999789E-3</v>
      </c>
      <c r="S55" s="309">
        <f t="shared" si="2"/>
        <v>0.73719999999999997</v>
      </c>
      <c r="T55" s="308">
        <f t="shared" si="3"/>
        <v>7.7719184516129012</v>
      </c>
    </row>
    <row r="56" spans="13:20" x14ac:dyDescent="0.2">
      <c r="M56" s="309">
        <f>Tornado!BU54</f>
        <v>1.953125E-3</v>
      </c>
      <c r="N56" s="310">
        <f>Tornado!BV54</f>
        <v>0.1484375</v>
      </c>
      <c r="O56" s="308">
        <f>Tornado!BW54</f>
        <v>7.7732237419354835</v>
      </c>
      <c r="P56" s="308">
        <f t="shared" si="0"/>
        <v>4.5600000000000002E-2</v>
      </c>
      <c r="R56" s="293">
        <f t="shared" si="1"/>
        <v>6.0000000000004494E-4</v>
      </c>
      <c r="S56" s="309">
        <f t="shared" si="2"/>
        <v>0.73780000000000001</v>
      </c>
      <c r="T56" s="308">
        <f t="shared" si="3"/>
        <v>7.7732237419354835</v>
      </c>
    </row>
    <row r="57" spans="13:20" x14ac:dyDescent="0.2">
      <c r="M57" s="309">
        <f>Tornado!BU55</f>
        <v>3.90625E-3</v>
      </c>
      <c r="N57" s="310">
        <f>Tornado!BV55</f>
        <v>0.15234375</v>
      </c>
      <c r="O57" s="308">
        <f>Tornado!BW55</f>
        <v>7.9305290322580637</v>
      </c>
      <c r="P57" s="308">
        <f t="shared" si="0"/>
        <v>4.6800000000000001E-2</v>
      </c>
      <c r="R57" s="293">
        <f t="shared" si="1"/>
        <v>5.9999999999993392E-4</v>
      </c>
      <c r="S57" s="309">
        <f t="shared" si="2"/>
        <v>0.73839999999999995</v>
      </c>
      <c r="T57" s="308">
        <f t="shared" si="3"/>
        <v>7.7732237419354835</v>
      </c>
    </row>
    <row r="58" spans="13:20" x14ac:dyDescent="0.2">
      <c r="M58" s="309">
        <f>Tornado!BU56</f>
        <v>3.90625E-3</v>
      </c>
      <c r="N58" s="310">
        <f>Tornado!BV56</f>
        <v>0.15625</v>
      </c>
      <c r="O58" s="308">
        <f>Tornado!BW56</f>
        <v>7.9305290322580637</v>
      </c>
      <c r="P58" s="308">
        <f t="shared" si="0"/>
        <v>4.8000000000000001E-2</v>
      </c>
      <c r="R58" s="293">
        <f t="shared" si="1"/>
        <v>1.1999999999999789E-3</v>
      </c>
      <c r="S58" s="309">
        <f t="shared" si="2"/>
        <v>0.73959999999999992</v>
      </c>
      <c r="T58" s="308">
        <f t="shared" si="3"/>
        <v>7.9305290322580637</v>
      </c>
    </row>
    <row r="59" spans="13:20" x14ac:dyDescent="0.2">
      <c r="M59" s="309">
        <f>Tornado!BU57</f>
        <v>3.90625E-3</v>
      </c>
      <c r="N59" s="310">
        <f>Tornado!BV57</f>
        <v>0.16015625</v>
      </c>
      <c r="O59" s="308">
        <f>Tornado!BW57</f>
        <v>8.1420098064516111</v>
      </c>
      <c r="P59" s="308">
        <f t="shared" si="0"/>
        <v>4.9200000000000008E-2</v>
      </c>
      <c r="R59" s="293">
        <f t="shared" si="1"/>
        <v>1.2000000000000899E-3</v>
      </c>
      <c r="S59" s="309">
        <f t="shared" si="2"/>
        <v>0.74080000000000001</v>
      </c>
      <c r="T59" s="308">
        <f t="shared" si="3"/>
        <v>7.9305290322580637</v>
      </c>
    </row>
    <row r="60" spans="13:20" x14ac:dyDescent="0.2">
      <c r="M60" s="309">
        <f>Tornado!BU58</f>
        <v>3.90625E-3</v>
      </c>
      <c r="N60" s="310">
        <f>Tornado!BV58</f>
        <v>0.1640625</v>
      </c>
      <c r="O60" s="308">
        <f>Tornado!BW58</f>
        <v>8.1420098064516111</v>
      </c>
      <c r="P60" s="308">
        <f t="shared" si="0"/>
        <v>5.0400000000000007E-2</v>
      </c>
      <c r="R60" s="293">
        <f t="shared" si="1"/>
        <v>1.1999999999999789E-3</v>
      </c>
      <c r="S60" s="309">
        <f t="shared" si="2"/>
        <v>0.74199999999999999</v>
      </c>
      <c r="T60" s="308">
        <f t="shared" si="3"/>
        <v>8.1420098064516111</v>
      </c>
    </row>
    <row r="61" spans="13:20" x14ac:dyDescent="0.2">
      <c r="M61" s="309">
        <f>Tornado!BU59</f>
        <v>7.8125E-3</v>
      </c>
      <c r="N61" s="310">
        <f>Tornado!BV59</f>
        <v>0.171875</v>
      </c>
      <c r="O61" s="308">
        <f>Tornado!BW59</f>
        <v>8.1463927741935489</v>
      </c>
      <c r="P61" s="308">
        <f t="shared" si="0"/>
        <v>5.2800000000000007E-2</v>
      </c>
      <c r="R61" s="293">
        <f t="shared" si="1"/>
        <v>1.1999999999999789E-3</v>
      </c>
      <c r="S61" s="309">
        <f t="shared" si="2"/>
        <v>0.74319999999999997</v>
      </c>
      <c r="T61" s="308">
        <f t="shared" si="3"/>
        <v>8.1420098064516111</v>
      </c>
    </row>
    <row r="62" spans="13:20" x14ac:dyDescent="0.2">
      <c r="M62" s="309">
        <f>Tornado!BU60</f>
        <v>7.8125E-3</v>
      </c>
      <c r="N62" s="310">
        <f>Tornado!BV60</f>
        <v>0.1796875</v>
      </c>
      <c r="O62" s="308">
        <f>Tornado!BW60</f>
        <v>8.1463927741935489</v>
      </c>
      <c r="P62" s="308">
        <f t="shared" si="0"/>
        <v>5.5200000000000006E-2</v>
      </c>
      <c r="R62" s="293">
        <f t="shared" si="1"/>
        <v>2.3999999999999577E-3</v>
      </c>
      <c r="S62" s="309">
        <f t="shared" si="2"/>
        <v>0.74559999999999993</v>
      </c>
      <c r="T62" s="308">
        <f t="shared" si="3"/>
        <v>8.1463927741935489</v>
      </c>
    </row>
    <row r="63" spans="13:20" x14ac:dyDescent="0.2">
      <c r="M63" s="309">
        <f>Tornado!BU61</f>
        <v>3.90625E-3</v>
      </c>
      <c r="N63" s="310">
        <f>Tornado!BV61</f>
        <v>0.18359375</v>
      </c>
      <c r="O63" s="308">
        <f>Tornado!BW61</f>
        <v>8.4195783225806426</v>
      </c>
      <c r="P63" s="308">
        <f t="shared" si="0"/>
        <v>5.6400000000000006E-2</v>
      </c>
      <c r="R63" s="293">
        <f t="shared" si="1"/>
        <v>2.4000000000000687E-3</v>
      </c>
      <c r="S63" s="309">
        <f t="shared" si="2"/>
        <v>0.748</v>
      </c>
      <c r="T63" s="308">
        <f t="shared" si="3"/>
        <v>8.1463927741935489</v>
      </c>
    </row>
    <row r="64" spans="13:20" x14ac:dyDescent="0.2">
      <c r="M64" s="309">
        <f>Tornado!BU62</f>
        <v>7.8125E-3</v>
      </c>
      <c r="N64" s="310">
        <f>Tornado!BV62</f>
        <v>0.19140625</v>
      </c>
      <c r="O64" s="308">
        <f>Tornado!BW62</f>
        <v>8.4241107096774179</v>
      </c>
      <c r="P64" s="308">
        <f t="shared" si="0"/>
        <v>5.8800000000000005E-2</v>
      </c>
      <c r="R64" s="293">
        <f t="shared" si="1"/>
        <v>1.1999999999999789E-3</v>
      </c>
      <c r="S64" s="309">
        <f t="shared" si="2"/>
        <v>0.74919999999999998</v>
      </c>
      <c r="T64" s="308">
        <f t="shared" si="3"/>
        <v>8.4195783225806426</v>
      </c>
    </row>
    <row r="65" spans="13:20" x14ac:dyDescent="0.2">
      <c r="M65" s="309">
        <f>Tornado!BU63</f>
        <v>1.5625E-2</v>
      </c>
      <c r="N65" s="310">
        <f>Tornado!BV63</f>
        <v>0.20703125</v>
      </c>
      <c r="O65" s="308">
        <f>Tornado!BW63</f>
        <v>8.9879329032258042</v>
      </c>
      <c r="P65" s="308">
        <f t="shared" si="0"/>
        <v>6.3600000000000004E-2</v>
      </c>
      <c r="R65" s="293">
        <f t="shared" si="1"/>
        <v>2.3999999999999577E-3</v>
      </c>
      <c r="S65" s="309">
        <f t="shared" si="2"/>
        <v>0.75159999999999993</v>
      </c>
      <c r="T65" s="308">
        <f t="shared" si="3"/>
        <v>8.4241107096774179</v>
      </c>
    </row>
    <row r="66" spans="13:20" x14ac:dyDescent="0.2">
      <c r="M66" s="309">
        <f>Tornado!BU64</f>
        <v>1.953125E-3</v>
      </c>
      <c r="N66" s="310">
        <f>Tornado!BV64</f>
        <v>0.208984375</v>
      </c>
      <c r="O66" s="308">
        <f>Tornado!BW64</f>
        <v>8.9879329032258042</v>
      </c>
      <c r="P66" s="308">
        <f t="shared" si="0"/>
        <v>6.4200000000000007E-2</v>
      </c>
      <c r="R66" s="293">
        <f t="shared" si="1"/>
        <v>4.8000000000000265E-3</v>
      </c>
      <c r="S66" s="309">
        <f t="shared" si="2"/>
        <v>0.75639999999999996</v>
      </c>
      <c r="T66" s="308">
        <f t="shared" si="3"/>
        <v>8.9879329032258042</v>
      </c>
    </row>
    <row r="67" spans="13:20" x14ac:dyDescent="0.2">
      <c r="M67" s="309">
        <f>Tornado!BU65</f>
        <v>3.90625E-3</v>
      </c>
      <c r="N67" s="310">
        <f>Tornado!BV65</f>
        <v>0.212890625</v>
      </c>
      <c r="O67" s="308">
        <f>Tornado!BW65</f>
        <v>9.1029767741935483</v>
      </c>
      <c r="P67" s="308">
        <f t="shared" si="0"/>
        <v>6.54E-2</v>
      </c>
      <c r="R67" s="293">
        <f t="shared" si="1"/>
        <v>6.0000000000004494E-4</v>
      </c>
      <c r="S67" s="309">
        <f t="shared" si="2"/>
        <v>0.75700000000000001</v>
      </c>
      <c r="T67" s="308">
        <f t="shared" si="3"/>
        <v>8.9879329032258042</v>
      </c>
    </row>
    <row r="68" spans="13:20" x14ac:dyDescent="0.2">
      <c r="M68" s="309">
        <f>Tornado!BU66</f>
        <v>3.90625E-3</v>
      </c>
      <c r="N68" s="310">
        <f>Tornado!BV66</f>
        <v>0.216796875</v>
      </c>
      <c r="O68" s="308">
        <f>Tornado!BW66</f>
        <v>9.1029767741935483</v>
      </c>
      <c r="P68" s="308">
        <f t="shared" si="0"/>
        <v>6.6600000000000006E-2</v>
      </c>
      <c r="R68" s="293">
        <f t="shared" si="1"/>
        <v>1.1999999999999789E-3</v>
      </c>
      <c r="S68" s="309">
        <f t="shared" si="2"/>
        <v>0.75819999999999999</v>
      </c>
      <c r="T68" s="308">
        <f t="shared" si="3"/>
        <v>9.1029767741935483</v>
      </c>
    </row>
    <row r="69" spans="13:20" x14ac:dyDescent="0.2">
      <c r="M69" s="309">
        <f>Tornado!BU67</f>
        <v>3.90625E-3</v>
      </c>
      <c r="N69" s="310">
        <f>Tornado!BV67</f>
        <v>0.220703125</v>
      </c>
      <c r="O69" s="308">
        <f>Tornado!BW67</f>
        <v>9.2881220645161289</v>
      </c>
      <c r="P69" s="308">
        <f t="shared" si="0"/>
        <v>6.7800000000000013E-2</v>
      </c>
      <c r="R69" s="293">
        <f t="shared" si="1"/>
        <v>1.1999999999999789E-3</v>
      </c>
      <c r="S69" s="309">
        <f t="shared" si="2"/>
        <v>0.75939999999999996</v>
      </c>
      <c r="T69" s="308">
        <f t="shared" si="3"/>
        <v>9.1029767741935483</v>
      </c>
    </row>
    <row r="70" spans="13:20" x14ac:dyDescent="0.2">
      <c r="M70" s="309">
        <f>Tornado!BU68</f>
        <v>3.90625E-3</v>
      </c>
      <c r="N70" s="310">
        <f>Tornado!BV68</f>
        <v>0.224609375</v>
      </c>
      <c r="O70" s="308">
        <f>Tornado!BW68</f>
        <v>9.2881220645161289</v>
      </c>
      <c r="P70" s="308">
        <f t="shared" si="0"/>
        <v>6.9000000000000006E-2</v>
      </c>
      <c r="R70" s="293">
        <f t="shared" si="1"/>
        <v>1.1999999999999789E-3</v>
      </c>
      <c r="S70" s="309">
        <f t="shared" si="2"/>
        <v>0.76059999999999994</v>
      </c>
      <c r="T70" s="308">
        <f t="shared" si="3"/>
        <v>9.2881220645161289</v>
      </c>
    </row>
    <row r="71" spans="13:20" x14ac:dyDescent="0.2">
      <c r="M71" s="309">
        <f>Tornado!BU69</f>
        <v>1.953125E-3</v>
      </c>
      <c r="N71" s="310">
        <f>Tornado!BV69</f>
        <v>0.2265625</v>
      </c>
      <c r="O71" s="308">
        <f>Tornado!BW69</f>
        <v>9.3399199999999993</v>
      </c>
      <c r="P71" s="308">
        <f t="shared" ref="P71:P134" si="4">pCrossChasm_total * N71</f>
        <v>6.9600000000000009E-2</v>
      </c>
      <c r="R71" s="293">
        <f t="shared" si="1"/>
        <v>1.2000000000000899E-3</v>
      </c>
      <c r="S71" s="309">
        <f t="shared" si="2"/>
        <v>0.76180000000000003</v>
      </c>
      <c r="T71" s="308">
        <f t="shared" si="3"/>
        <v>9.2881220645161289</v>
      </c>
    </row>
    <row r="72" spans="13:20" x14ac:dyDescent="0.2">
      <c r="M72" s="309">
        <f>Tornado!BU70</f>
        <v>1.953125E-3</v>
      </c>
      <c r="N72" s="310">
        <f>Tornado!BV70</f>
        <v>0.228515625</v>
      </c>
      <c r="O72" s="308">
        <f>Tornado!BW70</f>
        <v>9.6223752258064472</v>
      </c>
      <c r="P72" s="308">
        <f t="shared" si="4"/>
        <v>7.0200000000000012E-2</v>
      </c>
      <c r="R72" s="293">
        <f t="shared" ref="R72:R135" si="5">S72-S71</f>
        <v>5.9999999999993392E-4</v>
      </c>
      <c r="S72" s="309">
        <f t="shared" si="2"/>
        <v>0.76239999999999997</v>
      </c>
      <c r="T72" s="308">
        <f t="shared" si="3"/>
        <v>9.3399199999999993</v>
      </c>
    </row>
    <row r="73" spans="13:20" x14ac:dyDescent="0.2">
      <c r="M73" s="309">
        <f>Tornado!BU71</f>
        <v>1.953125E-3</v>
      </c>
      <c r="N73" s="310">
        <f>Tornado!BV71</f>
        <v>0.23046875</v>
      </c>
      <c r="O73" s="308">
        <f>Tornado!BW71</f>
        <v>9.6223752258064472</v>
      </c>
      <c r="P73" s="308">
        <f t="shared" si="4"/>
        <v>7.0800000000000002E-2</v>
      </c>
      <c r="R73" s="293">
        <f t="shared" si="5"/>
        <v>6.0000000000004494E-4</v>
      </c>
      <c r="S73" s="309">
        <f t="shared" ref="S73:S136" si="6">P72+$S$7</f>
        <v>0.76300000000000001</v>
      </c>
      <c r="T73" s="308">
        <f t="shared" ref="T73:T136" si="7">O72</f>
        <v>9.6223752258064472</v>
      </c>
    </row>
    <row r="74" spans="13:20" x14ac:dyDescent="0.2">
      <c r="M74" s="309">
        <f>Tornado!BU72</f>
        <v>3.90625E-3</v>
      </c>
      <c r="N74" s="310">
        <f>Tornado!BV72</f>
        <v>0.234375</v>
      </c>
      <c r="O74" s="308">
        <f>Tornado!BW72</f>
        <v>9.6275550967741932</v>
      </c>
      <c r="P74" s="308">
        <f t="shared" si="4"/>
        <v>7.2000000000000008E-2</v>
      </c>
      <c r="R74" s="293">
        <f t="shared" si="5"/>
        <v>5.9999999999993392E-4</v>
      </c>
      <c r="S74" s="309">
        <f t="shared" si="6"/>
        <v>0.76359999999999995</v>
      </c>
      <c r="T74" s="308">
        <f t="shared" si="7"/>
        <v>9.6223752258064472</v>
      </c>
    </row>
    <row r="75" spans="13:20" x14ac:dyDescent="0.2">
      <c r="M75" s="309">
        <f>Tornado!BU73</f>
        <v>3.90625E-3</v>
      </c>
      <c r="N75" s="310">
        <f>Tornado!BV73</f>
        <v>0.23828125</v>
      </c>
      <c r="O75" s="308">
        <f>Tornado!BW73</f>
        <v>9.6275550967741932</v>
      </c>
      <c r="P75" s="308">
        <f t="shared" si="4"/>
        <v>7.3200000000000001E-2</v>
      </c>
      <c r="R75" s="293">
        <f t="shared" si="5"/>
        <v>1.1999999999999789E-3</v>
      </c>
      <c r="S75" s="309">
        <f t="shared" si="6"/>
        <v>0.76479999999999992</v>
      </c>
      <c r="T75" s="308">
        <f t="shared" si="7"/>
        <v>9.6275550967741932</v>
      </c>
    </row>
    <row r="76" spans="13:20" x14ac:dyDescent="0.2">
      <c r="M76" s="309">
        <f>Tornado!BU74</f>
        <v>3.90625E-3</v>
      </c>
      <c r="N76" s="310">
        <f>Tornado!BV74</f>
        <v>0.2421875</v>
      </c>
      <c r="O76" s="308">
        <f>Tornado!BW74</f>
        <v>9.7809858064516089</v>
      </c>
      <c r="P76" s="308">
        <f t="shared" si="4"/>
        <v>7.4400000000000008E-2</v>
      </c>
      <c r="R76" s="293">
        <f t="shared" si="5"/>
        <v>1.2000000000000899E-3</v>
      </c>
      <c r="S76" s="309">
        <f t="shared" si="6"/>
        <v>0.76600000000000001</v>
      </c>
      <c r="T76" s="308">
        <f t="shared" si="7"/>
        <v>9.6275550967741932</v>
      </c>
    </row>
    <row r="77" spans="13:20" x14ac:dyDescent="0.2">
      <c r="M77" s="309">
        <f>Tornado!BU75</f>
        <v>3.90625E-3</v>
      </c>
      <c r="N77" s="310">
        <f>Tornado!BV75</f>
        <v>0.24609375</v>
      </c>
      <c r="O77" s="308">
        <f>Tornado!BW75</f>
        <v>9.7809858064516089</v>
      </c>
      <c r="P77" s="308">
        <f t="shared" si="4"/>
        <v>7.5600000000000001E-2</v>
      </c>
      <c r="R77" s="293">
        <f t="shared" si="5"/>
        <v>1.1999999999999789E-3</v>
      </c>
      <c r="S77" s="309">
        <f t="shared" si="6"/>
        <v>0.76719999999999999</v>
      </c>
      <c r="T77" s="308">
        <f t="shared" si="7"/>
        <v>9.7809858064516089</v>
      </c>
    </row>
    <row r="78" spans="13:20" x14ac:dyDescent="0.2">
      <c r="M78" s="309">
        <f>Tornado!BU76</f>
        <v>3.90625E-3</v>
      </c>
      <c r="N78" s="310">
        <f>Tornado!BV76</f>
        <v>0.25</v>
      </c>
      <c r="O78" s="308">
        <f>Tornado!BW76</f>
        <v>10.243599999999999</v>
      </c>
      <c r="P78" s="308">
        <f t="shared" si="4"/>
        <v>7.6800000000000007E-2</v>
      </c>
      <c r="R78" s="293">
        <f t="shared" si="5"/>
        <v>1.1999999999999789E-3</v>
      </c>
      <c r="S78" s="309">
        <f t="shared" si="6"/>
        <v>0.76839999999999997</v>
      </c>
      <c r="T78" s="308">
        <f t="shared" si="7"/>
        <v>9.7809858064516089</v>
      </c>
    </row>
    <row r="79" spans="13:20" x14ac:dyDescent="0.2">
      <c r="M79" s="309">
        <f>Tornado!BU77</f>
        <v>3.90625E-3</v>
      </c>
      <c r="N79" s="310">
        <f>Tornado!BV77</f>
        <v>0.25390625</v>
      </c>
      <c r="O79" s="308">
        <f>Tornado!BW77</f>
        <v>10.243599999999999</v>
      </c>
      <c r="P79" s="308">
        <f t="shared" si="4"/>
        <v>7.8000000000000014E-2</v>
      </c>
      <c r="R79" s="293">
        <f t="shared" si="5"/>
        <v>1.1999999999999789E-3</v>
      </c>
      <c r="S79" s="309">
        <f t="shared" si="6"/>
        <v>0.76959999999999995</v>
      </c>
      <c r="T79" s="308">
        <f t="shared" si="7"/>
        <v>10.243599999999999</v>
      </c>
    </row>
    <row r="80" spans="13:20" x14ac:dyDescent="0.2">
      <c r="M80" s="309">
        <f>Tornado!BU78</f>
        <v>1.953125E-3</v>
      </c>
      <c r="N80" s="310">
        <f>Tornado!BV78</f>
        <v>0.255859375</v>
      </c>
      <c r="O80" s="308">
        <f>Tornado!BW78</f>
        <v>10.30968774193548</v>
      </c>
      <c r="P80" s="308">
        <f t="shared" si="4"/>
        <v>7.8600000000000003E-2</v>
      </c>
      <c r="R80" s="293">
        <f t="shared" si="5"/>
        <v>1.1999999999999789E-3</v>
      </c>
      <c r="S80" s="309">
        <f t="shared" si="6"/>
        <v>0.77079999999999993</v>
      </c>
      <c r="T80" s="308">
        <f t="shared" si="7"/>
        <v>10.243599999999999</v>
      </c>
    </row>
    <row r="81" spans="13:20" x14ac:dyDescent="0.2">
      <c r="M81" s="309">
        <f>Tornado!BU79</f>
        <v>1.953125E-3</v>
      </c>
      <c r="N81" s="310">
        <f>Tornado!BV79</f>
        <v>0.2578125</v>
      </c>
      <c r="O81" s="308">
        <f>Tornado!BW79</f>
        <v>10.30968774193548</v>
      </c>
      <c r="P81" s="308">
        <f t="shared" si="4"/>
        <v>7.9200000000000007E-2</v>
      </c>
      <c r="R81" s="293">
        <f t="shared" si="5"/>
        <v>6.0000000000004494E-4</v>
      </c>
      <c r="S81" s="309">
        <f t="shared" si="6"/>
        <v>0.77139999999999997</v>
      </c>
      <c r="T81" s="308">
        <f t="shared" si="7"/>
        <v>10.30968774193548</v>
      </c>
    </row>
    <row r="82" spans="13:20" x14ac:dyDescent="0.2">
      <c r="M82" s="309">
        <f>Tornado!BU80</f>
        <v>9.765625E-4</v>
      </c>
      <c r="N82" s="310">
        <f>Tornado!BV80</f>
        <v>0.2587890625</v>
      </c>
      <c r="O82" s="308">
        <f>Tornado!BW80</f>
        <v>10.665586064516129</v>
      </c>
      <c r="P82" s="308">
        <f t="shared" si="4"/>
        <v>7.9500000000000001E-2</v>
      </c>
      <c r="R82" s="293">
        <f t="shared" si="5"/>
        <v>6.0000000000004494E-4</v>
      </c>
      <c r="S82" s="309">
        <f t="shared" si="6"/>
        <v>0.77200000000000002</v>
      </c>
      <c r="T82" s="308">
        <f t="shared" si="7"/>
        <v>10.30968774193548</v>
      </c>
    </row>
    <row r="83" spans="13:20" x14ac:dyDescent="0.2">
      <c r="M83" s="309">
        <f>Tornado!BU81</f>
        <v>9.765625E-4</v>
      </c>
      <c r="N83" s="310">
        <f>Tornado!BV81</f>
        <v>0.259765625</v>
      </c>
      <c r="O83" s="308">
        <f>Tornado!BW81</f>
        <v>10.665586064516129</v>
      </c>
      <c r="P83" s="308">
        <f t="shared" si="4"/>
        <v>7.980000000000001E-2</v>
      </c>
      <c r="R83" s="293">
        <f t="shared" si="5"/>
        <v>2.9999999999996696E-4</v>
      </c>
      <c r="S83" s="309">
        <f t="shared" si="6"/>
        <v>0.77229999999999999</v>
      </c>
      <c r="T83" s="308">
        <f t="shared" si="7"/>
        <v>10.665586064516129</v>
      </c>
    </row>
    <row r="84" spans="13:20" x14ac:dyDescent="0.2">
      <c r="M84" s="309">
        <f>Tornado!BU82</f>
        <v>1.953125E-3</v>
      </c>
      <c r="N84" s="310">
        <f>Tornado!BV82</f>
        <v>0.26171875</v>
      </c>
      <c r="O84" s="308">
        <f>Tornado!BW82</f>
        <v>10.83838967741935</v>
      </c>
      <c r="P84" s="308">
        <f t="shared" si="4"/>
        <v>8.0400000000000013E-2</v>
      </c>
      <c r="R84" s="293">
        <f t="shared" si="5"/>
        <v>2.9999999999996696E-4</v>
      </c>
      <c r="S84" s="309">
        <f t="shared" si="6"/>
        <v>0.77259999999999995</v>
      </c>
      <c r="T84" s="308">
        <f t="shared" si="7"/>
        <v>10.665586064516129</v>
      </c>
    </row>
    <row r="85" spans="13:20" x14ac:dyDescent="0.2">
      <c r="M85" s="309">
        <f>Tornado!BU83</f>
        <v>1.953125E-3</v>
      </c>
      <c r="N85" s="310">
        <f>Tornado!BV83</f>
        <v>0.263671875</v>
      </c>
      <c r="O85" s="308">
        <f>Tornado!BW83</f>
        <v>10.83838967741935</v>
      </c>
      <c r="P85" s="308">
        <f t="shared" si="4"/>
        <v>8.1000000000000003E-2</v>
      </c>
      <c r="R85" s="293">
        <f t="shared" si="5"/>
        <v>6.0000000000004494E-4</v>
      </c>
      <c r="S85" s="309">
        <f t="shared" si="6"/>
        <v>0.7732</v>
      </c>
      <c r="T85" s="308">
        <f t="shared" si="7"/>
        <v>10.83838967741935</v>
      </c>
    </row>
    <row r="86" spans="13:20" x14ac:dyDescent="0.2">
      <c r="M86" s="309">
        <f>Tornado!BU84</f>
        <v>9.765625E-4</v>
      </c>
      <c r="N86" s="310">
        <f>Tornado!BV84</f>
        <v>0.2646484375</v>
      </c>
      <c r="O86" s="308">
        <f>Tornado!BW84</f>
        <v>11.221698580645159</v>
      </c>
      <c r="P86" s="308">
        <f t="shared" si="4"/>
        <v>8.1300000000000011E-2</v>
      </c>
      <c r="R86" s="293">
        <f t="shared" si="5"/>
        <v>5.9999999999993392E-4</v>
      </c>
      <c r="S86" s="309">
        <f t="shared" si="6"/>
        <v>0.77379999999999993</v>
      </c>
      <c r="T86" s="308">
        <f t="shared" si="7"/>
        <v>10.83838967741935</v>
      </c>
    </row>
    <row r="87" spans="13:20" x14ac:dyDescent="0.2">
      <c r="M87" s="309">
        <f>Tornado!BU85</f>
        <v>7.8125E-3</v>
      </c>
      <c r="N87" s="310">
        <f>Tornado!BV85</f>
        <v>0.2724609375</v>
      </c>
      <c r="O87" s="308">
        <f>Tornado!BW85</f>
        <v>11.725868387096773</v>
      </c>
      <c r="P87" s="308">
        <f t="shared" si="4"/>
        <v>8.3700000000000011E-2</v>
      </c>
      <c r="R87" s="293">
        <f t="shared" si="5"/>
        <v>3.0000000000007798E-4</v>
      </c>
      <c r="S87" s="309">
        <f t="shared" si="6"/>
        <v>0.77410000000000001</v>
      </c>
      <c r="T87" s="308">
        <f t="shared" si="7"/>
        <v>11.221698580645159</v>
      </c>
    </row>
    <row r="88" spans="13:20" x14ac:dyDescent="0.2">
      <c r="M88" s="309">
        <f>Tornado!BU86</f>
        <v>9.765625E-4</v>
      </c>
      <c r="N88" s="310">
        <f>Tornado!BV86</f>
        <v>0.2734375</v>
      </c>
      <c r="O88" s="308">
        <f>Tornado!BW86</f>
        <v>12.583106064516125</v>
      </c>
      <c r="P88" s="308">
        <f t="shared" si="4"/>
        <v>8.4000000000000005E-2</v>
      </c>
      <c r="R88" s="293">
        <f t="shared" si="5"/>
        <v>2.3999999999999577E-3</v>
      </c>
      <c r="S88" s="309">
        <f t="shared" si="6"/>
        <v>0.77649999999999997</v>
      </c>
      <c r="T88" s="308">
        <f t="shared" si="7"/>
        <v>11.725868387096773</v>
      </c>
    </row>
    <row r="89" spans="13:20" x14ac:dyDescent="0.2">
      <c r="M89" s="309">
        <f>Tornado!BU87</f>
        <v>7.8125E-3</v>
      </c>
      <c r="N89" s="310">
        <f>Tornado!BV87</f>
        <v>0.28125</v>
      </c>
      <c r="O89" s="308">
        <f>Tornado!BW87</f>
        <v>12.583106064516125</v>
      </c>
      <c r="P89" s="308">
        <f t="shared" si="4"/>
        <v>8.6400000000000005E-2</v>
      </c>
      <c r="R89" s="293">
        <f t="shared" si="5"/>
        <v>2.9999999999996696E-4</v>
      </c>
      <c r="S89" s="309">
        <f t="shared" si="6"/>
        <v>0.77679999999999993</v>
      </c>
      <c r="T89" s="308">
        <f t="shared" si="7"/>
        <v>12.583106064516125</v>
      </c>
    </row>
    <row r="90" spans="13:20" x14ac:dyDescent="0.2">
      <c r="M90" s="309">
        <f>Tornado!BU88</f>
        <v>1.953125E-3</v>
      </c>
      <c r="N90" s="310">
        <f>Tornado!BV88</f>
        <v>0.283203125</v>
      </c>
      <c r="O90" s="308">
        <f>Tornado!BW88</f>
        <v>12.589879741935482</v>
      </c>
      <c r="P90" s="308">
        <f t="shared" si="4"/>
        <v>8.7000000000000008E-2</v>
      </c>
      <c r="R90" s="293">
        <f t="shared" si="5"/>
        <v>2.4000000000000687E-3</v>
      </c>
      <c r="S90" s="309">
        <f t="shared" si="6"/>
        <v>0.7792</v>
      </c>
      <c r="T90" s="308">
        <f t="shared" si="7"/>
        <v>12.583106064516125</v>
      </c>
    </row>
    <row r="91" spans="13:20" x14ac:dyDescent="0.2">
      <c r="M91" s="309">
        <f>Tornado!BU89</f>
        <v>1.5625E-2</v>
      </c>
      <c r="N91" s="310">
        <f>Tornado!BV89</f>
        <v>0.298828125</v>
      </c>
      <c r="O91" s="308">
        <f>Tornado!BW89</f>
        <v>12.589879741935482</v>
      </c>
      <c r="P91" s="308">
        <f t="shared" si="4"/>
        <v>9.1800000000000007E-2</v>
      </c>
      <c r="R91" s="293">
        <f t="shared" si="5"/>
        <v>5.9999999999993392E-4</v>
      </c>
      <c r="S91" s="309">
        <f t="shared" si="6"/>
        <v>0.77979999999999994</v>
      </c>
      <c r="T91" s="308">
        <f t="shared" si="7"/>
        <v>12.589879741935482</v>
      </c>
    </row>
    <row r="92" spans="13:20" x14ac:dyDescent="0.2">
      <c r="M92" s="309">
        <f>Tornado!BU90</f>
        <v>1.953125E-3</v>
      </c>
      <c r="N92" s="310">
        <f>Tornado!BV90</f>
        <v>0.30078125</v>
      </c>
      <c r="O92" s="308">
        <f>Tornado!BW90</f>
        <v>12.744167483870966</v>
      </c>
      <c r="P92" s="308">
        <f t="shared" si="4"/>
        <v>9.240000000000001E-2</v>
      </c>
      <c r="R92" s="293">
        <f t="shared" si="5"/>
        <v>4.8000000000000265E-3</v>
      </c>
      <c r="S92" s="309">
        <f t="shared" si="6"/>
        <v>0.78459999999999996</v>
      </c>
      <c r="T92" s="308">
        <f t="shared" si="7"/>
        <v>12.589879741935482</v>
      </c>
    </row>
    <row r="93" spans="13:20" x14ac:dyDescent="0.2">
      <c r="M93" s="309">
        <f>Tornado!BU91</f>
        <v>1.953125E-3</v>
      </c>
      <c r="N93" s="310">
        <f>Tornado!BV91</f>
        <v>0.302734375</v>
      </c>
      <c r="O93" s="308">
        <f>Tornado!BW91</f>
        <v>12.744167483870966</v>
      </c>
      <c r="P93" s="308">
        <f t="shared" si="4"/>
        <v>9.3000000000000013E-2</v>
      </c>
      <c r="R93" s="293">
        <f t="shared" si="5"/>
        <v>6.0000000000004494E-4</v>
      </c>
      <c r="S93" s="309">
        <f t="shared" si="6"/>
        <v>0.78520000000000001</v>
      </c>
      <c r="T93" s="308">
        <f t="shared" si="7"/>
        <v>12.744167483870966</v>
      </c>
    </row>
    <row r="94" spans="13:20" x14ac:dyDescent="0.2">
      <c r="M94" s="309">
        <f>Tornado!BU92</f>
        <v>7.8125E-3</v>
      </c>
      <c r="N94" s="310">
        <f>Tornado!BV92</f>
        <v>0.310546875</v>
      </c>
      <c r="O94" s="308">
        <f>Tornado!BW92</f>
        <v>12.953197419354836</v>
      </c>
      <c r="P94" s="308">
        <f t="shared" si="4"/>
        <v>9.5400000000000013E-2</v>
      </c>
      <c r="R94" s="293">
        <f t="shared" si="5"/>
        <v>5.9999999999993392E-4</v>
      </c>
      <c r="S94" s="309">
        <f t="shared" si="6"/>
        <v>0.78579999999999994</v>
      </c>
      <c r="T94" s="308">
        <f t="shared" si="7"/>
        <v>12.744167483870966</v>
      </c>
    </row>
    <row r="95" spans="13:20" x14ac:dyDescent="0.2">
      <c r="M95" s="309">
        <f>Tornado!BU93</f>
        <v>3.90625E-3</v>
      </c>
      <c r="N95" s="310">
        <f>Tornado!BV93</f>
        <v>0.314453125</v>
      </c>
      <c r="O95" s="308">
        <f>Tornado!BW93</f>
        <v>12.955372903225806</v>
      </c>
      <c r="P95" s="308">
        <f t="shared" si="4"/>
        <v>9.6600000000000005E-2</v>
      </c>
      <c r="R95" s="293">
        <f t="shared" si="5"/>
        <v>2.4000000000000687E-3</v>
      </c>
      <c r="S95" s="309">
        <f t="shared" si="6"/>
        <v>0.78820000000000001</v>
      </c>
      <c r="T95" s="308">
        <f t="shared" si="7"/>
        <v>12.953197419354836</v>
      </c>
    </row>
    <row r="96" spans="13:20" x14ac:dyDescent="0.2">
      <c r="M96" s="309">
        <f>Tornado!BU94</f>
        <v>3.90625E-3</v>
      </c>
      <c r="N96" s="310">
        <f>Tornado!BV94</f>
        <v>0.318359375</v>
      </c>
      <c r="O96" s="308">
        <f>Tornado!BW94</f>
        <v>12.955372903225806</v>
      </c>
      <c r="P96" s="308">
        <f t="shared" si="4"/>
        <v>9.7800000000000012E-2</v>
      </c>
      <c r="R96" s="293">
        <f t="shared" si="5"/>
        <v>1.1999999999999789E-3</v>
      </c>
      <c r="S96" s="309">
        <f t="shared" si="6"/>
        <v>0.78939999999999999</v>
      </c>
      <c r="T96" s="308">
        <f t="shared" si="7"/>
        <v>12.955372903225806</v>
      </c>
    </row>
    <row r="97" spans="13:20" x14ac:dyDescent="0.2">
      <c r="M97" s="309">
        <f>Tornado!BU95</f>
        <v>1.953125E-3</v>
      </c>
      <c r="N97" s="310">
        <f>Tornado!BV95</f>
        <v>0.3203125</v>
      </c>
      <c r="O97" s="308">
        <f>Tornado!BW95</f>
        <v>13.006067612903221</v>
      </c>
      <c r="P97" s="308">
        <f t="shared" si="4"/>
        <v>9.8400000000000015E-2</v>
      </c>
      <c r="R97" s="293">
        <f t="shared" si="5"/>
        <v>1.1999999999999789E-3</v>
      </c>
      <c r="S97" s="309">
        <f t="shared" si="6"/>
        <v>0.79059999999999997</v>
      </c>
      <c r="T97" s="308">
        <f t="shared" si="7"/>
        <v>12.955372903225806</v>
      </c>
    </row>
    <row r="98" spans="13:20" x14ac:dyDescent="0.2">
      <c r="M98" s="309">
        <f>Tornado!BU96</f>
        <v>9.765625E-4</v>
      </c>
      <c r="N98" s="310">
        <f>Tornado!BV96</f>
        <v>0.3212890625</v>
      </c>
      <c r="O98" s="308">
        <f>Tornado!BW96</f>
        <v>13.075888000000001</v>
      </c>
      <c r="P98" s="308">
        <f t="shared" si="4"/>
        <v>9.870000000000001E-2</v>
      </c>
      <c r="R98" s="293">
        <f t="shared" si="5"/>
        <v>6.0000000000004494E-4</v>
      </c>
      <c r="S98" s="309">
        <f t="shared" si="6"/>
        <v>0.79120000000000001</v>
      </c>
      <c r="T98" s="308">
        <f t="shared" si="7"/>
        <v>13.006067612903221</v>
      </c>
    </row>
    <row r="99" spans="13:20" x14ac:dyDescent="0.2">
      <c r="M99" s="309">
        <f>Tornado!BU97</f>
        <v>7.8125E-3</v>
      </c>
      <c r="N99" s="310">
        <f>Tornado!BV97</f>
        <v>0.3291015625</v>
      </c>
      <c r="O99" s="308">
        <f>Tornado!BW97</f>
        <v>13.21754838709677</v>
      </c>
      <c r="P99" s="308">
        <f t="shared" si="4"/>
        <v>0.10110000000000001</v>
      </c>
      <c r="R99" s="293">
        <f t="shared" si="5"/>
        <v>2.9999999999996696E-4</v>
      </c>
      <c r="S99" s="309">
        <f t="shared" si="6"/>
        <v>0.79149999999999998</v>
      </c>
      <c r="T99" s="308">
        <f t="shared" si="7"/>
        <v>13.075888000000001</v>
      </c>
    </row>
    <row r="100" spans="13:20" x14ac:dyDescent="0.2">
      <c r="M100" s="309">
        <f>Tornado!BU98</f>
        <v>7.8125E-3</v>
      </c>
      <c r="N100" s="310">
        <f>Tornado!BV98</f>
        <v>0.3369140625</v>
      </c>
      <c r="O100" s="308">
        <f>Tornado!BW98</f>
        <v>13.21754838709677</v>
      </c>
      <c r="P100" s="308">
        <f t="shared" si="4"/>
        <v>0.10350000000000001</v>
      </c>
      <c r="R100" s="293">
        <f t="shared" si="5"/>
        <v>2.3999999999999577E-3</v>
      </c>
      <c r="S100" s="309">
        <f t="shared" si="6"/>
        <v>0.79389999999999994</v>
      </c>
      <c r="T100" s="308">
        <f t="shared" si="7"/>
        <v>13.21754838709677</v>
      </c>
    </row>
    <row r="101" spans="13:20" x14ac:dyDescent="0.2">
      <c r="M101" s="309">
        <f>Tornado!BU99</f>
        <v>1.5625E-2</v>
      </c>
      <c r="N101" s="310">
        <f>Tornado!BV99</f>
        <v>0.3525390625</v>
      </c>
      <c r="O101" s="308">
        <f>Tornado!BW99</f>
        <v>13.57732129032258</v>
      </c>
      <c r="P101" s="308">
        <f t="shared" si="4"/>
        <v>0.10830000000000001</v>
      </c>
      <c r="R101" s="293">
        <f t="shared" si="5"/>
        <v>2.4000000000000687E-3</v>
      </c>
      <c r="S101" s="309">
        <f t="shared" si="6"/>
        <v>0.79630000000000001</v>
      </c>
      <c r="T101" s="308">
        <f t="shared" si="7"/>
        <v>13.21754838709677</v>
      </c>
    </row>
    <row r="102" spans="13:20" x14ac:dyDescent="0.2">
      <c r="M102" s="309">
        <f>Tornado!BU100</f>
        <v>1.5625E-2</v>
      </c>
      <c r="N102" s="310">
        <f>Tornado!BV100</f>
        <v>0.3681640625</v>
      </c>
      <c r="O102" s="308">
        <f>Tornado!BW100</f>
        <v>13.57732129032258</v>
      </c>
      <c r="P102" s="308">
        <f t="shared" si="4"/>
        <v>0.11310000000000001</v>
      </c>
      <c r="R102" s="293">
        <f t="shared" si="5"/>
        <v>4.7999999999999154E-3</v>
      </c>
      <c r="S102" s="309">
        <f t="shared" si="6"/>
        <v>0.80109999999999992</v>
      </c>
      <c r="T102" s="308">
        <f t="shared" si="7"/>
        <v>13.57732129032258</v>
      </c>
    </row>
    <row r="103" spans="13:20" x14ac:dyDescent="0.2">
      <c r="M103" s="309">
        <f>Tornado!BU101</f>
        <v>1.953125E-3</v>
      </c>
      <c r="N103" s="310">
        <f>Tornado!BV101</f>
        <v>0.3701171875</v>
      </c>
      <c r="O103" s="308">
        <f>Tornado!BW101</f>
        <v>13.693380129032256</v>
      </c>
      <c r="P103" s="308">
        <f t="shared" si="4"/>
        <v>0.11370000000000001</v>
      </c>
      <c r="R103" s="293">
        <f t="shared" si="5"/>
        <v>4.8000000000000265E-3</v>
      </c>
      <c r="S103" s="309">
        <f t="shared" si="6"/>
        <v>0.80589999999999995</v>
      </c>
      <c r="T103" s="308">
        <f t="shared" si="7"/>
        <v>13.57732129032258</v>
      </c>
    </row>
    <row r="104" spans="13:20" x14ac:dyDescent="0.2">
      <c r="M104" s="309">
        <f>Tornado!BU102</f>
        <v>1.953125E-3</v>
      </c>
      <c r="N104" s="310">
        <f>Tornado!BV102</f>
        <v>0.3720703125</v>
      </c>
      <c r="O104" s="308">
        <f>Tornado!BW102</f>
        <v>13.693380129032256</v>
      </c>
      <c r="P104" s="308">
        <f t="shared" si="4"/>
        <v>0.11430000000000001</v>
      </c>
      <c r="R104" s="293">
        <f t="shared" si="5"/>
        <v>6.0000000000004494E-4</v>
      </c>
      <c r="S104" s="309">
        <f t="shared" si="6"/>
        <v>0.80649999999999999</v>
      </c>
      <c r="T104" s="308">
        <f t="shared" si="7"/>
        <v>13.693380129032256</v>
      </c>
    </row>
    <row r="105" spans="13:20" x14ac:dyDescent="0.2">
      <c r="M105" s="309">
        <f>Tornado!BU103</f>
        <v>3.90625E-3</v>
      </c>
      <c r="N105" s="310">
        <f>Tornado!BV103</f>
        <v>0.3759765625</v>
      </c>
      <c r="O105" s="308">
        <f>Tornado!BW103</f>
        <v>13.700751483870965</v>
      </c>
      <c r="P105" s="308">
        <f t="shared" si="4"/>
        <v>0.11550000000000001</v>
      </c>
      <c r="R105" s="293">
        <f t="shared" si="5"/>
        <v>5.9999999999993392E-4</v>
      </c>
      <c r="S105" s="309">
        <f t="shared" si="6"/>
        <v>0.80709999999999993</v>
      </c>
      <c r="T105" s="308">
        <f t="shared" si="7"/>
        <v>13.693380129032256</v>
      </c>
    </row>
    <row r="106" spans="13:20" x14ac:dyDescent="0.2">
      <c r="M106" s="309">
        <f>Tornado!BU104</f>
        <v>3.90625E-3</v>
      </c>
      <c r="N106" s="310">
        <f>Tornado!BV104</f>
        <v>0.3798828125</v>
      </c>
      <c r="O106" s="308">
        <f>Tornado!BW104</f>
        <v>13.700751483870965</v>
      </c>
      <c r="P106" s="308">
        <f t="shared" si="4"/>
        <v>0.11670000000000001</v>
      </c>
      <c r="R106" s="293">
        <f t="shared" si="5"/>
        <v>1.2000000000000899E-3</v>
      </c>
      <c r="S106" s="309">
        <f t="shared" si="6"/>
        <v>0.80830000000000002</v>
      </c>
      <c r="T106" s="308">
        <f t="shared" si="7"/>
        <v>13.700751483870965</v>
      </c>
    </row>
    <row r="107" spans="13:20" x14ac:dyDescent="0.2">
      <c r="M107" s="309">
        <f>Tornado!BU105</f>
        <v>1.953125E-3</v>
      </c>
      <c r="N107" s="310">
        <f>Tornado!BV105</f>
        <v>0.3818359375</v>
      </c>
      <c r="O107" s="308">
        <f>Tornado!BW105</f>
        <v>13.738721032258061</v>
      </c>
      <c r="P107" s="308">
        <f t="shared" si="4"/>
        <v>0.11730000000000002</v>
      </c>
      <c r="R107" s="293">
        <f t="shared" si="5"/>
        <v>1.1999999999999789E-3</v>
      </c>
      <c r="S107" s="309">
        <f t="shared" si="6"/>
        <v>0.8095</v>
      </c>
      <c r="T107" s="308">
        <f t="shared" si="7"/>
        <v>13.700751483870965</v>
      </c>
    </row>
    <row r="108" spans="13:20" x14ac:dyDescent="0.2">
      <c r="M108" s="309">
        <f>Tornado!BU106</f>
        <v>1.5625E-2</v>
      </c>
      <c r="N108" s="310">
        <f>Tornado!BV106</f>
        <v>0.3974609375</v>
      </c>
      <c r="O108" s="308">
        <f>Tornado!BW106</f>
        <v>14.040184516129031</v>
      </c>
      <c r="P108" s="308">
        <f t="shared" si="4"/>
        <v>0.12210000000000001</v>
      </c>
      <c r="R108" s="293">
        <f t="shared" si="5"/>
        <v>6.0000000000004494E-4</v>
      </c>
      <c r="S108" s="309">
        <f t="shared" si="6"/>
        <v>0.81010000000000004</v>
      </c>
      <c r="T108" s="308">
        <f t="shared" si="7"/>
        <v>13.738721032258061</v>
      </c>
    </row>
    <row r="109" spans="13:20" x14ac:dyDescent="0.2">
      <c r="M109" s="309">
        <f>Tornado!BU107</f>
        <v>1.953125E-3</v>
      </c>
      <c r="N109" s="310">
        <f>Tornado!BV107</f>
        <v>0.3994140625</v>
      </c>
      <c r="O109" s="308">
        <f>Tornado!BW107</f>
        <v>14.341039999999996</v>
      </c>
      <c r="P109" s="308">
        <f t="shared" si="4"/>
        <v>0.12270000000000002</v>
      </c>
      <c r="R109" s="293">
        <f t="shared" si="5"/>
        <v>4.7999999999999154E-3</v>
      </c>
      <c r="S109" s="309">
        <f t="shared" si="6"/>
        <v>0.81489999999999996</v>
      </c>
      <c r="T109" s="308">
        <f t="shared" si="7"/>
        <v>14.040184516129031</v>
      </c>
    </row>
    <row r="110" spans="13:20" x14ac:dyDescent="0.2">
      <c r="M110" s="309">
        <f>Tornado!BU108</f>
        <v>1.953125E-3</v>
      </c>
      <c r="N110" s="310">
        <f>Tornado!BV108</f>
        <v>0.4013671875</v>
      </c>
      <c r="O110" s="308">
        <f>Tornado!BW108</f>
        <v>14.341039999999996</v>
      </c>
      <c r="P110" s="308">
        <f t="shared" si="4"/>
        <v>0.12330000000000001</v>
      </c>
      <c r="R110" s="293">
        <f t="shared" si="5"/>
        <v>6.0000000000004494E-4</v>
      </c>
      <c r="S110" s="309">
        <f t="shared" si="6"/>
        <v>0.8155</v>
      </c>
      <c r="T110" s="308">
        <f t="shared" si="7"/>
        <v>14.341039999999996</v>
      </c>
    </row>
    <row r="111" spans="13:20" x14ac:dyDescent="0.2">
      <c r="M111" s="309">
        <f>Tornado!BU109</f>
        <v>3.90625E-3</v>
      </c>
      <c r="N111" s="310">
        <f>Tornado!BV109</f>
        <v>0.4052734375</v>
      </c>
      <c r="O111" s="308">
        <f>Tornado!BW109</f>
        <v>14.34876</v>
      </c>
      <c r="P111" s="308">
        <f t="shared" si="4"/>
        <v>0.12450000000000001</v>
      </c>
      <c r="R111" s="293">
        <f t="shared" si="5"/>
        <v>5.9999999999993392E-4</v>
      </c>
      <c r="S111" s="309">
        <f t="shared" si="6"/>
        <v>0.81609999999999994</v>
      </c>
      <c r="T111" s="308">
        <f t="shared" si="7"/>
        <v>14.341039999999996</v>
      </c>
    </row>
    <row r="112" spans="13:20" x14ac:dyDescent="0.2">
      <c r="M112" s="309">
        <f>Tornado!BU110</f>
        <v>3.90625E-3</v>
      </c>
      <c r="N112" s="310">
        <f>Tornado!BV110</f>
        <v>0.4091796875</v>
      </c>
      <c r="O112" s="308">
        <f>Tornado!BW110</f>
        <v>14.34876</v>
      </c>
      <c r="P112" s="308">
        <f t="shared" si="4"/>
        <v>0.12570000000000001</v>
      </c>
      <c r="R112" s="293">
        <f t="shared" si="5"/>
        <v>1.2000000000000899E-3</v>
      </c>
      <c r="S112" s="309">
        <f t="shared" si="6"/>
        <v>0.81730000000000003</v>
      </c>
      <c r="T112" s="308">
        <f t="shared" si="7"/>
        <v>14.34876</v>
      </c>
    </row>
    <row r="113" spans="13:20" x14ac:dyDescent="0.2">
      <c r="M113" s="309">
        <f>Tornado!BU111</f>
        <v>9.765625E-4</v>
      </c>
      <c r="N113" s="310">
        <f>Tornado!BV111</f>
        <v>0.41015625</v>
      </c>
      <c r="O113" s="308">
        <f>Tornado!BW111</f>
        <v>15.173745548387094</v>
      </c>
      <c r="P113" s="308">
        <f t="shared" si="4"/>
        <v>0.126</v>
      </c>
      <c r="R113" s="293">
        <f t="shared" si="5"/>
        <v>1.1999999999999789E-3</v>
      </c>
      <c r="S113" s="309">
        <f t="shared" si="6"/>
        <v>0.81850000000000001</v>
      </c>
      <c r="T113" s="308">
        <f t="shared" si="7"/>
        <v>14.34876</v>
      </c>
    </row>
    <row r="114" spans="13:20" x14ac:dyDescent="0.2">
      <c r="M114" s="309">
        <f>Tornado!BU112</f>
        <v>9.765625E-4</v>
      </c>
      <c r="N114" s="310">
        <f>Tornado!BV112</f>
        <v>0.4111328125</v>
      </c>
      <c r="O114" s="308">
        <f>Tornado!BW112</f>
        <v>15.173745548387094</v>
      </c>
      <c r="P114" s="308">
        <f t="shared" si="4"/>
        <v>0.12630000000000002</v>
      </c>
      <c r="R114" s="293">
        <f t="shared" si="5"/>
        <v>2.9999999999996696E-4</v>
      </c>
      <c r="S114" s="309">
        <f t="shared" si="6"/>
        <v>0.81879999999999997</v>
      </c>
      <c r="T114" s="308">
        <f t="shared" si="7"/>
        <v>15.173745548387094</v>
      </c>
    </row>
    <row r="115" spans="13:20" x14ac:dyDescent="0.2">
      <c r="M115" s="309">
        <f>Tornado!BU113</f>
        <v>1.953125E-3</v>
      </c>
      <c r="N115" s="310">
        <f>Tornado!BV113</f>
        <v>0.4130859375</v>
      </c>
      <c r="O115" s="308">
        <f>Tornado!BW113</f>
        <v>15.181913806451611</v>
      </c>
      <c r="P115" s="308">
        <f t="shared" si="4"/>
        <v>0.12690000000000001</v>
      </c>
      <c r="R115" s="293">
        <f t="shared" si="5"/>
        <v>2.9999999999996696E-4</v>
      </c>
      <c r="S115" s="309">
        <f t="shared" si="6"/>
        <v>0.81909999999999994</v>
      </c>
      <c r="T115" s="308">
        <f t="shared" si="7"/>
        <v>15.173745548387094</v>
      </c>
    </row>
    <row r="116" spans="13:20" x14ac:dyDescent="0.2">
      <c r="M116" s="309">
        <f>Tornado!BU114</f>
        <v>1.953125E-3</v>
      </c>
      <c r="N116" s="310">
        <f>Tornado!BV114</f>
        <v>0.4150390625</v>
      </c>
      <c r="O116" s="308">
        <f>Tornado!BW114</f>
        <v>15.181913806451611</v>
      </c>
      <c r="P116" s="308">
        <f t="shared" si="4"/>
        <v>0.1275</v>
      </c>
      <c r="R116" s="293">
        <f t="shared" si="5"/>
        <v>6.0000000000004494E-4</v>
      </c>
      <c r="S116" s="309">
        <f t="shared" si="6"/>
        <v>0.81969999999999998</v>
      </c>
      <c r="T116" s="308">
        <f t="shared" si="7"/>
        <v>15.181913806451611</v>
      </c>
    </row>
    <row r="117" spans="13:20" x14ac:dyDescent="0.2">
      <c r="M117" s="309">
        <f>Tornado!BU115</f>
        <v>9.765625E-4</v>
      </c>
      <c r="N117" s="310">
        <f>Tornado!BV115</f>
        <v>0.416015625</v>
      </c>
      <c r="O117" s="308">
        <f>Tornado!BW115</f>
        <v>15.385226322580639</v>
      </c>
      <c r="P117" s="308">
        <f t="shared" si="4"/>
        <v>0.12780000000000002</v>
      </c>
      <c r="R117" s="293">
        <f t="shared" si="5"/>
        <v>6.0000000000004494E-4</v>
      </c>
      <c r="S117" s="309">
        <f t="shared" si="6"/>
        <v>0.82030000000000003</v>
      </c>
      <c r="T117" s="308">
        <f t="shared" si="7"/>
        <v>15.181913806451611</v>
      </c>
    </row>
    <row r="118" spans="13:20" x14ac:dyDescent="0.2">
      <c r="M118" s="309">
        <f>Tornado!BU116</f>
        <v>3.90625E-3</v>
      </c>
      <c r="N118" s="310">
        <f>Tornado!BV116</f>
        <v>0.419921875</v>
      </c>
      <c r="O118" s="308">
        <f>Tornado!BW116</f>
        <v>15.90799277419355</v>
      </c>
      <c r="P118" s="308">
        <f t="shared" si="4"/>
        <v>0.129</v>
      </c>
      <c r="R118" s="293">
        <f t="shared" si="5"/>
        <v>2.9999999999996696E-4</v>
      </c>
      <c r="S118" s="309">
        <f t="shared" si="6"/>
        <v>0.8206</v>
      </c>
      <c r="T118" s="308">
        <f t="shared" si="7"/>
        <v>15.385226322580639</v>
      </c>
    </row>
    <row r="119" spans="13:20" x14ac:dyDescent="0.2">
      <c r="M119" s="309">
        <f>Tornado!BU117</f>
        <v>3.90625E-3</v>
      </c>
      <c r="N119" s="310">
        <f>Tornado!BV117</f>
        <v>0.423828125</v>
      </c>
      <c r="O119" s="308">
        <f>Tornado!BW117</f>
        <v>15.90799277419355</v>
      </c>
      <c r="P119" s="308">
        <f t="shared" si="4"/>
        <v>0.13020000000000001</v>
      </c>
      <c r="R119" s="293">
        <f t="shared" si="5"/>
        <v>1.1999999999999789E-3</v>
      </c>
      <c r="S119" s="309">
        <f t="shared" si="6"/>
        <v>0.82179999999999997</v>
      </c>
      <c r="T119" s="308">
        <f t="shared" si="7"/>
        <v>15.90799277419355</v>
      </c>
    </row>
    <row r="120" spans="13:20" x14ac:dyDescent="0.2">
      <c r="M120" s="309">
        <f>Tornado!BU118</f>
        <v>7.8125E-3</v>
      </c>
      <c r="N120" s="310">
        <f>Tornado!BV118</f>
        <v>0.431640625</v>
      </c>
      <c r="O120" s="308">
        <f>Tornado!BW118</f>
        <v>16.04592516129032</v>
      </c>
      <c r="P120" s="308">
        <f t="shared" si="4"/>
        <v>0.13260000000000002</v>
      </c>
      <c r="R120" s="293">
        <f t="shared" si="5"/>
        <v>1.1999999999999789E-3</v>
      </c>
      <c r="S120" s="309">
        <f t="shared" si="6"/>
        <v>0.82299999999999995</v>
      </c>
      <c r="T120" s="308">
        <f t="shared" si="7"/>
        <v>15.90799277419355</v>
      </c>
    </row>
    <row r="121" spans="13:20" x14ac:dyDescent="0.2">
      <c r="M121" s="309">
        <f>Tornado!BU119</f>
        <v>7.8125E-3</v>
      </c>
      <c r="N121" s="310">
        <f>Tornado!BV119</f>
        <v>0.439453125</v>
      </c>
      <c r="O121" s="308">
        <f>Tornado!BW119</f>
        <v>16.04592516129032</v>
      </c>
      <c r="P121" s="308">
        <f t="shared" si="4"/>
        <v>0.13500000000000001</v>
      </c>
      <c r="R121" s="293">
        <f t="shared" si="5"/>
        <v>2.4000000000000687E-3</v>
      </c>
      <c r="S121" s="309">
        <f t="shared" si="6"/>
        <v>0.82540000000000002</v>
      </c>
      <c r="T121" s="308">
        <f t="shared" si="7"/>
        <v>16.04592516129032</v>
      </c>
    </row>
    <row r="122" spans="13:20" x14ac:dyDescent="0.2">
      <c r="M122" s="309">
        <f>Tornado!BU120</f>
        <v>3.90625E-3</v>
      </c>
      <c r="N122" s="310">
        <f>Tornado!BV120</f>
        <v>0.443359375</v>
      </c>
      <c r="O122" s="308">
        <f>Tornado!BW120</f>
        <v>16.416215741935481</v>
      </c>
      <c r="P122" s="308">
        <f t="shared" si="4"/>
        <v>0.13620000000000002</v>
      </c>
      <c r="R122" s="293">
        <f t="shared" si="5"/>
        <v>2.3999999999999577E-3</v>
      </c>
      <c r="S122" s="309">
        <f t="shared" si="6"/>
        <v>0.82779999999999998</v>
      </c>
      <c r="T122" s="308">
        <f t="shared" si="7"/>
        <v>16.04592516129032</v>
      </c>
    </row>
    <row r="123" spans="13:20" x14ac:dyDescent="0.2">
      <c r="M123" s="309">
        <f>Tornado!BU121</f>
        <v>3.90625E-3</v>
      </c>
      <c r="N123" s="310">
        <f>Tornado!BV121</f>
        <v>0.447265625</v>
      </c>
      <c r="O123" s="308">
        <f>Tornado!BW121</f>
        <v>16.450310709677417</v>
      </c>
      <c r="P123" s="308">
        <f t="shared" si="4"/>
        <v>0.13740000000000002</v>
      </c>
      <c r="R123" s="293">
        <f t="shared" si="5"/>
        <v>1.1999999999999789E-3</v>
      </c>
      <c r="S123" s="309">
        <f t="shared" si="6"/>
        <v>0.82899999999999996</v>
      </c>
      <c r="T123" s="308">
        <f t="shared" si="7"/>
        <v>16.416215741935481</v>
      </c>
    </row>
    <row r="124" spans="13:20" x14ac:dyDescent="0.2">
      <c r="M124" s="309">
        <f>Tornado!BU122</f>
        <v>3.90625E-3</v>
      </c>
      <c r="N124" s="310">
        <f>Tornado!BV122</f>
        <v>0.451171875</v>
      </c>
      <c r="O124" s="308">
        <f>Tornado!BW122</f>
        <v>17.182812903225805</v>
      </c>
      <c r="P124" s="308">
        <f t="shared" si="4"/>
        <v>0.1386</v>
      </c>
      <c r="R124" s="293">
        <f t="shared" si="5"/>
        <v>1.2000000000000899E-3</v>
      </c>
      <c r="S124" s="309">
        <f t="shared" si="6"/>
        <v>0.83020000000000005</v>
      </c>
      <c r="T124" s="308">
        <f t="shared" si="7"/>
        <v>16.450310709677417</v>
      </c>
    </row>
    <row r="125" spans="13:20" x14ac:dyDescent="0.2">
      <c r="M125" s="309">
        <f>Tornado!BU123</f>
        <v>3.90625E-3</v>
      </c>
      <c r="N125" s="310">
        <f>Tornado!BV123</f>
        <v>0.455078125</v>
      </c>
      <c r="O125" s="308">
        <f>Tornado!BW123</f>
        <v>17.182812903225805</v>
      </c>
      <c r="P125" s="308">
        <f t="shared" si="4"/>
        <v>0.13980000000000001</v>
      </c>
      <c r="R125" s="293">
        <f t="shared" si="5"/>
        <v>1.1999999999998678E-3</v>
      </c>
      <c r="S125" s="309">
        <f t="shared" si="6"/>
        <v>0.83139999999999992</v>
      </c>
      <c r="T125" s="308">
        <f t="shared" si="7"/>
        <v>17.182812903225805</v>
      </c>
    </row>
    <row r="126" spans="13:20" x14ac:dyDescent="0.2">
      <c r="M126" s="309">
        <f>Tornado!BU124</f>
        <v>1.953125E-3</v>
      </c>
      <c r="N126" s="310">
        <f>Tornado!BV124</f>
        <v>0.45703125</v>
      </c>
      <c r="O126" s="308">
        <f>Tornado!BW124</f>
        <v>17.775976774193545</v>
      </c>
      <c r="P126" s="308">
        <f t="shared" si="4"/>
        <v>0.14040000000000002</v>
      </c>
      <c r="R126" s="293">
        <f t="shared" si="5"/>
        <v>1.2000000000000899E-3</v>
      </c>
      <c r="S126" s="309">
        <f t="shared" si="6"/>
        <v>0.83260000000000001</v>
      </c>
      <c r="T126" s="308">
        <f t="shared" si="7"/>
        <v>17.182812903225805</v>
      </c>
    </row>
    <row r="127" spans="13:20" x14ac:dyDescent="0.2">
      <c r="M127" s="309">
        <f>Tornado!BU125</f>
        <v>1.953125E-3</v>
      </c>
      <c r="N127" s="310">
        <f>Tornado!BV125</f>
        <v>0.458984375</v>
      </c>
      <c r="O127" s="308">
        <f>Tornado!BW125</f>
        <v>17.775976774193545</v>
      </c>
      <c r="P127" s="308">
        <f t="shared" si="4"/>
        <v>0.14100000000000001</v>
      </c>
      <c r="R127" s="293">
        <f t="shared" si="5"/>
        <v>5.9999999999993392E-4</v>
      </c>
      <c r="S127" s="309">
        <f t="shared" si="6"/>
        <v>0.83319999999999994</v>
      </c>
      <c r="T127" s="308">
        <f t="shared" si="7"/>
        <v>17.775976774193545</v>
      </c>
    </row>
    <row r="128" spans="13:20" x14ac:dyDescent="0.2">
      <c r="M128" s="309">
        <f>Tornado!BU126</f>
        <v>3.90625E-3</v>
      </c>
      <c r="N128" s="310">
        <f>Tornado!BV126</f>
        <v>0.462890625</v>
      </c>
      <c r="O128" s="308">
        <f>Tornado!BW126</f>
        <v>18.134476387096772</v>
      </c>
      <c r="P128" s="308">
        <f t="shared" si="4"/>
        <v>0.14220000000000002</v>
      </c>
      <c r="R128" s="293">
        <f t="shared" si="5"/>
        <v>6.0000000000004494E-4</v>
      </c>
      <c r="S128" s="309">
        <f t="shared" si="6"/>
        <v>0.83379999999999999</v>
      </c>
      <c r="T128" s="308">
        <f t="shared" si="7"/>
        <v>17.775976774193545</v>
      </c>
    </row>
    <row r="129" spans="13:20" x14ac:dyDescent="0.2">
      <c r="M129" s="309">
        <f>Tornado!BU127</f>
        <v>1.953125E-3</v>
      </c>
      <c r="N129" s="310">
        <f>Tornado!BV127</f>
        <v>0.46484375</v>
      </c>
      <c r="O129" s="308">
        <f>Tornado!BW127</f>
        <v>18.137522064516126</v>
      </c>
      <c r="P129" s="308">
        <f t="shared" si="4"/>
        <v>0.14280000000000001</v>
      </c>
      <c r="R129" s="293">
        <f t="shared" si="5"/>
        <v>1.1999999999999789E-3</v>
      </c>
      <c r="S129" s="309">
        <f t="shared" si="6"/>
        <v>0.83499999999999996</v>
      </c>
      <c r="T129" s="308">
        <f t="shared" si="7"/>
        <v>18.134476387096772</v>
      </c>
    </row>
    <row r="130" spans="13:20" x14ac:dyDescent="0.2">
      <c r="M130" s="309">
        <f>Tornado!BU128</f>
        <v>1.953125E-3</v>
      </c>
      <c r="N130" s="310">
        <f>Tornado!BV128</f>
        <v>0.466796875</v>
      </c>
      <c r="O130" s="308">
        <f>Tornado!BW128</f>
        <v>18.137522064516126</v>
      </c>
      <c r="P130" s="308">
        <f t="shared" si="4"/>
        <v>0.1434</v>
      </c>
      <c r="R130" s="293">
        <f t="shared" si="5"/>
        <v>6.0000000000004494E-4</v>
      </c>
      <c r="S130" s="309">
        <f t="shared" si="6"/>
        <v>0.83560000000000001</v>
      </c>
      <c r="T130" s="308">
        <f t="shared" si="7"/>
        <v>18.137522064516126</v>
      </c>
    </row>
    <row r="131" spans="13:20" x14ac:dyDescent="0.2">
      <c r="M131" s="309">
        <f>Tornado!BU129</f>
        <v>7.8125E-3</v>
      </c>
      <c r="N131" s="310">
        <f>Tornado!BV129</f>
        <v>0.474609375</v>
      </c>
      <c r="O131" s="308">
        <f>Tornado!BW129</f>
        <v>18.1442384516129</v>
      </c>
      <c r="P131" s="308">
        <f t="shared" si="4"/>
        <v>0.14580000000000001</v>
      </c>
      <c r="R131" s="293">
        <f t="shared" si="5"/>
        <v>5.9999999999993392E-4</v>
      </c>
      <c r="S131" s="309">
        <f t="shared" si="6"/>
        <v>0.83619999999999994</v>
      </c>
      <c r="T131" s="308">
        <f t="shared" si="7"/>
        <v>18.137522064516126</v>
      </c>
    </row>
    <row r="132" spans="13:20" x14ac:dyDescent="0.2">
      <c r="M132" s="309">
        <f>Tornado!BU130</f>
        <v>3.90625E-3</v>
      </c>
      <c r="N132" s="310">
        <f>Tornado!BV130</f>
        <v>0.478515625</v>
      </c>
      <c r="O132" s="308">
        <f>Tornado!BW130</f>
        <v>18.504567741935478</v>
      </c>
      <c r="P132" s="308">
        <f t="shared" si="4"/>
        <v>0.14700000000000002</v>
      </c>
      <c r="R132" s="293">
        <f t="shared" si="5"/>
        <v>2.4000000000000687E-3</v>
      </c>
      <c r="S132" s="309">
        <f t="shared" si="6"/>
        <v>0.83860000000000001</v>
      </c>
      <c r="T132" s="308">
        <f t="shared" si="7"/>
        <v>18.1442384516129</v>
      </c>
    </row>
    <row r="133" spans="13:20" x14ac:dyDescent="0.2">
      <c r="M133" s="309">
        <f>Tornado!BU131</f>
        <v>3.90625E-3</v>
      </c>
      <c r="N133" s="310">
        <f>Tornado!BV131</f>
        <v>0.482421875</v>
      </c>
      <c r="O133" s="308">
        <f>Tornado!BW131</f>
        <v>18.504567741935478</v>
      </c>
      <c r="P133" s="308">
        <f t="shared" si="4"/>
        <v>0.14820000000000003</v>
      </c>
      <c r="R133" s="293">
        <f t="shared" si="5"/>
        <v>1.1999999999999789E-3</v>
      </c>
      <c r="S133" s="309">
        <f t="shared" si="6"/>
        <v>0.83979999999999999</v>
      </c>
      <c r="T133" s="308">
        <f t="shared" si="7"/>
        <v>18.504567741935478</v>
      </c>
    </row>
    <row r="134" spans="13:20" x14ac:dyDescent="0.2">
      <c r="M134" s="309">
        <f>Tornado!BU132</f>
        <v>7.8125E-3</v>
      </c>
      <c r="N134" s="310">
        <f>Tornado!BV132</f>
        <v>0.490234375</v>
      </c>
      <c r="O134" s="308">
        <f>Tornado!BW132</f>
        <v>18.514529032258061</v>
      </c>
      <c r="P134" s="308">
        <f t="shared" si="4"/>
        <v>0.15060000000000001</v>
      </c>
      <c r="R134" s="293">
        <f t="shared" si="5"/>
        <v>1.1999999999999789E-3</v>
      </c>
      <c r="S134" s="309">
        <f t="shared" si="6"/>
        <v>0.84099999999999997</v>
      </c>
      <c r="T134" s="308">
        <f t="shared" si="7"/>
        <v>18.504567741935478</v>
      </c>
    </row>
    <row r="135" spans="13:20" x14ac:dyDescent="0.2">
      <c r="M135" s="309">
        <f>Tornado!BU133</f>
        <v>7.8125E-3</v>
      </c>
      <c r="N135" s="310">
        <f>Tornado!BV133</f>
        <v>0.498046875</v>
      </c>
      <c r="O135" s="308">
        <f>Tornado!BW133</f>
        <v>18.514529032258061</v>
      </c>
      <c r="P135" s="308">
        <f t="shared" ref="P135:P198" si="8">pCrossChasm_total * N135</f>
        <v>0.15300000000000002</v>
      </c>
      <c r="R135" s="293">
        <f t="shared" si="5"/>
        <v>2.3999999999999577E-3</v>
      </c>
      <c r="S135" s="309">
        <f t="shared" si="6"/>
        <v>0.84339999999999993</v>
      </c>
      <c r="T135" s="308">
        <f t="shared" si="7"/>
        <v>18.514529032258061</v>
      </c>
    </row>
    <row r="136" spans="13:20" x14ac:dyDescent="0.2">
      <c r="M136" s="309">
        <f>Tornado!BU134</f>
        <v>1.953125E-3</v>
      </c>
      <c r="N136" s="310">
        <f>Tornado!BV134</f>
        <v>0.5</v>
      </c>
      <c r="O136" s="308">
        <f>Tornado!BW134</f>
        <v>18.702830967741932</v>
      </c>
      <c r="P136" s="308">
        <f t="shared" si="8"/>
        <v>0.15360000000000001</v>
      </c>
      <c r="R136" s="293">
        <f t="shared" ref="R136:R199" si="9">S136-S135</f>
        <v>2.4000000000000687E-3</v>
      </c>
      <c r="S136" s="309">
        <f t="shared" si="6"/>
        <v>0.8458</v>
      </c>
      <c r="T136" s="308">
        <f t="shared" si="7"/>
        <v>18.514529032258061</v>
      </c>
    </row>
    <row r="137" spans="13:20" x14ac:dyDescent="0.2">
      <c r="M137" s="309">
        <f>Tornado!BU135</f>
        <v>1.953125E-3</v>
      </c>
      <c r="N137" s="310">
        <f>Tornado!BV135</f>
        <v>0.501953125</v>
      </c>
      <c r="O137" s="308">
        <f>Tornado!BW135</f>
        <v>18.800355096774194</v>
      </c>
      <c r="P137" s="308">
        <f t="shared" si="8"/>
        <v>0.1542</v>
      </c>
      <c r="R137" s="293">
        <f t="shared" si="9"/>
        <v>6.0000000000004494E-4</v>
      </c>
      <c r="S137" s="309">
        <f t="shared" ref="S137:S200" si="10">P136+$S$7</f>
        <v>0.84640000000000004</v>
      </c>
      <c r="T137" s="308">
        <f t="shared" ref="T137:T200" si="11">O136</f>
        <v>18.702830967741932</v>
      </c>
    </row>
    <row r="138" spans="13:20" x14ac:dyDescent="0.2">
      <c r="M138" s="309">
        <f>Tornado!BU136</f>
        <v>1.953125E-3</v>
      </c>
      <c r="N138" s="310">
        <f>Tornado!BV136</f>
        <v>0.50390625</v>
      </c>
      <c r="O138" s="308">
        <f>Tornado!BW136</f>
        <v>18.800355096774194</v>
      </c>
      <c r="P138" s="308">
        <f t="shared" si="8"/>
        <v>0.15480000000000002</v>
      </c>
      <c r="R138" s="293">
        <f t="shared" si="9"/>
        <v>5.9999999999993392E-4</v>
      </c>
      <c r="S138" s="309">
        <f t="shared" si="10"/>
        <v>0.84699999999999998</v>
      </c>
      <c r="T138" s="308">
        <f t="shared" si="11"/>
        <v>18.800355096774194</v>
      </c>
    </row>
    <row r="139" spans="13:20" x14ac:dyDescent="0.2">
      <c r="M139" s="309">
        <f>Tornado!BU137</f>
        <v>7.8125E-3</v>
      </c>
      <c r="N139" s="310">
        <f>Tornado!BV137</f>
        <v>0.51171875</v>
      </c>
      <c r="O139" s="308">
        <f>Tornado!BW137</f>
        <v>19.008249806451612</v>
      </c>
      <c r="P139" s="308">
        <f t="shared" si="8"/>
        <v>0.15720000000000001</v>
      </c>
      <c r="R139" s="293">
        <f t="shared" si="9"/>
        <v>6.0000000000004494E-4</v>
      </c>
      <c r="S139" s="309">
        <f t="shared" si="10"/>
        <v>0.84760000000000002</v>
      </c>
      <c r="T139" s="308">
        <f t="shared" si="11"/>
        <v>18.800355096774194</v>
      </c>
    </row>
    <row r="140" spans="13:20" x14ac:dyDescent="0.2">
      <c r="M140" s="309">
        <f>Tornado!BU138</f>
        <v>7.8125E-3</v>
      </c>
      <c r="N140" s="310">
        <f>Tornado!BV138</f>
        <v>0.51953125</v>
      </c>
      <c r="O140" s="308">
        <f>Tornado!BW138</f>
        <v>19.008249806451612</v>
      </c>
      <c r="P140" s="308">
        <f t="shared" si="8"/>
        <v>0.15960000000000002</v>
      </c>
      <c r="R140" s="293">
        <f t="shared" si="9"/>
        <v>2.3999999999999577E-3</v>
      </c>
      <c r="S140" s="309">
        <f t="shared" si="10"/>
        <v>0.85</v>
      </c>
      <c r="T140" s="308">
        <f t="shared" si="11"/>
        <v>19.008249806451612</v>
      </c>
    </row>
    <row r="141" spans="13:20" x14ac:dyDescent="0.2">
      <c r="M141" s="309">
        <f>Tornado!BU139</f>
        <v>7.8125E-3</v>
      </c>
      <c r="N141" s="310">
        <f>Tornado!BV139</f>
        <v>0.52734375</v>
      </c>
      <c r="O141" s="308">
        <f>Tornado!BW139</f>
        <v>19.656258322580641</v>
      </c>
      <c r="P141" s="308">
        <f t="shared" si="8"/>
        <v>0.16200000000000001</v>
      </c>
      <c r="R141" s="293">
        <f t="shared" si="9"/>
        <v>2.4000000000000687E-3</v>
      </c>
      <c r="S141" s="309">
        <f t="shared" si="10"/>
        <v>0.85240000000000005</v>
      </c>
      <c r="T141" s="308">
        <f t="shared" si="11"/>
        <v>19.008249806451612</v>
      </c>
    </row>
    <row r="142" spans="13:20" x14ac:dyDescent="0.2">
      <c r="M142" s="309">
        <f>Tornado!BU140</f>
        <v>3.125E-2</v>
      </c>
      <c r="N142" s="310">
        <f>Tornado!BV140</f>
        <v>0.55859375</v>
      </c>
      <c r="O142" s="308">
        <f>Tornado!BW140</f>
        <v>20.983132903225805</v>
      </c>
      <c r="P142" s="308">
        <f t="shared" si="8"/>
        <v>0.1716</v>
      </c>
      <c r="R142" s="293">
        <f t="shared" si="9"/>
        <v>2.3999999999999577E-3</v>
      </c>
      <c r="S142" s="309">
        <f t="shared" si="10"/>
        <v>0.8548</v>
      </c>
      <c r="T142" s="308">
        <f t="shared" si="11"/>
        <v>19.656258322580641</v>
      </c>
    </row>
    <row r="143" spans="13:20" x14ac:dyDescent="0.2">
      <c r="M143" s="309">
        <f>Tornado!BU141</f>
        <v>3.90625E-3</v>
      </c>
      <c r="N143" s="310">
        <f>Tornado!BV141</f>
        <v>0.5625</v>
      </c>
      <c r="O143" s="308">
        <f>Tornado!BW141</f>
        <v>20.983132903225805</v>
      </c>
      <c r="P143" s="308">
        <f t="shared" si="8"/>
        <v>0.17280000000000001</v>
      </c>
      <c r="R143" s="293">
        <f t="shared" si="9"/>
        <v>9.5999999999999419E-3</v>
      </c>
      <c r="S143" s="309">
        <f t="shared" si="10"/>
        <v>0.86439999999999995</v>
      </c>
      <c r="T143" s="308">
        <f t="shared" si="11"/>
        <v>20.983132903225805</v>
      </c>
    </row>
    <row r="144" spans="13:20" x14ac:dyDescent="0.2">
      <c r="M144" s="309">
        <f>Tornado!BU142</f>
        <v>3.90625E-3</v>
      </c>
      <c r="N144" s="310">
        <f>Tornado!BV142</f>
        <v>0.56640625</v>
      </c>
      <c r="O144" s="308">
        <f>Tornado!BW142</f>
        <v>21.6767793548387</v>
      </c>
      <c r="P144" s="308">
        <f t="shared" si="8"/>
        <v>0.17400000000000002</v>
      </c>
      <c r="R144" s="293">
        <f t="shared" si="9"/>
        <v>1.1999999999999789E-3</v>
      </c>
      <c r="S144" s="309">
        <f t="shared" si="10"/>
        <v>0.86559999999999993</v>
      </c>
      <c r="T144" s="308">
        <f t="shared" si="11"/>
        <v>20.983132903225805</v>
      </c>
    </row>
    <row r="145" spans="13:20" x14ac:dyDescent="0.2">
      <c r="M145" s="309">
        <f>Tornado!BU143</f>
        <v>3.90625E-3</v>
      </c>
      <c r="N145" s="310">
        <f>Tornado!BV143</f>
        <v>0.5703125</v>
      </c>
      <c r="O145" s="308">
        <f>Tornado!BW143</f>
        <v>22.464295225806449</v>
      </c>
      <c r="P145" s="308">
        <f t="shared" si="8"/>
        <v>0.17520000000000002</v>
      </c>
      <c r="R145" s="293">
        <f t="shared" si="9"/>
        <v>1.2000000000000899E-3</v>
      </c>
      <c r="S145" s="309">
        <f t="shared" si="10"/>
        <v>0.86680000000000001</v>
      </c>
      <c r="T145" s="308">
        <f t="shared" si="11"/>
        <v>21.6767793548387</v>
      </c>
    </row>
    <row r="146" spans="13:20" x14ac:dyDescent="0.2">
      <c r="M146" s="309">
        <f>Tornado!BU144</f>
        <v>3.90625E-3</v>
      </c>
      <c r="N146" s="310">
        <f>Tornado!BV144</f>
        <v>0.57421875</v>
      </c>
      <c r="O146" s="308">
        <f>Tornado!BW144</f>
        <v>22.464295225806449</v>
      </c>
      <c r="P146" s="308">
        <f t="shared" si="8"/>
        <v>0.17640000000000003</v>
      </c>
      <c r="R146" s="293">
        <f t="shared" si="9"/>
        <v>1.1999999999999789E-3</v>
      </c>
      <c r="S146" s="309">
        <f t="shared" si="10"/>
        <v>0.86799999999999999</v>
      </c>
      <c r="T146" s="308">
        <f t="shared" si="11"/>
        <v>22.464295225806449</v>
      </c>
    </row>
    <row r="147" spans="13:20" x14ac:dyDescent="0.2">
      <c r="M147" s="309">
        <f>Tornado!BU145</f>
        <v>7.8125E-3</v>
      </c>
      <c r="N147" s="310">
        <f>Tornado!BV145</f>
        <v>0.58203125</v>
      </c>
      <c r="O147" s="308">
        <f>Tornado!BW145</f>
        <v>22.83458580645161</v>
      </c>
      <c r="P147" s="308">
        <f t="shared" si="8"/>
        <v>0.17880000000000001</v>
      </c>
      <c r="R147" s="293">
        <f t="shared" si="9"/>
        <v>1.1999999999999789E-3</v>
      </c>
      <c r="S147" s="309">
        <f t="shared" si="10"/>
        <v>0.86919999999999997</v>
      </c>
      <c r="T147" s="308">
        <f t="shared" si="11"/>
        <v>22.464295225806449</v>
      </c>
    </row>
    <row r="148" spans="13:20" x14ac:dyDescent="0.2">
      <c r="M148" s="309">
        <f>Tornado!BU146</f>
        <v>7.8125E-3</v>
      </c>
      <c r="N148" s="310">
        <f>Tornado!BV146</f>
        <v>0.58984375</v>
      </c>
      <c r="O148" s="308">
        <f>Tornado!BW146</f>
        <v>22.83458580645161</v>
      </c>
      <c r="P148" s="308">
        <f t="shared" si="8"/>
        <v>0.18120000000000003</v>
      </c>
      <c r="R148" s="293">
        <f t="shared" si="9"/>
        <v>2.3999999999999577E-3</v>
      </c>
      <c r="S148" s="309">
        <f t="shared" si="10"/>
        <v>0.87159999999999993</v>
      </c>
      <c r="T148" s="308">
        <f t="shared" si="11"/>
        <v>22.83458580645161</v>
      </c>
    </row>
    <row r="149" spans="13:20" x14ac:dyDescent="0.2">
      <c r="M149" s="309">
        <f>Tornado!BU147</f>
        <v>3.90625E-3</v>
      </c>
      <c r="N149" s="310">
        <f>Tornado!BV147</f>
        <v>0.59375</v>
      </c>
      <c r="O149" s="308">
        <f>Tornado!BW147</f>
        <v>22.897868387096771</v>
      </c>
      <c r="P149" s="308">
        <f t="shared" si="8"/>
        <v>0.18240000000000001</v>
      </c>
      <c r="R149" s="293">
        <f t="shared" si="9"/>
        <v>2.4000000000000687E-3</v>
      </c>
      <c r="S149" s="309">
        <f t="shared" si="10"/>
        <v>0.874</v>
      </c>
      <c r="T149" s="308">
        <f t="shared" si="11"/>
        <v>22.83458580645161</v>
      </c>
    </row>
    <row r="150" spans="13:20" x14ac:dyDescent="0.2">
      <c r="M150" s="309">
        <f>Tornado!BU148</f>
        <v>7.8125E-3</v>
      </c>
      <c r="N150" s="310">
        <f>Tornado!BV148</f>
        <v>0.6015625</v>
      </c>
      <c r="O150" s="308">
        <f>Tornado!BW148</f>
        <v>23.914599999999997</v>
      </c>
      <c r="P150" s="308">
        <f t="shared" si="8"/>
        <v>0.18480000000000002</v>
      </c>
      <c r="R150" s="293">
        <f t="shared" si="9"/>
        <v>1.1999999999999789E-3</v>
      </c>
      <c r="S150" s="309">
        <f t="shared" si="10"/>
        <v>0.87519999999999998</v>
      </c>
      <c r="T150" s="308">
        <f t="shared" si="11"/>
        <v>22.897868387096771</v>
      </c>
    </row>
    <row r="151" spans="13:20" x14ac:dyDescent="0.2">
      <c r="M151" s="309">
        <f>Tornado!BU149</f>
        <v>7.8125E-3</v>
      </c>
      <c r="N151" s="310">
        <f>Tornado!BV149</f>
        <v>0.609375</v>
      </c>
      <c r="O151" s="308">
        <f>Tornado!BW149</f>
        <v>23.914599999999997</v>
      </c>
      <c r="P151" s="308">
        <f t="shared" si="8"/>
        <v>0.18720000000000001</v>
      </c>
      <c r="R151" s="293">
        <f t="shared" si="9"/>
        <v>2.3999999999999577E-3</v>
      </c>
      <c r="S151" s="309">
        <f t="shared" si="10"/>
        <v>0.87759999999999994</v>
      </c>
      <c r="T151" s="308">
        <f t="shared" si="11"/>
        <v>23.914599999999997</v>
      </c>
    </row>
    <row r="152" spans="13:20" x14ac:dyDescent="0.2">
      <c r="M152" s="309">
        <f>Tornado!BU150</f>
        <v>1.953125E-3</v>
      </c>
      <c r="N152" s="310">
        <f>Tornado!BV150</f>
        <v>0.611328125</v>
      </c>
      <c r="O152" s="308">
        <f>Tornado!BW150</f>
        <v>24.05593806451612</v>
      </c>
      <c r="P152" s="308">
        <f t="shared" si="8"/>
        <v>0.18780000000000002</v>
      </c>
      <c r="R152" s="293">
        <f t="shared" si="9"/>
        <v>2.4000000000000687E-3</v>
      </c>
      <c r="S152" s="309">
        <f t="shared" si="10"/>
        <v>0.88</v>
      </c>
      <c r="T152" s="308">
        <f t="shared" si="11"/>
        <v>23.914599999999997</v>
      </c>
    </row>
    <row r="153" spans="13:20" x14ac:dyDescent="0.2">
      <c r="M153" s="309">
        <f>Tornado!BU151</f>
        <v>1.953125E-3</v>
      </c>
      <c r="N153" s="310">
        <f>Tornado!BV151</f>
        <v>0.61328125</v>
      </c>
      <c r="O153" s="308">
        <f>Tornado!BW151</f>
        <v>24.05593806451612</v>
      </c>
      <c r="P153" s="308">
        <f t="shared" si="8"/>
        <v>0.18840000000000001</v>
      </c>
      <c r="R153" s="293">
        <f t="shared" si="9"/>
        <v>6.0000000000004494E-4</v>
      </c>
      <c r="S153" s="309">
        <f t="shared" si="10"/>
        <v>0.88060000000000005</v>
      </c>
      <c r="T153" s="308">
        <f t="shared" si="11"/>
        <v>24.05593806451612</v>
      </c>
    </row>
    <row r="154" spans="13:20" x14ac:dyDescent="0.2">
      <c r="M154" s="309">
        <f>Tornado!BU152</f>
        <v>3.90625E-3</v>
      </c>
      <c r="N154" s="310">
        <f>Tornado!BV152</f>
        <v>0.6171875</v>
      </c>
      <c r="O154" s="308">
        <f>Tornado!BW152</f>
        <v>24.06888774193548</v>
      </c>
      <c r="P154" s="308">
        <f t="shared" si="8"/>
        <v>0.18960000000000002</v>
      </c>
      <c r="R154" s="293">
        <f t="shared" si="9"/>
        <v>5.9999999999993392E-4</v>
      </c>
      <c r="S154" s="309">
        <f t="shared" si="10"/>
        <v>0.88119999999999998</v>
      </c>
      <c r="T154" s="308">
        <f t="shared" si="11"/>
        <v>24.05593806451612</v>
      </c>
    </row>
    <row r="155" spans="13:20" x14ac:dyDescent="0.2">
      <c r="M155" s="309">
        <f>Tornado!BU153</f>
        <v>3.90625E-3</v>
      </c>
      <c r="N155" s="310">
        <f>Tornado!BV153</f>
        <v>0.62109375</v>
      </c>
      <c r="O155" s="308">
        <f>Tornado!BW153</f>
        <v>24.06888774193548</v>
      </c>
      <c r="P155" s="308">
        <f t="shared" si="8"/>
        <v>0.19080000000000003</v>
      </c>
      <c r="R155" s="293">
        <f t="shared" si="9"/>
        <v>1.1999999999999789E-3</v>
      </c>
      <c r="S155" s="309">
        <f t="shared" si="10"/>
        <v>0.88239999999999996</v>
      </c>
      <c r="T155" s="308">
        <f t="shared" si="11"/>
        <v>24.06888774193548</v>
      </c>
    </row>
    <row r="156" spans="13:20" x14ac:dyDescent="0.2">
      <c r="M156" s="309">
        <f>Tornado!BU154</f>
        <v>9.765625E-4</v>
      </c>
      <c r="N156" s="310">
        <f>Tornado!BV154</f>
        <v>0.6220703125</v>
      </c>
      <c r="O156" s="308">
        <f>Tornado!BW154</f>
        <v>24.585079741935481</v>
      </c>
      <c r="P156" s="308">
        <f t="shared" si="8"/>
        <v>0.19110000000000002</v>
      </c>
      <c r="R156" s="293">
        <f t="shared" si="9"/>
        <v>1.1999999999999789E-3</v>
      </c>
      <c r="S156" s="309">
        <f t="shared" si="10"/>
        <v>0.88359999999999994</v>
      </c>
      <c r="T156" s="308">
        <f t="shared" si="11"/>
        <v>24.06888774193548</v>
      </c>
    </row>
    <row r="157" spans="13:20" x14ac:dyDescent="0.2">
      <c r="M157" s="309">
        <f>Tornado!BU155</f>
        <v>7.8125E-3</v>
      </c>
      <c r="N157" s="310">
        <f>Tornado!BV155</f>
        <v>0.6298828125</v>
      </c>
      <c r="O157" s="308">
        <f>Tornado!BW155</f>
        <v>24.585079741935481</v>
      </c>
      <c r="P157" s="308">
        <f t="shared" si="8"/>
        <v>0.19350000000000001</v>
      </c>
      <c r="R157" s="293">
        <f t="shared" si="9"/>
        <v>3.0000000000007798E-4</v>
      </c>
      <c r="S157" s="309">
        <f t="shared" si="10"/>
        <v>0.88390000000000002</v>
      </c>
      <c r="T157" s="308">
        <f t="shared" si="11"/>
        <v>24.585079741935481</v>
      </c>
    </row>
    <row r="158" spans="13:20" x14ac:dyDescent="0.2">
      <c r="M158" s="309">
        <f>Tornado!BU156</f>
        <v>9.765625E-4</v>
      </c>
      <c r="N158" s="310">
        <f>Tornado!BV156</f>
        <v>0.630859375</v>
      </c>
      <c r="O158" s="308">
        <f>Tornado!BW156</f>
        <v>24.886367483870963</v>
      </c>
      <c r="P158" s="308">
        <f t="shared" si="8"/>
        <v>0.19380000000000003</v>
      </c>
      <c r="R158" s="293">
        <f t="shared" si="9"/>
        <v>2.3999999999999577E-3</v>
      </c>
      <c r="S158" s="309">
        <f t="shared" si="10"/>
        <v>0.88629999999999998</v>
      </c>
      <c r="T158" s="308">
        <f t="shared" si="11"/>
        <v>24.585079741935481</v>
      </c>
    </row>
    <row r="159" spans="13:20" x14ac:dyDescent="0.2">
      <c r="M159" s="309">
        <f>Tornado!BU157</f>
        <v>9.765625E-4</v>
      </c>
      <c r="N159" s="310">
        <f>Tornado!BV157</f>
        <v>0.6318359375</v>
      </c>
      <c r="O159" s="308">
        <f>Tornado!BW157</f>
        <v>24.886367483870963</v>
      </c>
      <c r="P159" s="308">
        <f t="shared" si="8"/>
        <v>0.19410000000000002</v>
      </c>
      <c r="R159" s="293">
        <f t="shared" si="9"/>
        <v>3.0000000000007798E-4</v>
      </c>
      <c r="S159" s="309">
        <f t="shared" si="10"/>
        <v>0.88660000000000005</v>
      </c>
      <c r="T159" s="308">
        <f t="shared" si="11"/>
        <v>24.886367483870963</v>
      </c>
    </row>
    <row r="160" spans="13:20" x14ac:dyDescent="0.2">
      <c r="M160" s="309">
        <f>Tornado!BU158</f>
        <v>3.90625E-3</v>
      </c>
      <c r="N160" s="310">
        <f>Tornado!BV158</f>
        <v>0.6357421875</v>
      </c>
      <c r="O160" s="308">
        <f>Tornado!BW158</f>
        <v>25.303189677419351</v>
      </c>
      <c r="P160" s="308">
        <f t="shared" si="8"/>
        <v>0.19530000000000003</v>
      </c>
      <c r="R160" s="293">
        <f t="shared" si="9"/>
        <v>2.9999999999996696E-4</v>
      </c>
      <c r="S160" s="309">
        <f t="shared" si="10"/>
        <v>0.88690000000000002</v>
      </c>
      <c r="T160" s="308">
        <f t="shared" si="11"/>
        <v>24.886367483870963</v>
      </c>
    </row>
    <row r="161" spans="13:20" x14ac:dyDescent="0.2">
      <c r="M161" s="309">
        <f>Tornado!BU159</f>
        <v>3.90625E-3</v>
      </c>
      <c r="N161" s="310">
        <f>Tornado!BV159</f>
        <v>0.6396484375</v>
      </c>
      <c r="O161" s="308">
        <f>Tornado!BW159</f>
        <v>25.303189677419351</v>
      </c>
      <c r="P161" s="308">
        <f t="shared" si="8"/>
        <v>0.19650000000000001</v>
      </c>
      <c r="R161" s="293">
        <f t="shared" si="9"/>
        <v>1.1999999999999789E-3</v>
      </c>
      <c r="S161" s="309">
        <f t="shared" si="10"/>
        <v>0.8881</v>
      </c>
      <c r="T161" s="308">
        <f t="shared" si="11"/>
        <v>25.303189677419351</v>
      </c>
    </row>
    <row r="162" spans="13:20" x14ac:dyDescent="0.2">
      <c r="M162" s="309">
        <f>Tornado!BU160</f>
        <v>1.953125E-3</v>
      </c>
      <c r="N162" s="310">
        <f>Tornado!BV160</f>
        <v>0.6416015625</v>
      </c>
      <c r="O162" s="308">
        <f>Tornado!BW160</f>
        <v>25.642043870967736</v>
      </c>
      <c r="P162" s="308">
        <f t="shared" si="8"/>
        <v>0.19710000000000003</v>
      </c>
      <c r="R162" s="293">
        <f t="shared" si="9"/>
        <v>1.1999999999999789E-3</v>
      </c>
      <c r="S162" s="309">
        <f t="shared" si="10"/>
        <v>0.88929999999999998</v>
      </c>
      <c r="T162" s="308">
        <f t="shared" si="11"/>
        <v>25.303189677419351</v>
      </c>
    </row>
    <row r="163" spans="13:20" x14ac:dyDescent="0.2">
      <c r="M163" s="309">
        <f>Tornado!BU161</f>
        <v>9.765625E-4</v>
      </c>
      <c r="N163" s="310">
        <f>Tornado!BV161</f>
        <v>0.642578125</v>
      </c>
      <c r="O163" s="308">
        <f>Tornado!BW161</f>
        <v>26.183963354838703</v>
      </c>
      <c r="P163" s="308">
        <f t="shared" si="8"/>
        <v>0.19740000000000002</v>
      </c>
      <c r="R163" s="293">
        <f t="shared" si="9"/>
        <v>6.0000000000004494E-4</v>
      </c>
      <c r="S163" s="309">
        <f t="shared" si="10"/>
        <v>0.88990000000000002</v>
      </c>
      <c r="T163" s="308">
        <f t="shared" si="11"/>
        <v>25.642043870967736</v>
      </c>
    </row>
    <row r="164" spans="13:20" x14ac:dyDescent="0.2">
      <c r="M164" s="309">
        <f>Tornado!BU162</f>
        <v>1.953125E-3</v>
      </c>
      <c r="N164" s="310">
        <f>Tornado!BV162</f>
        <v>0.64453125</v>
      </c>
      <c r="O164" s="308">
        <f>Tornado!BW162</f>
        <v>26.19805858064516</v>
      </c>
      <c r="P164" s="308">
        <f t="shared" si="8"/>
        <v>0.19800000000000001</v>
      </c>
      <c r="R164" s="293">
        <f t="shared" si="9"/>
        <v>2.9999999999996696E-4</v>
      </c>
      <c r="S164" s="309">
        <f t="shared" si="10"/>
        <v>0.89019999999999999</v>
      </c>
      <c r="T164" s="308">
        <f t="shared" si="11"/>
        <v>26.183963354838703</v>
      </c>
    </row>
    <row r="165" spans="13:20" x14ac:dyDescent="0.2">
      <c r="M165" s="309">
        <f>Tornado!BU163</f>
        <v>7.8125E-3</v>
      </c>
      <c r="N165" s="310">
        <f>Tornado!BV163</f>
        <v>0.65234375</v>
      </c>
      <c r="O165" s="308">
        <f>Tornado!BW163</f>
        <v>26.51332129032258</v>
      </c>
      <c r="P165" s="308">
        <f t="shared" si="8"/>
        <v>0.20040000000000002</v>
      </c>
      <c r="R165" s="293">
        <f t="shared" si="9"/>
        <v>6.0000000000004494E-4</v>
      </c>
      <c r="S165" s="309">
        <f t="shared" si="10"/>
        <v>0.89080000000000004</v>
      </c>
      <c r="T165" s="308">
        <f t="shared" si="11"/>
        <v>26.19805858064516</v>
      </c>
    </row>
    <row r="166" spans="13:20" x14ac:dyDescent="0.2">
      <c r="M166" s="309">
        <f>Tornado!BU164</f>
        <v>7.8125E-3</v>
      </c>
      <c r="N166" s="310">
        <f>Tornado!BV164</f>
        <v>0.66015625</v>
      </c>
      <c r="O166" s="308">
        <f>Tornado!BW164</f>
        <v>26.51332129032258</v>
      </c>
      <c r="P166" s="308">
        <f t="shared" si="8"/>
        <v>0.20280000000000001</v>
      </c>
      <c r="R166" s="293">
        <f t="shared" si="9"/>
        <v>2.3999999999999577E-3</v>
      </c>
      <c r="S166" s="309">
        <f t="shared" si="10"/>
        <v>0.89319999999999999</v>
      </c>
      <c r="T166" s="308">
        <f t="shared" si="11"/>
        <v>26.51332129032258</v>
      </c>
    </row>
    <row r="167" spans="13:20" x14ac:dyDescent="0.2">
      <c r="M167" s="309">
        <f>Tornado!BU165</f>
        <v>1.953125E-3</v>
      </c>
      <c r="N167" s="310">
        <f>Tornado!BV165</f>
        <v>0.662109375</v>
      </c>
      <c r="O167" s="308">
        <f>Tornado!BW165</f>
        <v>26.754351483870959</v>
      </c>
      <c r="P167" s="308">
        <f t="shared" si="8"/>
        <v>0.20340000000000003</v>
      </c>
      <c r="R167" s="293">
        <f t="shared" si="9"/>
        <v>2.3999999999999577E-3</v>
      </c>
      <c r="S167" s="309">
        <f t="shared" si="10"/>
        <v>0.89559999999999995</v>
      </c>
      <c r="T167" s="308">
        <f t="shared" si="11"/>
        <v>26.51332129032258</v>
      </c>
    </row>
    <row r="168" spans="13:20" x14ac:dyDescent="0.2">
      <c r="M168" s="309">
        <f>Tornado!BU166</f>
        <v>1.953125E-3</v>
      </c>
      <c r="N168" s="310">
        <f>Tornado!BV166</f>
        <v>0.6640625</v>
      </c>
      <c r="O168" s="308">
        <f>Tornado!BW166</f>
        <v>26.754351483870959</v>
      </c>
      <c r="P168" s="308">
        <f t="shared" si="8"/>
        <v>0.20400000000000001</v>
      </c>
      <c r="R168" s="293">
        <f t="shared" si="9"/>
        <v>6.0000000000004494E-4</v>
      </c>
      <c r="S168" s="309">
        <f t="shared" si="10"/>
        <v>0.8962</v>
      </c>
      <c r="T168" s="308">
        <f t="shared" si="11"/>
        <v>26.754351483870959</v>
      </c>
    </row>
    <row r="169" spans="13:20" x14ac:dyDescent="0.2">
      <c r="M169" s="309">
        <f>Tornado!BU167</f>
        <v>7.8125E-3</v>
      </c>
      <c r="N169" s="310">
        <f>Tornado!BV167</f>
        <v>0.671875</v>
      </c>
      <c r="O169" s="308">
        <f>Tornado!BW167</f>
        <v>27.41718451612903</v>
      </c>
      <c r="P169" s="308">
        <f t="shared" si="8"/>
        <v>0.20640000000000003</v>
      </c>
      <c r="R169" s="293">
        <f t="shared" si="9"/>
        <v>6.0000000000004494E-4</v>
      </c>
      <c r="S169" s="309">
        <f t="shared" si="10"/>
        <v>0.89680000000000004</v>
      </c>
      <c r="T169" s="308">
        <f t="shared" si="11"/>
        <v>26.754351483870959</v>
      </c>
    </row>
    <row r="170" spans="13:20" x14ac:dyDescent="0.2">
      <c r="M170" s="309">
        <f>Tornado!BU168</f>
        <v>1.953125E-3</v>
      </c>
      <c r="N170" s="310">
        <f>Tornado!BV168</f>
        <v>0.673828125</v>
      </c>
      <c r="O170" s="308">
        <f>Tornado!BW168</f>
        <v>28.019759999999998</v>
      </c>
      <c r="P170" s="308">
        <f t="shared" si="8"/>
        <v>0.20700000000000002</v>
      </c>
      <c r="R170" s="293">
        <f t="shared" si="9"/>
        <v>2.3999999999999577E-3</v>
      </c>
      <c r="S170" s="309">
        <f t="shared" si="10"/>
        <v>0.8992</v>
      </c>
      <c r="T170" s="308">
        <f t="shared" si="11"/>
        <v>27.41718451612903</v>
      </c>
    </row>
    <row r="171" spans="13:20" x14ac:dyDescent="0.2">
      <c r="M171" s="309">
        <f>Tornado!BU169</f>
        <v>1.953125E-3</v>
      </c>
      <c r="N171" s="310">
        <f>Tornado!BV169</f>
        <v>0.67578125</v>
      </c>
      <c r="O171" s="308">
        <f>Tornado!BW169</f>
        <v>28.019759999999998</v>
      </c>
      <c r="P171" s="308">
        <f t="shared" si="8"/>
        <v>0.20760000000000001</v>
      </c>
      <c r="R171" s="293">
        <f t="shared" si="9"/>
        <v>5.9999999999993392E-4</v>
      </c>
      <c r="S171" s="309">
        <f t="shared" si="10"/>
        <v>0.89979999999999993</v>
      </c>
      <c r="T171" s="308">
        <f t="shared" si="11"/>
        <v>28.019759999999998</v>
      </c>
    </row>
    <row r="172" spans="13:20" x14ac:dyDescent="0.2">
      <c r="M172" s="309">
        <f>Tornado!BU170</f>
        <v>1.953125E-3</v>
      </c>
      <c r="N172" s="310">
        <f>Tornado!BV170</f>
        <v>0.677734375</v>
      </c>
      <c r="O172" s="308">
        <f>Tornado!BW170</f>
        <v>29.376386064516126</v>
      </c>
      <c r="P172" s="308">
        <f t="shared" si="8"/>
        <v>0.20820000000000002</v>
      </c>
      <c r="R172" s="293">
        <f t="shared" si="9"/>
        <v>6.0000000000004494E-4</v>
      </c>
      <c r="S172" s="309">
        <f t="shared" si="10"/>
        <v>0.90039999999999998</v>
      </c>
      <c r="T172" s="308">
        <f t="shared" si="11"/>
        <v>28.019759999999998</v>
      </c>
    </row>
    <row r="173" spans="13:20" x14ac:dyDescent="0.2">
      <c r="M173" s="309">
        <f>Tornado!BU171</f>
        <v>1.5625E-2</v>
      </c>
      <c r="N173" s="310">
        <f>Tornado!BV171</f>
        <v>0.693359375</v>
      </c>
      <c r="O173" s="308">
        <f>Tornado!BW171</f>
        <v>29.376386064516126</v>
      </c>
      <c r="P173" s="308">
        <f t="shared" si="8"/>
        <v>0.21300000000000002</v>
      </c>
      <c r="R173" s="293">
        <f t="shared" si="9"/>
        <v>6.0000000000004494E-4</v>
      </c>
      <c r="S173" s="309">
        <f t="shared" si="10"/>
        <v>0.90100000000000002</v>
      </c>
      <c r="T173" s="308">
        <f t="shared" si="11"/>
        <v>29.376386064516126</v>
      </c>
    </row>
    <row r="174" spans="13:20" x14ac:dyDescent="0.2">
      <c r="M174" s="309">
        <f>Tornado!BU172</f>
        <v>9.765625E-4</v>
      </c>
      <c r="N174" s="310">
        <f>Tornado!BV172</f>
        <v>0.6943359375</v>
      </c>
      <c r="O174" s="308">
        <f>Tornado!BW172</f>
        <v>29.646713806451608</v>
      </c>
      <c r="P174" s="308">
        <f t="shared" si="8"/>
        <v>0.21330000000000002</v>
      </c>
      <c r="R174" s="293">
        <f t="shared" si="9"/>
        <v>4.7999999999999154E-3</v>
      </c>
      <c r="S174" s="309">
        <f t="shared" si="10"/>
        <v>0.90579999999999994</v>
      </c>
      <c r="T174" s="308">
        <f t="shared" si="11"/>
        <v>29.376386064516126</v>
      </c>
    </row>
    <row r="175" spans="13:20" x14ac:dyDescent="0.2">
      <c r="M175" s="309">
        <f>Tornado!BU173</f>
        <v>9.765625E-4</v>
      </c>
      <c r="N175" s="310">
        <f>Tornado!BV173</f>
        <v>0.6953125</v>
      </c>
      <c r="O175" s="308">
        <f>Tornado!BW173</f>
        <v>29.646713806451608</v>
      </c>
      <c r="P175" s="308">
        <f t="shared" si="8"/>
        <v>0.21360000000000001</v>
      </c>
      <c r="R175" s="293">
        <f t="shared" si="9"/>
        <v>3.0000000000007798E-4</v>
      </c>
      <c r="S175" s="309">
        <f t="shared" si="10"/>
        <v>0.90610000000000002</v>
      </c>
      <c r="T175" s="308">
        <f t="shared" si="11"/>
        <v>29.646713806451608</v>
      </c>
    </row>
    <row r="176" spans="13:20" x14ac:dyDescent="0.2">
      <c r="M176" s="309">
        <f>Tornado!BU174</f>
        <v>1.5625E-2</v>
      </c>
      <c r="N176" s="310">
        <f>Tornado!BV174</f>
        <v>0.7109375</v>
      </c>
      <c r="O176" s="308">
        <f>Tornado!BW174</f>
        <v>30.240397419354835</v>
      </c>
      <c r="P176" s="308">
        <f t="shared" si="8"/>
        <v>0.21840000000000001</v>
      </c>
      <c r="R176" s="293">
        <f t="shared" si="9"/>
        <v>2.9999999999996696E-4</v>
      </c>
      <c r="S176" s="309">
        <f t="shared" si="10"/>
        <v>0.90639999999999998</v>
      </c>
      <c r="T176" s="308">
        <f t="shared" si="11"/>
        <v>29.646713806451608</v>
      </c>
    </row>
    <row r="177" spans="13:20" x14ac:dyDescent="0.2">
      <c r="M177" s="309">
        <f>Tornado!BU175</f>
        <v>1.953125E-3</v>
      </c>
      <c r="N177" s="310">
        <f>Tornado!BV175</f>
        <v>0.712890625</v>
      </c>
      <c r="O177" s="308">
        <f>Tornado!BW175</f>
        <v>30.347491096774188</v>
      </c>
      <c r="P177" s="308">
        <f t="shared" si="8"/>
        <v>0.21900000000000003</v>
      </c>
      <c r="R177" s="293">
        <f t="shared" si="9"/>
        <v>4.8000000000000265E-3</v>
      </c>
      <c r="S177" s="309">
        <f t="shared" si="10"/>
        <v>0.91120000000000001</v>
      </c>
      <c r="T177" s="308">
        <f t="shared" si="11"/>
        <v>30.240397419354835</v>
      </c>
    </row>
    <row r="178" spans="13:20" x14ac:dyDescent="0.2">
      <c r="M178" s="309">
        <f>Tornado!BU176</f>
        <v>3.90625E-3</v>
      </c>
      <c r="N178" s="310">
        <f>Tornado!BV176</f>
        <v>0.716796875</v>
      </c>
      <c r="O178" s="308">
        <f>Tornado!BW176</f>
        <v>30.363827612903222</v>
      </c>
      <c r="P178" s="308">
        <f t="shared" si="8"/>
        <v>0.22020000000000001</v>
      </c>
      <c r="R178" s="293">
        <f t="shared" si="9"/>
        <v>5.9999999999993392E-4</v>
      </c>
      <c r="S178" s="309">
        <f t="shared" si="10"/>
        <v>0.91179999999999994</v>
      </c>
      <c r="T178" s="308">
        <f t="shared" si="11"/>
        <v>30.347491096774188</v>
      </c>
    </row>
    <row r="179" spans="13:20" x14ac:dyDescent="0.2">
      <c r="M179" s="309">
        <f>Tornado!BU177</f>
        <v>1.5625E-2</v>
      </c>
      <c r="N179" s="310">
        <f>Tornado!BV177</f>
        <v>0.732421875</v>
      </c>
      <c r="O179" s="308">
        <f>Tornado!BW177</f>
        <v>30.857548387096767</v>
      </c>
      <c r="P179" s="308">
        <f t="shared" si="8"/>
        <v>0.22500000000000003</v>
      </c>
      <c r="R179" s="293">
        <f t="shared" si="9"/>
        <v>1.2000000000000899E-3</v>
      </c>
      <c r="S179" s="309">
        <f t="shared" si="10"/>
        <v>0.91300000000000003</v>
      </c>
      <c r="T179" s="308">
        <f t="shared" si="11"/>
        <v>30.363827612903222</v>
      </c>
    </row>
    <row r="180" spans="13:20" x14ac:dyDescent="0.2">
      <c r="M180" s="309">
        <f>Tornado!BU178</f>
        <v>1.5625E-2</v>
      </c>
      <c r="N180" s="310">
        <f>Tornado!BV178</f>
        <v>0.748046875</v>
      </c>
      <c r="O180" s="308">
        <f>Tornado!BW178</f>
        <v>30.857548387096767</v>
      </c>
      <c r="P180" s="308">
        <f t="shared" si="8"/>
        <v>0.22980000000000003</v>
      </c>
      <c r="R180" s="293">
        <f t="shared" si="9"/>
        <v>4.7999999999999154E-3</v>
      </c>
      <c r="S180" s="309">
        <f t="shared" si="10"/>
        <v>0.91779999999999995</v>
      </c>
      <c r="T180" s="308">
        <f t="shared" si="11"/>
        <v>30.857548387096767</v>
      </c>
    </row>
    <row r="181" spans="13:20" x14ac:dyDescent="0.2">
      <c r="M181" s="309">
        <f>Tornado!BU179</f>
        <v>3.90625E-3</v>
      </c>
      <c r="N181" s="310">
        <f>Tornado!BV179</f>
        <v>0.751953125</v>
      </c>
      <c r="O181" s="308">
        <f>Tornado!BW179</f>
        <v>31.33392516129032</v>
      </c>
      <c r="P181" s="308">
        <f t="shared" si="8"/>
        <v>0.23100000000000001</v>
      </c>
      <c r="R181" s="293">
        <f t="shared" si="9"/>
        <v>4.8000000000000265E-3</v>
      </c>
      <c r="S181" s="309">
        <f t="shared" si="10"/>
        <v>0.92259999999999998</v>
      </c>
      <c r="T181" s="308">
        <f t="shared" si="11"/>
        <v>30.857548387096767</v>
      </c>
    </row>
    <row r="182" spans="13:20" x14ac:dyDescent="0.2">
      <c r="M182" s="309">
        <f>Tornado!BU180</f>
        <v>3.90625E-3</v>
      </c>
      <c r="N182" s="310">
        <f>Tornado!BV180</f>
        <v>0.755859375</v>
      </c>
      <c r="O182" s="308">
        <f>Tornado!BW180</f>
        <v>31.33392516129032</v>
      </c>
      <c r="P182" s="308">
        <f t="shared" si="8"/>
        <v>0.23220000000000002</v>
      </c>
      <c r="R182" s="293">
        <f t="shared" si="9"/>
        <v>1.1999999999999789E-3</v>
      </c>
      <c r="S182" s="309">
        <f t="shared" si="10"/>
        <v>0.92379999999999995</v>
      </c>
      <c r="T182" s="308">
        <f t="shared" si="11"/>
        <v>31.33392516129032</v>
      </c>
    </row>
    <row r="183" spans="13:20" x14ac:dyDescent="0.2">
      <c r="M183" s="309">
        <f>Tornado!BU181</f>
        <v>3.90625E-3</v>
      </c>
      <c r="N183" s="310">
        <f>Tornado!BV181</f>
        <v>0.759765625</v>
      </c>
      <c r="O183" s="308">
        <f>Tornado!BW181</f>
        <v>31.96842012903225</v>
      </c>
      <c r="P183" s="308">
        <f t="shared" si="8"/>
        <v>0.23340000000000002</v>
      </c>
      <c r="R183" s="293">
        <f t="shared" si="9"/>
        <v>1.2000000000000899E-3</v>
      </c>
      <c r="S183" s="309">
        <f t="shared" si="10"/>
        <v>0.92500000000000004</v>
      </c>
      <c r="T183" s="308">
        <f t="shared" si="11"/>
        <v>31.33392516129032</v>
      </c>
    </row>
    <row r="184" spans="13:20" x14ac:dyDescent="0.2">
      <c r="M184" s="309">
        <f>Tornado!BU182</f>
        <v>3.90625E-3</v>
      </c>
      <c r="N184" s="310">
        <f>Tornado!BV182</f>
        <v>0.763671875</v>
      </c>
      <c r="O184" s="308">
        <f>Tornado!BW182</f>
        <v>31.96842012903225</v>
      </c>
      <c r="P184" s="308">
        <f t="shared" si="8"/>
        <v>0.23460000000000003</v>
      </c>
      <c r="R184" s="293">
        <f t="shared" si="9"/>
        <v>1.1999999999999789E-3</v>
      </c>
      <c r="S184" s="309">
        <f t="shared" si="10"/>
        <v>0.92620000000000002</v>
      </c>
      <c r="T184" s="308">
        <f t="shared" si="11"/>
        <v>31.96842012903225</v>
      </c>
    </row>
    <row r="185" spans="13:20" x14ac:dyDescent="0.2">
      <c r="M185" s="309">
        <f>Tornado!BU183</f>
        <v>1.953125E-3</v>
      </c>
      <c r="N185" s="310">
        <f>Tornado!BV183</f>
        <v>0.765625</v>
      </c>
      <c r="O185" s="308">
        <f>Tornado!BW183</f>
        <v>32.05701574193548</v>
      </c>
      <c r="P185" s="308">
        <f t="shared" si="8"/>
        <v>0.23520000000000002</v>
      </c>
      <c r="R185" s="293">
        <f t="shared" si="9"/>
        <v>1.1999999999999789E-3</v>
      </c>
      <c r="S185" s="309">
        <f t="shared" si="10"/>
        <v>0.9274</v>
      </c>
      <c r="T185" s="308">
        <f t="shared" si="11"/>
        <v>31.96842012903225</v>
      </c>
    </row>
    <row r="186" spans="13:20" x14ac:dyDescent="0.2">
      <c r="M186" s="309">
        <f>Tornado!BU184</f>
        <v>3.90625E-3</v>
      </c>
      <c r="N186" s="310">
        <f>Tornado!BV184</f>
        <v>0.76953125</v>
      </c>
      <c r="O186" s="308">
        <f>Tornado!BW184</f>
        <v>33.480440000000002</v>
      </c>
      <c r="P186" s="308">
        <f t="shared" si="8"/>
        <v>0.23640000000000003</v>
      </c>
      <c r="R186" s="293">
        <f t="shared" si="9"/>
        <v>5.9999999999993392E-4</v>
      </c>
      <c r="S186" s="309">
        <f t="shared" si="10"/>
        <v>0.92799999999999994</v>
      </c>
      <c r="T186" s="308">
        <f t="shared" si="11"/>
        <v>32.05701574193548</v>
      </c>
    </row>
    <row r="187" spans="13:20" x14ac:dyDescent="0.2">
      <c r="M187" s="309">
        <f>Tornado!BU185</f>
        <v>3.90625E-3</v>
      </c>
      <c r="N187" s="310">
        <f>Tornado!BV185</f>
        <v>0.7734375</v>
      </c>
      <c r="O187" s="308">
        <f>Tornado!BW185</f>
        <v>33.480440000000002</v>
      </c>
      <c r="P187" s="308">
        <f t="shared" si="8"/>
        <v>0.23760000000000003</v>
      </c>
      <c r="R187" s="293">
        <f t="shared" si="9"/>
        <v>1.2000000000000899E-3</v>
      </c>
      <c r="S187" s="309">
        <f t="shared" si="10"/>
        <v>0.92920000000000003</v>
      </c>
      <c r="T187" s="308">
        <f t="shared" si="11"/>
        <v>33.480440000000002</v>
      </c>
    </row>
    <row r="188" spans="13:20" x14ac:dyDescent="0.2">
      <c r="M188" s="309">
        <f>Tornado!BU186</f>
        <v>1.953125E-3</v>
      </c>
      <c r="N188" s="310">
        <f>Tornado!BV186</f>
        <v>0.775390625</v>
      </c>
      <c r="O188" s="308">
        <f>Tornado!BW186</f>
        <v>35.424465548387097</v>
      </c>
      <c r="P188" s="308">
        <f t="shared" si="8"/>
        <v>0.23820000000000002</v>
      </c>
      <c r="R188" s="293">
        <f t="shared" si="9"/>
        <v>1.1999999999999789E-3</v>
      </c>
      <c r="S188" s="309">
        <f t="shared" si="10"/>
        <v>0.9304</v>
      </c>
      <c r="T188" s="308">
        <f t="shared" si="11"/>
        <v>33.480440000000002</v>
      </c>
    </row>
    <row r="189" spans="13:20" x14ac:dyDescent="0.2">
      <c r="M189" s="309">
        <f>Tornado!BU187</f>
        <v>1.953125E-3</v>
      </c>
      <c r="N189" s="310">
        <f>Tornado!BV187</f>
        <v>0.77734375</v>
      </c>
      <c r="O189" s="308">
        <f>Tornado!BW187</f>
        <v>35.424465548387097</v>
      </c>
      <c r="P189" s="308">
        <f t="shared" si="8"/>
        <v>0.23880000000000001</v>
      </c>
      <c r="R189" s="293">
        <f t="shared" si="9"/>
        <v>6.0000000000004494E-4</v>
      </c>
      <c r="S189" s="309">
        <f t="shared" si="10"/>
        <v>0.93100000000000005</v>
      </c>
      <c r="T189" s="308">
        <f t="shared" si="11"/>
        <v>35.424465548387097</v>
      </c>
    </row>
    <row r="190" spans="13:20" x14ac:dyDescent="0.2">
      <c r="M190" s="309">
        <f>Tornado!BU188</f>
        <v>3.90625E-3</v>
      </c>
      <c r="N190" s="310">
        <f>Tornado!BV188</f>
        <v>0.78125</v>
      </c>
      <c r="O190" s="308">
        <f>Tornado!BW188</f>
        <v>35.431438451612898</v>
      </c>
      <c r="P190" s="308">
        <f t="shared" si="8"/>
        <v>0.24000000000000002</v>
      </c>
      <c r="R190" s="293">
        <f t="shared" si="9"/>
        <v>5.9999999999993392E-4</v>
      </c>
      <c r="S190" s="309">
        <f t="shared" si="10"/>
        <v>0.93159999999999998</v>
      </c>
      <c r="T190" s="308">
        <f t="shared" si="11"/>
        <v>35.424465548387097</v>
      </c>
    </row>
    <row r="191" spans="13:20" x14ac:dyDescent="0.2">
      <c r="M191" s="309">
        <f>Tornado!BU189</f>
        <v>9.765625E-4</v>
      </c>
      <c r="N191" s="310">
        <f>Tornado!BV189</f>
        <v>0.7822265625</v>
      </c>
      <c r="O191" s="308">
        <f>Tornado!BW189</f>
        <v>35.89886141935483</v>
      </c>
      <c r="P191" s="308">
        <f t="shared" si="8"/>
        <v>0.24030000000000001</v>
      </c>
      <c r="R191" s="293">
        <f t="shared" si="9"/>
        <v>1.1999999999999789E-3</v>
      </c>
      <c r="S191" s="309">
        <f t="shared" si="10"/>
        <v>0.93279999999999996</v>
      </c>
      <c r="T191" s="308">
        <f t="shared" si="11"/>
        <v>35.431438451612898</v>
      </c>
    </row>
    <row r="192" spans="13:20" x14ac:dyDescent="0.2">
      <c r="M192" s="309">
        <f>Tornado!BU190</f>
        <v>1.953125E-3</v>
      </c>
      <c r="N192" s="310">
        <f>Tornado!BV190</f>
        <v>0.7841796875</v>
      </c>
      <c r="O192" s="308">
        <f>Tornado!BW190</f>
        <v>35.918186322580645</v>
      </c>
      <c r="P192" s="308">
        <f t="shared" si="8"/>
        <v>0.24090000000000003</v>
      </c>
      <c r="R192" s="293">
        <f t="shared" si="9"/>
        <v>3.0000000000007798E-4</v>
      </c>
      <c r="S192" s="309">
        <f t="shared" si="10"/>
        <v>0.93310000000000004</v>
      </c>
      <c r="T192" s="308">
        <f t="shared" si="11"/>
        <v>35.89886141935483</v>
      </c>
    </row>
    <row r="193" spans="13:20" x14ac:dyDescent="0.2">
      <c r="M193" s="309">
        <f>Tornado!BU191</f>
        <v>3.90625E-3</v>
      </c>
      <c r="N193" s="310">
        <f>Tornado!BV191</f>
        <v>0.7880859375</v>
      </c>
      <c r="O193" s="308">
        <f>Tornado!BW191</f>
        <v>36.154529032258061</v>
      </c>
      <c r="P193" s="308">
        <f t="shared" si="8"/>
        <v>0.24210000000000001</v>
      </c>
      <c r="R193" s="293">
        <f t="shared" si="9"/>
        <v>5.9999999999993392E-4</v>
      </c>
      <c r="S193" s="309">
        <f t="shared" si="10"/>
        <v>0.93369999999999997</v>
      </c>
      <c r="T193" s="308">
        <f t="shared" si="11"/>
        <v>35.918186322580645</v>
      </c>
    </row>
    <row r="194" spans="13:20" x14ac:dyDescent="0.2">
      <c r="M194" s="309">
        <f>Tornado!BU192</f>
        <v>3.90625E-3</v>
      </c>
      <c r="N194" s="310">
        <f>Tornado!BV192</f>
        <v>0.7919921875</v>
      </c>
      <c r="O194" s="308">
        <f>Tornado!BW192</f>
        <v>36.154529032258061</v>
      </c>
      <c r="P194" s="308">
        <f t="shared" si="8"/>
        <v>0.24330000000000002</v>
      </c>
      <c r="R194" s="293">
        <f t="shared" si="9"/>
        <v>1.1999999999999789E-3</v>
      </c>
      <c r="S194" s="309">
        <f t="shared" si="10"/>
        <v>0.93489999999999995</v>
      </c>
      <c r="T194" s="308">
        <f t="shared" si="11"/>
        <v>36.154529032258061</v>
      </c>
    </row>
    <row r="195" spans="13:20" x14ac:dyDescent="0.2">
      <c r="M195" s="309">
        <f>Tornado!BU193</f>
        <v>3.90625E-3</v>
      </c>
      <c r="N195" s="310">
        <f>Tornado!BV193</f>
        <v>0.7958984375</v>
      </c>
      <c r="O195" s="308">
        <f>Tornado!BW193</f>
        <v>37.118649806451614</v>
      </c>
      <c r="P195" s="308">
        <f t="shared" si="8"/>
        <v>0.24450000000000002</v>
      </c>
      <c r="R195" s="293">
        <f t="shared" si="9"/>
        <v>1.1999999999999789E-3</v>
      </c>
      <c r="S195" s="309">
        <f t="shared" si="10"/>
        <v>0.93609999999999993</v>
      </c>
      <c r="T195" s="308">
        <f t="shared" si="11"/>
        <v>36.154529032258061</v>
      </c>
    </row>
    <row r="196" spans="13:20" x14ac:dyDescent="0.2">
      <c r="M196" s="309">
        <f>Tornado!BU194</f>
        <v>3.90625E-3</v>
      </c>
      <c r="N196" s="310">
        <f>Tornado!BV194</f>
        <v>0.7998046875</v>
      </c>
      <c r="O196" s="308">
        <f>Tornado!BW194</f>
        <v>37.118649806451614</v>
      </c>
      <c r="P196" s="308">
        <f t="shared" si="8"/>
        <v>0.24570000000000003</v>
      </c>
      <c r="R196" s="293">
        <f t="shared" si="9"/>
        <v>1.2000000000000899E-3</v>
      </c>
      <c r="S196" s="309">
        <f t="shared" si="10"/>
        <v>0.93730000000000002</v>
      </c>
      <c r="T196" s="308">
        <f t="shared" si="11"/>
        <v>37.118649806451614</v>
      </c>
    </row>
    <row r="197" spans="13:20" x14ac:dyDescent="0.2">
      <c r="M197" s="309">
        <f>Tornado!BU195</f>
        <v>3.90625E-3</v>
      </c>
      <c r="N197" s="310">
        <f>Tornado!BV195</f>
        <v>0.8037109375</v>
      </c>
      <c r="O197" s="308">
        <f>Tornado!BW195</f>
        <v>38.384058322580636</v>
      </c>
      <c r="P197" s="308">
        <f t="shared" si="8"/>
        <v>0.24690000000000004</v>
      </c>
      <c r="R197" s="293">
        <f t="shared" si="9"/>
        <v>1.1999999999999789E-3</v>
      </c>
      <c r="S197" s="309">
        <f t="shared" si="10"/>
        <v>0.9385</v>
      </c>
      <c r="T197" s="308">
        <f t="shared" si="11"/>
        <v>37.118649806451614</v>
      </c>
    </row>
    <row r="198" spans="13:20" x14ac:dyDescent="0.2">
      <c r="M198" s="309">
        <f>Tornado!BU196</f>
        <v>7.8125E-3</v>
      </c>
      <c r="N198" s="310">
        <f>Tornado!BV196</f>
        <v>0.8115234375</v>
      </c>
      <c r="O198" s="308">
        <f>Tornado!BW196</f>
        <v>40.114812903225804</v>
      </c>
      <c r="P198" s="308">
        <f t="shared" si="8"/>
        <v>0.24930000000000002</v>
      </c>
      <c r="R198" s="293">
        <f t="shared" si="9"/>
        <v>1.1999999999999789E-3</v>
      </c>
      <c r="S198" s="309">
        <f t="shared" si="10"/>
        <v>0.93969999999999998</v>
      </c>
      <c r="T198" s="308">
        <f t="shared" si="11"/>
        <v>38.384058322580636</v>
      </c>
    </row>
    <row r="199" spans="13:20" x14ac:dyDescent="0.2">
      <c r="M199" s="309">
        <f>Tornado!BU197</f>
        <v>7.8125E-3</v>
      </c>
      <c r="N199" s="310">
        <f>Tornado!BV197</f>
        <v>0.8193359375</v>
      </c>
      <c r="O199" s="308">
        <f>Tornado!BW197</f>
        <v>40.114812903225804</v>
      </c>
      <c r="P199" s="308">
        <f t="shared" ref="P199:P249" si="12">pCrossChasm_total * N199</f>
        <v>0.25170000000000003</v>
      </c>
      <c r="R199" s="293">
        <f t="shared" si="9"/>
        <v>2.3999999999999577E-3</v>
      </c>
      <c r="S199" s="309">
        <f t="shared" si="10"/>
        <v>0.94209999999999994</v>
      </c>
      <c r="T199" s="308">
        <f t="shared" si="11"/>
        <v>40.114812903225804</v>
      </c>
    </row>
    <row r="200" spans="13:20" x14ac:dyDescent="0.2">
      <c r="M200" s="309">
        <f>Tornado!BU198</f>
        <v>1.953125E-3</v>
      </c>
      <c r="N200" s="310">
        <f>Tornado!BV198</f>
        <v>0.8212890625</v>
      </c>
      <c r="O200" s="308">
        <f>Tornado!BW198</f>
        <v>40.975132903225798</v>
      </c>
      <c r="P200" s="308">
        <f t="shared" si="12"/>
        <v>0.25230000000000002</v>
      </c>
      <c r="R200" s="293">
        <f t="shared" ref="R200:R250" si="13">S200-S199</f>
        <v>2.4000000000000687E-3</v>
      </c>
      <c r="S200" s="309">
        <f t="shared" si="10"/>
        <v>0.94450000000000001</v>
      </c>
      <c r="T200" s="308">
        <f t="shared" si="11"/>
        <v>40.114812903225804</v>
      </c>
    </row>
    <row r="201" spans="13:20" x14ac:dyDescent="0.2">
      <c r="M201" s="309">
        <f>Tornado!BU199</f>
        <v>1.5625E-2</v>
      </c>
      <c r="N201" s="310">
        <f>Tornado!BV199</f>
        <v>0.8369140625</v>
      </c>
      <c r="O201" s="308">
        <f>Tornado!BW199</f>
        <v>40.975132903225798</v>
      </c>
      <c r="P201" s="308">
        <f t="shared" si="12"/>
        <v>0.25710000000000005</v>
      </c>
      <c r="R201" s="293">
        <f t="shared" si="13"/>
        <v>6.0000000000004494E-4</v>
      </c>
      <c r="S201" s="309">
        <f t="shared" ref="S201:S250" si="14">P200+$S$7</f>
        <v>0.94510000000000005</v>
      </c>
      <c r="T201" s="308">
        <f t="shared" ref="T201:T250" si="15">O200</f>
        <v>40.975132903225798</v>
      </c>
    </row>
    <row r="202" spans="13:20" x14ac:dyDescent="0.2">
      <c r="M202" s="309">
        <f>Tornado!BU200</f>
        <v>7.8125E-3</v>
      </c>
      <c r="N202" s="310">
        <f>Tornado!BV200</f>
        <v>0.8447265625</v>
      </c>
      <c r="O202" s="308">
        <f>Tornado!BW200</f>
        <v>42.33655638709677</v>
      </c>
      <c r="P202" s="308">
        <f t="shared" si="12"/>
        <v>0.25950000000000001</v>
      </c>
      <c r="R202" s="293">
        <f t="shared" si="13"/>
        <v>4.7999999999999154E-3</v>
      </c>
      <c r="S202" s="309">
        <f t="shared" si="14"/>
        <v>0.94989999999999997</v>
      </c>
      <c r="T202" s="308">
        <f t="shared" si="15"/>
        <v>40.975132903225798</v>
      </c>
    </row>
    <row r="203" spans="13:20" x14ac:dyDescent="0.2">
      <c r="M203" s="309">
        <f>Tornado!BU201</f>
        <v>7.8125E-3</v>
      </c>
      <c r="N203" s="310">
        <f>Tornado!BV201</f>
        <v>0.8525390625</v>
      </c>
      <c r="O203" s="308">
        <f>Tornado!BW201</f>
        <v>43.200567741935487</v>
      </c>
      <c r="P203" s="308">
        <f t="shared" si="12"/>
        <v>0.26190000000000002</v>
      </c>
      <c r="R203" s="293">
        <f t="shared" si="13"/>
        <v>2.3999999999999577E-3</v>
      </c>
      <c r="S203" s="309">
        <f t="shared" si="14"/>
        <v>0.95229999999999992</v>
      </c>
      <c r="T203" s="308">
        <f t="shared" si="15"/>
        <v>42.33655638709677</v>
      </c>
    </row>
    <row r="204" spans="13:20" x14ac:dyDescent="0.2">
      <c r="M204" s="309">
        <f>Tornado!BU202</f>
        <v>7.8125E-3</v>
      </c>
      <c r="N204" s="310">
        <f>Tornado!BV202</f>
        <v>0.8603515625</v>
      </c>
      <c r="O204" s="308">
        <f>Tornado!BW202</f>
        <v>43.200567741935487</v>
      </c>
      <c r="P204" s="308">
        <f t="shared" si="12"/>
        <v>0.26430000000000003</v>
      </c>
      <c r="R204" s="293">
        <f t="shared" si="13"/>
        <v>2.4000000000000687E-3</v>
      </c>
      <c r="S204" s="309">
        <f t="shared" si="14"/>
        <v>0.95469999999999999</v>
      </c>
      <c r="T204" s="308">
        <f t="shared" si="15"/>
        <v>43.200567741935487</v>
      </c>
    </row>
    <row r="205" spans="13:20" x14ac:dyDescent="0.2">
      <c r="M205" s="309">
        <f>Tornado!BU203</f>
        <v>3.90625E-3</v>
      </c>
      <c r="N205" s="310">
        <f>Tornado!BV203</f>
        <v>0.8642578125</v>
      </c>
      <c r="O205" s="308">
        <f>Tornado!BW203</f>
        <v>43.663430967741931</v>
      </c>
      <c r="P205" s="308">
        <f t="shared" si="12"/>
        <v>0.26550000000000001</v>
      </c>
      <c r="R205" s="293">
        <f t="shared" si="13"/>
        <v>2.4000000000000687E-3</v>
      </c>
      <c r="S205" s="309">
        <f t="shared" si="14"/>
        <v>0.95710000000000006</v>
      </c>
      <c r="T205" s="308">
        <f t="shared" si="15"/>
        <v>43.200567741935487</v>
      </c>
    </row>
    <row r="206" spans="13:20" x14ac:dyDescent="0.2">
      <c r="M206" s="309">
        <f>Tornado!BU204</f>
        <v>1.953125E-3</v>
      </c>
      <c r="N206" s="310">
        <f>Tornado!BV204</f>
        <v>0.8662109375</v>
      </c>
      <c r="O206" s="308">
        <f>Tornado!BW204</f>
        <v>43.867495225806444</v>
      </c>
      <c r="P206" s="308">
        <f t="shared" si="12"/>
        <v>0.2661</v>
      </c>
      <c r="R206" s="293">
        <f t="shared" si="13"/>
        <v>1.1999999999998678E-3</v>
      </c>
      <c r="S206" s="309">
        <f t="shared" si="14"/>
        <v>0.95829999999999993</v>
      </c>
      <c r="T206" s="308">
        <f t="shared" si="15"/>
        <v>43.663430967741931</v>
      </c>
    </row>
    <row r="207" spans="13:20" x14ac:dyDescent="0.2">
      <c r="M207" s="309">
        <f>Tornado!BU205</f>
        <v>1.953125E-3</v>
      </c>
      <c r="N207" s="310">
        <f>Tornado!BV205</f>
        <v>0.8681640625</v>
      </c>
      <c r="O207" s="308">
        <f>Tornado!BW205</f>
        <v>43.867495225806444</v>
      </c>
      <c r="P207" s="308">
        <f t="shared" si="12"/>
        <v>0.26670000000000005</v>
      </c>
      <c r="R207" s="293">
        <f t="shared" si="13"/>
        <v>6.0000000000004494E-4</v>
      </c>
      <c r="S207" s="309">
        <f t="shared" si="14"/>
        <v>0.95889999999999997</v>
      </c>
      <c r="T207" s="308">
        <f t="shared" si="15"/>
        <v>43.867495225806444</v>
      </c>
    </row>
    <row r="208" spans="13:20" x14ac:dyDescent="0.2">
      <c r="M208" s="309">
        <f>Tornado!BU206</f>
        <v>3.90625E-3</v>
      </c>
      <c r="N208" s="310">
        <f>Tornado!BV206</f>
        <v>0.8720703125</v>
      </c>
      <c r="O208" s="308">
        <f>Tornado!BW206</f>
        <v>44.5905858064516</v>
      </c>
      <c r="P208" s="308">
        <f t="shared" si="12"/>
        <v>0.26790000000000003</v>
      </c>
      <c r="R208" s="293">
        <f t="shared" si="13"/>
        <v>6.0000000000004494E-4</v>
      </c>
      <c r="S208" s="309">
        <f t="shared" si="14"/>
        <v>0.95950000000000002</v>
      </c>
      <c r="T208" s="308">
        <f t="shared" si="15"/>
        <v>43.867495225806444</v>
      </c>
    </row>
    <row r="209" spans="13:20" x14ac:dyDescent="0.2">
      <c r="M209" s="309">
        <f>Tornado!BU207</f>
        <v>3.90625E-3</v>
      </c>
      <c r="N209" s="310">
        <f>Tornado!BV207</f>
        <v>0.8759765625</v>
      </c>
      <c r="O209" s="308">
        <f>Tornado!BW207</f>
        <v>44.5905858064516</v>
      </c>
      <c r="P209" s="308">
        <f t="shared" si="12"/>
        <v>0.26910000000000001</v>
      </c>
      <c r="R209" s="293">
        <f t="shared" si="13"/>
        <v>1.1999999999999789E-3</v>
      </c>
      <c r="S209" s="309">
        <f t="shared" si="14"/>
        <v>0.9607</v>
      </c>
      <c r="T209" s="308">
        <f t="shared" si="15"/>
        <v>44.5905858064516</v>
      </c>
    </row>
    <row r="210" spans="13:20" x14ac:dyDescent="0.2">
      <c r="M210" s="309">
        <f>Tornado!BU208</f>
        <v>3.90625E-3</v>
      </c>
      <c r="N210" s="310">
        <f>Tornado!BV208</f>
        <v>0.8798828125</v>
      </c>
      <c r="O210" s="308">
        <f>Tornado!BW208</f>
        <v>46.69959999999999</v>
      </c>
      <c r="P210" s="308">
        <f t="shared" si="12"/>
        <v>0.27030000000000004</v>
      </c>
      <c r="R210" s="293">
        <f t="shared" si="13"/>
        <v>1.1999999999999789E-3</v>
      </c>
      <c r="S210" s="309">
        <f t="shared" si="14"/>
        <v>0.96189999999999998</v>
      </c>
      <c r="T210" s="308">
        <f t="shared" si="15"/>
        <v>44.5905858064516</v>
      </c>
    </row>
    <row r="211" spans="13:20" x14ac:dyDescent="0.2">
      <c r="M211" s="309">
        <f>Tornado!BU209</f>
        <v>3.90625E-3</v>
      </c>
      <c r="N211" s="310">
        <f>Tornado!BV209</f>
        <v>0.8837890625</v>
      </c>
      <c r="O211" s="308">
        <f>Tornado!BW209</f>
        <v>46.69959999999999</v>
      </c>
      <c r="P211" s="308">
        <f t="shared" si="12"/>
        <v>0.27150000000000002</v>
      </c>
      <c r="R211" s="293">
        <f t="shared" si="13"/>
        <v>1.2000000000000899E-3</v>
      </c>
      <c r="S211" s="309">
        <f t="shared" si="14"/>
        <v>0.96310000000000007</v>
      </c>
      <c r="T211" s="308">
        <f t="shared" si="15"/>
        <v>46.69959999999999</v>
      </c>
    </row>
    <row r="212" spans="13:20" x14ac:dyDescent="0.2">
      <c r="M212" s="309">
        <f>Tornado!BU210</f>
        <v>1.953125E-3</v>
      </c>
      <c r="N212" s="310">
        <f>Tornado!BV210</f>
        <v>0.8857421875</v>
      </c>
      <c r="O212" s="308">
        <f>Tornado!BW210</f>
        <v>47.000887741935479</v>
      </c>
      <c r="P212" s="308">
        <f t="shared" si="12"/>
        <v>0.27210000000000001</v>
      </c>
      <c r="R212" s="293">
        <f t="shared" si="13"/>
        <v>1.1999999999998678E-3</v>
      </c>
      <c r="S212" s="309">
        <f t="shared" si="14"/>
        <v>0.96429999999999993</v>
      </c>
      <c r="T212" s="308">
        <f t="shared" si="15"/>
        <v>46.69959999999999</v>
      </c>
    </row>
    <row r="213" spans="13:20" x14ac:dyDescent="0.2">
      <c r="M213" s="309">
        <f>Tornado!BU211</f>
        <v>1.953125E-3</v>
      </c>
      <c r="N213" s="310">
        <f>Tornado!BV211</f>
        <v>0.8876953125</v>
      </c>
      <c r="O213" s="308">
        <f>Tornado!BW211</f>
        <v>47.000887741935479</v>
      </c>
      <c r="P213" s="308">
        <f t="shared" si="12"/>
        <v>0.2727</v>
      </c>
      <c r="R213" s="293">
        <f t="shared" si="13"/>
        <v>6.0000000000004494E-4</v>
      </c>
      <c r="S213" s="309">
        <f t="shared" si="14"/>
        <v>0.96489999999999998</v>
      </c>
      <c r="T213" s="308">
        <f t="shared" si="15"/>
        <v>47.000887741935479</v>
      </c>
    </row>
    <row r="214" spans="13:20" x14ac:dyDescent="0.2">
      <c r="M214" s="309">
        <f>Tornado!BU212</f>
        <v>1.953125E-3</v>
      </c>
      <c r="N214" s="310">
        <f>Tornado!BV212</f>
        <v>0.8896484375</v>
      </c>
      <c r="O214" s="308">
        <f>Tornado!BW212</f>
        <v>49.411189677419351</v>
      </c>
      <c r="P214" s="308">
        <f t="shared" si="12"/>
        <v>0.27330000000000004</v>
      </c>
      <c r="R214" s="293">
        <f t="shared" si="13"/>
        <v>6.0000000000004494E-4</v>
      </c>
      <c r="S214" s="309">
        <f t="shared" si="14"/>
        <v>0.96550000000000002</v>
      </c>
      <c r="T214" s="308">
        <f t="shared" si="15"/>
        <v>47.000887741935479</v>
      </c>
    </row>
    <row r="215" spans="13:20" x14ac:dyDescent="0.2">
      <c r="M215" s="309">
        <f>Tornado!BU213</f>
        <v>1.953125E-3</v>
      </c>
      <c r="N215" s="310">
        <f>Tornado!BV213</f>
        <v>0.8916015625</v>
      </c>
      <c r="O215" s="308">
        <f>Tornado!BW213</f>
        <v>49.411189677419351</v>
      </c>
      <c r="P215" s="308">
        <f t="shared" si="12"/>
        <v>0.27390000000000003</v>
      </c>
      <c r="R215" s="293">
        <f t="shared" si="13"/>
        <v>5.9999999999993392E-4</v>
      </c>
      <c r="S215" s="309">
        <f t="shared" si="14"/>
        <v>0.96609999999999996</v>
      </c>
      <c r="T215" s="308">
        <f t="shared" si="15"/>
        <v>49.411189677419351</v>
      </c>
    </row>
    <row r="216" spans="13:20" x14ac:dyDescent="0.2">
      <c r="M216" s="309">
        <f>Tornado!BU214</f>
        <v>7.8125E-3</v>
      </c>
      <c r="N216" s="310">
        <f>Tornado!BV214</f>
        <v>0.8994140625</v>
      </c>
      <c r="O216" s="308">
        <f>Tornado!BW214</f>
        <v>50.606379354838701</v>
      </c>
      <c r="P216" s="308">
        <f t="shared" si="12"/>
        <v>0.27630000000000005</v>
      </c>
      <c r="R216" s="293">
        <f t="shared" si="13"/>
        <v>6.0000000000004494E-4</v>
      </c>
      <c r="S216" s="309">
        <f t="shared" si="14"/>
        <v>0.9667</v>
      </c>
      <c r="T216" s="308">
        <f t="shared" si="15"/>
        <v>49.411189677419351</v>
      </c>
    </row>
    <row r="217" spans="13:20" x14ac:dyDescent="0.2">
      <c r="M217" s="309">
        <f>Tornado!BU215</f>
        <v>9.765625E-4</v>
      </c>
      <c r="N217" s="310">
        <f>Tornado!BV215</f>
        <v>0.900390625</v>
      </c>
      <c r="O217" s="308">
        <f>Tornado!BW215</f>
        <v>51.158658580645159</v>
      </c>
      <c r="P217" s="308">
        <f t="shared" si="12"/>
        <v>0.27660000000000001</v>
      </c>
      <c r="R217" s="293">
        <f t="shared" si="13"/>
        <v>2.4000000000000687E-3</v>
      </c>
      <c r="S217" s="309">
        <f t="shared" si="14"/>
        <v>0.96910000000000007</v>
      </c>
      <c r="T217" s="308">
        <f t="shared" si="15"/>
        <v>50.606379354838701</v>
      </c>
    </row>
    <row r="218" spans="13:20" x14ac:dyDescent="0.2">
      <c r="M218" s="309">
        <f>Tornado!BU216</f>
        <v>3.90625E-3</v>
      </c>
      <c r="N218" s="310">
        <f>Tornado!BV216</f>
        <v>0.904296875</v>
      </c>
      <c r="O218" s="308">
        <f>Tornado!BW216</f>
        <v>56.160738064516124</v>
      </c>
      <c r="P218" s="308">
        <f t="shared" si="12"/>
        <v>0.27780000000000005</v>
      </c>
      <c r="R218" s="293">
        <f t="shared" si="13"/>
        <v>2.9999999999996696E-4</v>
      </c>
      <c r="S218" s="309">
        <f t="shared" si="14"/>
        <v>0.96940000000000004</v>
      </c>
      <c r="T218" s="308">
        <f t="shared" si="15"/>
        <v>51.158658580645159</v>
      </c>
    </row>
    <row r="219" spans="13:20" x14ac:dyDescent="0.2">
      <c r="M219" s="309">
        <f>Tornado!BU217</f>
        <v>3.90625E-3</v>
      </c>
      <c r="N219" s="310">
        <f>Tornado!BV217</f>
        <v>0.908203125</v>
      </c>
      <c r="O219" s="308">
        <f>Tornado!BW217</f>
        <v>56.160738064516124</v>
      </c>
      <c r="P219" s="308">
        <f t="shared" si="12"/>
        <v>0.27900000000000003</v>
      </c>
      <c r="R219" s="293">
        <f t="shared" si="13"/>
        <v>1.1999999999999789E-3</v>
      </c>
      <c r="S219" s="309">
        <f t="shared" si="14"/>
        <v>0.97060000000000002</v>
      </c>
      <c r="T219" s="308">
        <f t="shared" si="15"/>
        <v>56.160738064516124</v>
      </c>
    </row>
    <row r="220" spans="13:20" x14ac:dyDescent="0.2">
      <c r="M220" s="309">
        <f>Tornado!BU218</f>
        <v>9.765625E-4</v>
      </c>
      <c r="N220" s="310">
        <f>Tornado!BV218</f>
        <v>0.9091796875</v>
      </c>
      <c r="O220" s="308">
        <f>Tornado!BW218</f>
        <v>57.365186064516124</v>
      </c>
      <c r="P220" s="308">
        <f t="shared" si="12"/>
        <v>0.27930000000000005</v>
      </c>
      <c r="R220" s="293">
        <f t="shared" si="13"/>
        <v>1.1999999999999789E-3</v>
      </c>
      <c r="S220" s="309">
        <f t="shared" si="14"/>
        <v>0.9718</v>
      </c>
      <c r="T220" s="308">
        <f t="shared" si="15"/>
        <v>56.160738064516124</v>
      </c>
    </row>
    <row r="221" spans="13:20" x14ac:dyDescent="0.2">
      <c r="M221" s="309">
        <f>Tornado!BU219</f>
        <v>7.8125E-3</v>
      </c>
      <c r="N221" s="310">
        <f>Tornado!BV219</f>
        <v>0.9169921875</v>
      </c>
      <c r="O221" s="308">
        <f>Tornado!BW219</f>
        <v>57.365186064516124</v>
      </c>
      <c r="P221" s="308">
        <f t="shared" si="12"/>
        <v>0.28170000000000001</v>
      </c>
      <c r="R221" s="293">
        <f t="shared" si="13"/>
        <v>2.9999999999996696E-4</v>
      </c>
      <c r="S221" s="309">
        <f t="shared" si="14"/>
        <v>0.97209999999999996</v>
      </c>
      <c r="T221" s="308">
        <f t="shared" si="15"/>
        <v>57.365186064516124</v>
      </c>
    </row>
    <row r="222" spans="13:20" x14ac:dyDescent="0.2">
      <c r="M222" s="309">
        <f>Tornado!BU220</f>
        <v>7.8125E-3</v>
      </c>
      <c r="N222" s="310">
        <f>Tornado!BV220</f>
        <v>0.9248046875</v>
      </c>
      <c r="O222" s="308">
        <f>Tornado!BW220</f>
        <v>59.052397419354833</v>
      </c>
      <c r="P222" s="308">
        <f t="shared" si="12"/>
        <v>0.28410000000000002</v>
      </c>
      <c r="R222" s="293">
        <f t="shared" si="13"/>
        <v>2.3999999999999577E-3</v>
      </c>
      <c r="S222" s="309">
        <f t="shared" si="14"/>
        <v>0.97449999999999992</v>
      </c>
      <c r="T222" s="308">
        <f t="shared" si="15"/>
        <v>57.365186064516124</v>
      </c>
    </row>
    <row r="223" spans="13:20" x14ac:dyDescent="0.2">
      <c r="M223" s="309">
        <f>Tornado!BU221</f>
        <v>1.953125E-3</v>
      </c>
      <c r="N223" s="310">
        <f>Tornado!BV221</f>
        <v>0.9267578125</v>
      </c>
      <c r="O223" s="308">
        <f>Tornado!BW221</f>
        <v>59.293427612903216</v>
      </c>
      <c r="P223" s="308">
        <f t="shared" si="12"/>
        <v>0.28470000000000001</v>
      </c>
      <c r="R223" s="293">
        <f t="shared" si="13"/>
        <v>2.4000000000000687E-3</v>
      </c>
      <c r="S223" s="309">
        <f t="shared" si="14"/>
        <v>0.97689999999999999</v>
      </c>
      <c r="T223" s="308">
        <f t="shared" si="15"/>
        <v>59.052397419354833</v>
      </c>
    </row>
    <row r="224" spans="13:20" x14ac:dyDescent="0.2">
      <c r="M224" s="309">
        <f>Tornado!BU222</f>
        <v>3.90625E-3</v>
      </c>
      <c r="N224" s="310">
        <f>Tornado!BV222</f>
        <v>0.9306640625</v>
      </c>
      <c r="O224" s="308">
        <f>Tornado!BW222</f>
        <v>59.863643870967728</v>
      </c>
      <c r="P224" s="308">
        <f t="shared" si="12"/>
        <v>0.28590000000000004</v>
      </c>
      <c r="R224" s="293">
        <f t="shared" si="13"/>
        <v>6.0000000000004494E-4</v>
      </c>
      <c r="S224" s="309">
        <f t="shared" si="14"/>
        <v>0.97750000000000004</v>
      </c>
      <c r="T224" s="308">
        <f t="shared" si="15"/>
        <v>59.293427612903216</v>
      </c>
    </row>
    <row r="225" spans="13:20" x14ac:dyDescent="0.2">
      <c r="M225" s="309">
        <f>Tornado!BU223</f>
        <v>7.8125E-3</v>
      </c>
      <c r="N225" s="310">
        <f>Tornado!BV223</f>
        <v>0.9384765625</v>
      </c>
      <c r="O225" s="308">
        <f>Tornado!BW223</f>
        <v>60.257548387096762</v>
      </c>
      <c r="P225" s="308">
        <f t="shared" si="12"/>
        <v>0.2883</v>
      </c>
      <c r="R225" s="293">
        <f t="shared" si="13"/>
        <v>1.1999999999999789E-3</v>
      </c>
      <c r="S225" s="309">
        <f t="shared" si="14"/>
        <v>0.97870000000000001</v>
      </c>
      <c r="T225" s="308">
        <f t="shared" si="15"/>
        <v>59.863643870967728</v>
      </c>
    </row>
    <row r="226" spans="13:20" x14ac:dyDescent="0.2">
      <c r="M226" s="309">
        <f>Tornado!BU224</f>
        <v>7.8125E-3</v>
      </c>
      <c r="N226" s="310">
        <f>Tornado!BV224</f>
        <v>0.9462890625</v>
      </c>
      <c r="O226" s="308">
        <f>Tornado!BW224</f>
        <v>60.257548387096762</v>
      </c>
      <c r="P226" s="308">
        <f t="shared" si="12"/>
        <v>0.29070000000000001</v>
      </c>
      <c r="R226" s="293">
        <f t="shared" si="13"/>
        <v>2.3999999999999577E-3</v>
      </c>
      <c r="S226" s="309">
        <f t="shared" si="14"/>
        <v>0.98109999999999997</v>
      </c>
      <c r="T226" s="308">
        <f t="shared" si="15"/>
        <v>60.257548387096762</v>
      </c>
    </row>
    <row r="227" spans="13:20" x14ac:dyDescent="0.2">
      <c r="M227" s="309">
        <f>Tornado!BU225</f>
        <v>1.953125E-3</v>
      </c>
      <c r="N227" s="310">
        <f>Tornado!BV225</f>
        <v>0.9482421875</v>
      </c>
      <c r="O227" s="308">
        <f>Tornado!BW225</f>
        <v>61.128803354838702</v>
      </c>
      <c r="P227" s="308">
        <f t="shared" si="12"/>
        <v>0.2913</v>
      </c>
      <c r="R227" s="293">
        <f t="shared" si="13"/>
        <v>2.4000000000000687E-3</v>
      </c>
      <c r="S227" s="309">
        <f t="shared" si="14"/>
        <v>0.98350000000000004</v>
      </c>
      <c r="T227" s="308">
        <f t="shared" si="15"/>
        <v>60.257548387096762</v>
      </c>
    </row>
    <row r="228" spans="13:20" x14ac:dyDescent="0.2">
      <c r="M228" s="309">
        <f>Tornado!BU226</f>
        <v>1.953125E-3</v>
      </c>
      <c r="N228" s="310">
        <f>Tornado!BV226</f>
        <v>0.9501953125</v>
      </c>
      <c r="O228" s="308">
        <f>Tornado!BW226</f>
        <v>62.426820129032251</v>
      </c>
      <c r="P228" s="308">
        <f t="shared" si="12"/>
        <v>0.29190000000000005</v>
      </c>
      <c r="R228" s="293">
        <f t="shared" si="13"/>
        <v>5.9999999999993392E-4</v>
      </c>
      <c r="S228" s="309">
        <f t="shared" si="14"/>
        <v>0.98409999999999997</v>
      </c>
      <c r="T228" s="308">
        <f t="shared" si="15"/>
        <v>61.128803354838702</v>
      </c>
    </row>
    <row r="229" spans="13:20" x14ac:dyDescent="0.2">
      <c r="M229" s="309">
        <f>Tornado!BU227</f>
        <v>1.953125E-3</v>
      </c>
      <c r="N229" s="310">
        <f>Tornado!BV227</f>
        <v>0.9521484375</v>
      </c>
      <c r="O229" s="308">
        <f>Tornado!BW227</f>
        <v>62.426820129032251</v>
      </c>
      <c r="P229" s="308">
        <f t="shared" si="12"/>
        <v>0.29250000000000004</v>
      </c>
      <c r="R229" s="293">
        <f t="shared" si="13"/>
        <v>6.0000000000004494E-4</v>
      </c>
      <c r="S229" s="309">
        <f t="shared" si="14"/>
        <v>0.98470000000000002</v>
      </c>
      <c r="T229" s="308">
        <f t="shared" si="15"/>
        <v>62.426820129032251</v>
      </c>
    </row>
    <row r="230" spans="13:20" x14ac:dyDescent="0.2">
      <c r="M230" s="309">
        <f>Tornado!BU228</f>
        <v>1.953125E-3</v>
      </c>
      <c r="N230" s="310">
        <f>Tornado!BV228</f>
        <v>0.9541015625</v>
      </c>
      <c r="O230" s="308">
        <f>Tornado!BW228</f>
        <v>65.379440000000002</v>
      </c>
      <c r="P230" s="308">
        <f t="shared" si="12"/>
        <v>0.29310000000000003</v>
      </c>
      <c r="R230" s="293">
        <f t="shared" si="13"/>
        <v>6.0000000000004494E-4</v>
      </c>
      <c r="S230" s="309">
        <f t="shared" si="14"/>
        <v>0.98530000000000006</v>
      </c>
      <c r="T230" s="308">
        <f t="shared" si="15"/>
        <v>62.426820129032251</v>
      </c>
    </row>
    <row r="231" spans="13:20" x14ac:dyDescent="0.2">
      <c r="M231" s="309">
        <f>Tornado!BU229</f>
        <v>1.953125E-3</v>
      </c>
      <c r="N231" s="310">
        <f>Tornado!BV229</f>
        <v>0.9560546875</v>
      </c>
      <c r="O231" s="308">
        <f>Tornado!BW229</f>
        <v>65.379440000000002</v>
      </c>
      <c r="P231" s="308">
        <f t="shared" si="12"/>
        <v>0.29370000000000002</v>
      </c>
      <c r="R231" s="293">
        <f t="shared" si="13"/>
        <v>5.9999999999993392E-4</v>
      </c>
      <c r="S231" s="309">
        <f t="shared" si="14"/>
        <v>0.9859</v>
      </c>
      <c r="T231" s="308">
        <f t="shared" si="15"/>
        <v>65.379440000000002</v>
      </c>
    </row>
    <row r="232" spans="13:20" x14ac:dyDescent="0.2">
      <c r="M232" s="309">
        <f>Tornado!BU230</f>
        <v>9.765625E-4</v>
      </c>
      <c r="N232" s="310">
        <f>Tornado!BV230</f>
        <v>0.95703125</v>
      </c>
      <c r="O232" s="308">
        <f>Tornado!BW230</f>
        <v>69.175665548387087</v>
      </c>
      <c r="P232" s="308">
        <f t="shared" si="12"/>
        <v>0.29400000000000004</v>
      </c>
      <c r="R232" s="293">
        <f t="shared" si="13"/>
        <v>5.9999999999993392E-4</v>
      </c>
      <c r="S232" s="309">
        <f t="shared" si="14"/>
        <v>0.98649999999999993</v>
      </c>
      <c r="T232" s="308">
        <f t="shared" si="15"/>
        <v>65.379440000000002</v>
      </c>
    </row>
    <row r="233" spans="13:20" x14ac:dyDescent="0.2">
      <c r="M233" s="309">
        <f>Tornado!BU231</f>
        <v>9.765625E-4</v>
      </c>
      <c r="N233" s="310">
        <f>Tornado!BV231</f>
        <v>0.9580078125</v>
      </c>
      <c r="O233" s="308">
        <f>Tornado!BW231</f>
        <v>69.175665548387087</v>
      </c>
      <c r="P233" s="308">
        <f t="shared" si="12"/>
        <v>0.29430000000000001</v>
      </c>
      <c r="R233" s="293">
        <f t="shared" si="13"/>
        <v>3.0000000000007798E-4</v>
      </c>
      <c r="S233" s="309">
        <f t="shared" si="14"/>
        <v>0.98680000000000001</v>
      </c>
      <c r="T233" s="308">
        <f t="shared" si="15"/>
        <v>69.175665548387087</v>
      </c>
    </row>
    <row r="234" spans="13:20" x14ac:dyDescent="0.2">
      <c r="M234" s="309">
        <f>Tornado!BU232</f>
        <v>9.765625E-4</v>
      </c>
      <c r="N234" s="310">
        <f>Tornado!BV232</f>
        <v>0.958984375</v>
      </c>
      <c r="O234" s="308">
        <f>Tornado!BW232</f>
        <v>70.139786322580647</v>
      </c>
      <c r="P234" s="308">
        <f t="shared" si="12"/>
        <v>0.29460000000000003</v>
      </c>
      <c r="R234" s="293">
        <f t="shared" si="13"/>
        <v>2.9999999999996696E-4</v>
      </c>
      <c r="S234" s="309">
        <f t="shared" si="14"/>
        <v>0.98709999999999998</v>
      </c>
      <c r="T234" s="308">
        <f t="shared" si="15"/>
        <v>69.175665548387087</v>
      </c>
    </row>
    <row r="235" spans="13:20" x14ac:dyDescent="0.2">
      <c r="M235" s="309">
        <f>Tornado!BU233</f>
        <v>3.90625E-3</v>
      </c>
      <c r="N235" s="310">
        <f>Tornado!BV233</f>
        <v>0.962890625</v>
      </c>
      <c r="O235" s="308">
        <f>Tornado!BW233</f>
        <v>70.848931096774194</v>
      </c>
      <c r="P235" s="308">
        <f t="shared" si="12"/>
        <v>0.29580000000000001</v>
      </c>
      <c r="R235" s="293">
        <f t="shared" si="13"/>
        <v>3.0000000000007798E-4</v>
      </c>
      <c r="S235" s="309">
        <f t="shared" si="14"/>
        <v>0.98740000000000006</v>
      </c>
      <c r="T235" s="308">
        <f t="shared" si="15"/>
        <v>70.139786322580647</v>
      </c>
    </row>
    <row r="236" spans="13:20" x14ac:dyDescent="0.2">
      <c r="M236" s="309">
        <f>Tornado!BU234</f>
        <v>3.90625E-3</v>
      </c>
      <c r="N236" s="310">
        <f>Tornado!BV234</f>
        <v>0.966796875</v>
      </c>
      <c r="O236" s="308">
        <f>Tornado!BW234</f>
        <v>78.334812903225796</v>
      </c>
      <c r="P236" s="308">
        <f t="shared" si="12"/>
        <v>0.29700000000000004</v>
      </c>
      <c r="R236" s="293">
        <f t="shared" si="13"/>
        <v>1.1999999999998678E-3</v>
      </c>
      <c r="S236" s="309">
        <f t="shared" si="14"/>
        <v>0.98859999999999992</v>
      </c>
      <c r="T236" s="308">
        <f t="shared" si="15"/>
        <v>70.848931096774194</v>
      </c>
    </row>
    <row r="237" spans="13:20" x14ac:dyDescent="0.2">
      <c r="M237" s="309">
        <f>Tornado!BU235</f>
        <v>3.90625E-3</v>
      </c>
      <c r="N237" s="310">
        <f>Tornado!BV235</f>
        <v>0.970703125</v>
      </c>
      <c r="O237" s="308">
        <f>Tornado!BW235</f>
        <v>78.334812903225796</v>
      </c>
      <c r="P237" s="308">
        <f t="shared" si="12"/>
        <v>0.29820000000000002</v>
      </c>
      <c r="R237" s="293">
        <f t="shared" si="13"/>
        <v>1.2000000000000899E-3</v>
      </c>
      <c r="S237" s="309">
        <f t="shared" si="14"/>
        <v>0.98980000000000001</v>
      </c>
      <c r="T237" s="308">
        <f t="shared" si="15"/>
        <v>78.334812903225796</v>
      </c>
    </row>
    <row r="238" spans="13:20" x14ac:dyDescent="0.2">
      <c r="M238" s="309">
        <f>Tornado!BU236</f>
        <v>3.90625E-3</v>
      </c>
      <c r="N238" s="310">
        <f>Tornado!BV236</f>
        <v>0.974609375</v>
      </c>
      <c r="O238" s="308">
        <f>Tornado!BW236</f>
        <v>82.67335638709676</v>
      </c>
      <c r="P238" s="308">
        <f t="shared" si="12"/>
        <v>0.29940000000000005</v>
      </c>
      <c r="R238" s="293">
        <f t="shared" si="13"/>
        <v>1.1999999999999789E-3</v>
      </c>
      <c r="S238" s="309">
        <f t="shared" si="14"/>
        <v>0.99099999999999999</v>
      </c>
      <c r="T238" s="308">
        <f t="shared" si="15"/>
        <v>78.334812903225796</v>
      </c>
    </row>
    <row r="239" spans="13:20" x14ac:dyDescent="0.2">
      <c r="M239" s="309">
        <f>Tornado!BU237</f>
        <v>1.953125E-3</v>
      </c>
      <c r="N239" s="310">
        <f>Tornado!BV237</f>
        <v>0.9765625</v>
      </c>
      <c r="O239" s="308">
        <f>Tornado!BW237</f>
        <v>83.809101419354846</v>
      </c>
      <c r="P239" s="308">
        <f t="shared" si="12"/>
        <v>0.30000000000000004</v>
      </c>
      <c r="R239" s="293">
        <f t="shared" si="13"/>
        <v>1.1999999999999789E-3</v>
      </c>
      <c r="S239" s="309">
        <f t="shared" si="14"/>
        <v>0.99219999999999997</v>
      </c>
      <c r="T239" s="308">
        <f t="shared" si="15"/>
        <v>82.67335638709676</v>
      </c>
    </row>
    <row r="240" spans="13:20" x14ac:dyDescent="0.2">
      <c r="M240" s="309">
        <f>Tornado!BU238</f>
        <v>3.90625E-3</v>
      </c>
      <c r="N240" s="310">
        <f>Tornado!BV238</f>
        <v>0.98046875</v>
      </c>
      <c r="O240" s="308">
        <f>Tornado!BW238</f>
        <v>84.360567741935483</v>
      </c>
      <c r="P240" s="308">
        <f t="shared" si="12"/>
        <v>0.30120000000000002</v>
      </c>
      <c r="R240" s="293">
        <f t="shared" si="13"/>
        <v>6.0000000000004494E-4</v>
      </c>
      <c r="S240" s="309">
        <f t="shared" si="14"/>
        <v>0.99280000000000002</v>
      </c>
      <c r="T240" s="308">
        <f t="shared" si="15"/>
        <v>83.809101419354846</v>
      </c>
    </row>
    <row r="241" spans="13:20" x14ac:dyDescent="0.2">
      <c r="M241" s="309">
        <f>Tornado!BU239</f>
        <v>3.90625E-3</v>
      </c>
      <c r="N241" s="310">
        <f>Tornado!BV239</f>
        <v>0.984375</v>
      </c>
      <c r="O241" s="308">
        <f>Tornado!BW239</f>
        <v>84.360567741935483</v>
      </c>
      <c r="P241" s="308">
        <f t="shared" si="12"/>
        <v>0.3024</v>
      </c>
      <c r="R241" s="293">
        <f t="shared" si="13"/>
        <v>1.1999999999999789E-3</v>
      </c>
      <c r="S241" s="309">
        <f t="shared" si="14"/>
        <v>0.99399999999999999</v>
      </c>
      <c r="T241" s="308">
        <f t="shared" si="15"/>
        <v>84.360567741935483</v>
      </c>
    </row>
    <row r="242" spans="13:20" x14ac:dyDescent="0.2">
      <c r="M242" s="309">
        <f>Tornado!BU240</f>
        <v>1.953125E-3</v>
      </c>
      <c r="N242" s="310">
        <f>Tornado!BV240</f>
        <v>0.986328125</v>
      </c>
      <c r="O242" s="308">
        <f>Tornado!BW240</f>
        <v>85.26443096774193</v>
      </c>
      <c r="P242" s="308">
        <f t="shared" si="12"/>
        <v>0.30300000000000005</v>
      </c>
      <c r="R242" s="293">
        <f t="shared" si="13"/>
        <v>1.1999999999999789E-3</v>
      </c>
      <c r="S242" s="309">
        <f t="shared" si="14"/>
        <v>0.99519999999999997</v>
      </c>
      <c r="T242" s="308">
        <f t="shared" si="15"/>
        <v>84.360567741935483</v>
      </c>
    </row>
    <row r="243" spans="13:20" x14ac:dyDescent="0.2">
      <c r="M243" s="309">
        <f>Tornado!BU241</f>
        <v>3.90625E-3</v>
      </c>
      <c r="N243" s="310">
        <f>Tornado!BV241</f>
        <v>0.990234375</v>
      </c>
      <c r="O243" s="308">
        <f>Tornado!BW241</f>
        <v>98.822379354838702</v>
      </c>
      <c r="P243" s="308">
        <f t="shared" si="12"/>
        <v>0.30420000000000003</v>
      </c>
      <c r="R243" s="293">
        <f t="shared" si="13"/>
        <v>6.0000000000004494E-4</v>
      </c>
      <c r="S243" s="309">
        <f t="shared" si="14"/>
        <v>0.99580000000000002</v>
      </c>
      <c r="T243" s="308">
        <f t="shared" si="15"/>
        <v>85.26443096774193</v>
      </c>
    </row>
    <row r="244" spans="13:20" x14ac:dyDescent="0.2">
      <c r="M244" s="309">
        <f>Tornado!BU242</f>
        <v>1.953125E-3</v>
      </c>
      <c r="N244" s="310">
        <f>Tornado!BV242</f>
        <v>0.9921875</v>
      </c>
      <c r="O244" s="308">
        <f>Tornado!BW242</f>
        <v>109.66873806451612</v>
      </c>
      <c r="P244" s="308">
        <f t="shared" si="12"/>
        <v>0.30480000000000002</v>
      </c>
      <c r="R244" s="293">
        <f t="shared" si="13"/>
        <v>1.1999999999999789E-3</v>
      </c>
      <c r="S244" s="309">
        <f t="shared" si="14"/>
        <v>0.997</v>
      </c>
      <c r="T244" s="308">
        <f t="shared" si="15"/>
        <v>98.822379354838702</v>
      </c>
    </row>
    <row r="245" spans="13:20" x14ac:dyDescent="0.2">
      <c r="M245" s="309">
        <f>Tornado!BU243</f>
        <v>1.953125E-3</v>
      </c>
      <c r="N245" s="310">
        <f>Tornado!BV243</f>
        <v>0.994140625</v>
      </c>
      <c r="O245" s="308">
        <f>Tornado!BW243</f>
        <v>109.66873806451612</v>
      </c>
      <c r="P245" s="308">
        <f t="shared" si="12"/>
        <v>0.3054</v>
      </c>
      <c r="R245" s="293">
        <f t="shared" si="13"/>
        <v>6.0000000000004494E-4</v>
      </c>
      <c r="S245" s="309">
        <f t="shared" si="14"/>
        <v>0.99760000000000004</v>
      </c>
      <c r="T245" s="308">
        <f t="shared" si="15"/>
        <v>109.66873806451612</v>
      </c>
    </row>
    <row r="246" spans="13:20" x14ac:dyDescent="0.2">
      <c r="M246" s="309">
        <f>Tornado!BU244</f>
        <v>1.953125E-3</v>
      </c>
      <c r="N246" s="310">
        <f>Tornado!BV244</f>
        <v>0.99609375</v>
      </c>
      <c r="O246" s="308">
        <f>Tornado!BW244</f>
        <v>116.89964387096772</v>
      </c>
      <c r="P246" s="308">
        <f t="shared" si="12"/>
        <v>0.30600000000000005</v>
      </c>
      <c r="R246" s="293">
        <f t="shared" si="13"/>
        <v>5.9999999999993392E-4</v>
      </c>
      <c r="S246" s="309">
        <f t="shared" si="14"/>
        <v>0.99819999999999998</v>
      </c>
      <c r="T246" s="308">
        <f t="shared" si="15"/>
        <v>109.66873806451612</v>
      </c>
    </row>
    <row r="247" spans="13:20" x14ac:dyDescent="0.2">
      <c r="M247" s="309">
        <f>Tornado!BU245</f>
        <v>9.765625E-4</v>
      </c>
      <c r="N247" s="310">
        <f>Tornado!BV245</f>
        <v>0.9970703125</v>
      </c>
      <c r="O247" s="308">
        <f>Tornado!BW245</f>
        <v>119.37020335483868</v>
      </c>
      <c r="P247" s="308">
        <f t="shared" si="12"/>
        <v>0.30630000000000002</v>
      </c>
      <c r="R247" s="293">
        <f t="shared" si="13"/>
        <v>6.0000000000004494E-4</v>
      </c>
      <c r="S247" s="309">
        <f t="shared" si="14"/>
        <v>0.99880000000000002</v>
      </c>
      <c r="T247" s="308">
        <f t="shared" si="15"/>
        <v>116.89964387096772</v>
      </c>
    </row>
    <row r="248" spans="13:20" x14ac:dyDescent="0.2">
      <c r="M248" s="309">
        <f>Tornado!BU246</f>
        <v>1.953125E-3</v>
      </c>
      <c r="N248" s="310">
        <f>Tornado!BV246</f>
        <v>0.9990234375</v>
      </c>
      <c r="O248" s="308">
        <f>Tornado!BW246</f>
        <v>138.35133109677417</v>
      </c>
      <c r="P248" s="308">
        <f t="shared" si="12"/>
        <v>0.30690000000000001</v>
      </c>
      <c r="R248" s="293">
        <f t="shared" si="13"/>
        <v>2.9999999999996696E-4</v>
      </c>
      <c r="S248" s="309">
        <f t="shared" si="14"/>
        <v>0.99909999999999999</v>
      </c>
      <c r="T248" s="308">
        <f t="shared" si="15"/>
        <v>119.37020335483868</v>
      </c>
    </row>
    <row r="249" spans="13:20" x14ac:dyDescent="0.2">
      <c r="M249" s="311">
        <f>Tornado!BU247</f>
        <v>9.765625E-4</v>
      </c>
      <c r="N249" s="312">
        <f>Tornado!BV247</f>
        <v>1</v>
      </c>
      <c r="O249" s="313">
        <f>Tornado!BW247</f>
        <v>163.65950141935485</v>
      </c>
      <c r="P249" s="313">
        <f t="shared" si="12"/>
        <v>0.30720000000000003</v>
      </c>
      <c r="R249" s="293">
        <f t="shared" si="13"/>
        <v>6.0000000000004494E-4</v>
      </c>
      <c r="S249" s="309">
        <f t="shared" si="14"/>
        <v>0.99970000000000003</v>
      </c>
      <c r="T249" s="308">
        <f t="shared" si="15"/>
        <v>138.35133109677417</v>
      </c>
    </row>
    <row r="250" spans="13:20" x14ac:dyDescent="0.2">
      <c r="R250" s="293">
        <f t="shared" si="13"/>
        <v>2.9999999999996696E-4</v>
      </c>
      <c r="S250" s="311">
        <f t="shared" si="14"/>
        <v>1</v>
      </c>
      <c r="T250" s="313">
        <f t="shared" si="15"/>
        <v>163.65950141935485</v>
      </c>
    </row>
  </sheetData>
  <mergeCells count="1">
    <mergeCell ref="M5:O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74</vt:i4>
      </vt:variant>
    </vt:vector>
  </HeadingPairs>
  <TitlesOfParts>
    <vt:vector size="78" baseType="lpstr">
      <vt:lpstr>Model</vt:lpstr>
      <vt:lpstr>Tornado</vt:lpstr>
      <vt:lpstr>Life Stage Assessments</vt:lpstr>
      <vt:lpstr>Full Distribution</vt:lpstr>
      <vt:lpstr>big_apps</vt:lpstr>
      <vt:lpstr>big_fee</vt:lpstr>
      <vt:lpstr>big_fraction</vt:lpstr>
      <vt:lpstr>big_hires</vt:lpstr>
      <vt:lpstr>big_number</vt:lpstr>
      <vt:lpstr>CrossChasm</vt:lpstr>
      <vt:lpstr>CumeCostCrossChasm</vt:lpstr>
      <vt:lpstr>CumeCostEarlyStage</vt:lpstr>
      <vt:lpstr>Dilution</vt:lpstr>
      <vt:lpstr>EarlySuccess</vt:lpstr>
      <vt:lpstr>EarningsMult</vt:lpstr>
      <vt:lpstr>exitValue</vt:lpstr>
      <vt:lpstr>InitialRoundSize</vt:lpstr>
      <vt:lpstr>inputTable</vt:lpstr>
      <vt:lpstr>international_multiplier</vt:lpstr>
      <vt:lpstr>IntlMult</vt:lpstr>
      <vt:lpstr>Investment</vt:lpstr>
      <vt:lpstr>KingChance</vt:lpstr>
      <vt:lpstr>KingMktShare</vt:lpstr>
      <vt:lpstr>MainstreamSuccess</vt:lpstr>
      <vt:lpstr>medium_apps</vt:lpstr>
      <vt:lpstr>medium_fee</vt:lpstr>
      <vt:lpstr>medium_fraction</vt:lpstr>
      <vt:lpstr>medium_hires</vt:lpstr>
      <vt:lpstr>medium_number</vt:lpstr>
      <vt:lpstr>NicheDilution</vt:lpstr>
      <vt:lpstr>NicheEarningsMultDisc</vt:lpstr>
      <vt:lpstr>NicheMarketShare</vt:lpstr>
      <vt:lpstr>NicheMultDisc</vt:lpstr>
      <vt:lpstr>NicheOwnershipAtExit</vt:lpstr>
      <vt:lpstr>NicheSize</vt:lpstr>
      <vt:lpstr>outputDefnTable</vt:lpstr>
      <vt:lpstr>outputTable</vt:lpstr>
      <vt:lpstr>ownershipAtExit</vt:lpstr>
      <vt:lpstr>pCrossChasm_total</vt:lpstr>
      <vt:lpstr>pFailCrossChasm</vt:lpstr>
      <vt:lpstr>pFailEarlyStage</vt:lpstr>
      <vt:lpstr>pMassMkt_total</vt:lpstr>
      <vt:lpstr>PreMoneyValue</vt:lpstr>
      <vt:lpstr>PrinceChance</vt:lpstr>
      <vt:lpstr>PrinceMktShare</vt:lpstr>
      <vt:lpstr>projectedYear</vt:lpstr>
      <vt:lpstr>Model!RD_InputTable</vt:lpstr>
      <vt:lpstr>SalesMult</vt:lpstr>
      <vt:lpstr>SerfMktShare</vt:lpstr>
      <vt:lpstr>small_apps</vt:lpstr>
      <vt:lpstr>small_fee</vt:lpstr>
      <vt:lpstr>small_fraction</vt:lpstr>
      <vt:lpstr>small_hires</vt:lpstr>
      <vt:lpstr>small_number</vt:lpstr>
      <vt:lpstr>SmartOrgInputTable</vt:lpstr>
      <vt:lpstr>sweetSpot_Intl</vt:lpstr>
      <vt:lpstr>sweetSpot_Large</vt:lpstr>
      <vt:lpstr>sweetSpot_Med</vt:lpstr>
      <vt:lpstr>sweetSpot_Small</vt:lpstr>
      <vt:lpstr>SweetspotTABLE</vt:lpstr>
      <vt:lpstr>SweetspotTAM</vt:lpstr>
      <vt:lpstr>Tornado_ChosenTableRangeName</vt:lpstr>
      <vt:lpstr>Tornado_Output1</vt:lpstr>
      <vt:lpstr>Tornado_Output10</vt:lpstr>
      <vt:lpstr>Tornado_Output2</vt:lpstr>
      <vt:lpstr>Tornado_Output3</vt:lpstr>
      <vt:lpstr>Tornado_Output4</vt:lpstr>
      <vt:lpstr>Tornado_Output5</vt:lpstr>
      <vt:lpstr>Tornado_Output6</vt:lpstr>
      <vt:lpstr>Tornado_Output7</vt:lpstr>
      <vt:lpstr>Tornado_Output8</vt:lpstr>
      <vt:lpstr>Tornado_Output9</vt:lpstr>
      <vt:lpstr>Tornado_OutputsList</vt:lpstr>
      <vt:lpstr>Tornado_SelectedOutputName</vt:lpstr>
      <vt:lpstr>Tornado_TableIndex</vt:lpstr>
      <vt:lpstr>TotalPWMOIC_SweetSpot_Given_CrossChasmSuccess</vt:lpstr>
      <vt:lpstr>TotalPWMOIC_SweetSpot_Given_MarketSuccess</vt:lpstr>
      <vt:lpstr>TotalTAM</vt:lpstr>
    </vt:vector>
  </TitlesOfParts>
  <Company>DQI,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WFHM GTM Strategy Model</dc:title>
  <dc:creator>Clint Korver</dc:creator>
  <cp:lastModifiedBy>Somik Raha</cp:lastModifiedBy>
  <cp:lastPrinted>2017-02-02T01:23:03Z</cp:lastPrinted>
  <dcterms:created xsi:type="dcterms:W3CDTF">2000-05-24T16:45:44Z</dcterms:created>
  <dcterms:modified xsi:type="dcterms:W3CDTF">2019-02-08T18:01:46Z</dcterms:modified>
</cp:coreProperties>
</file>